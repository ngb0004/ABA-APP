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6"/>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7.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s" sheetId="1" r:id="rId5"/>
    <sheet state="visible" name="Milestones Grid" sheetId="2" r:id="rId6"/>
    <sheet state="visible" name="Barrier Grid" sheetId="3" r:id="rId7"/>
    <sheet state="visible" name="Transition Grid" sheetId="4" r:id="rId8"/>
    <sheet state="visible" name="Intraverbal 6.0" sheetId="5" r:id="rId9"/>
    <sheet state="visible" name="EESA" sheetId="6" r:id="rId10"/>
    <sheet state="visible" name="Self-Care" sheetId="7" r:id="rId11"/>
    <sheet state="visible" name="TA Chart 1" sheetId="8" r:id="rId12"/>
    <sheet state="visible" name="TA Chart 2" sheetId="9" r:id="rId13"/>
    <sheet state="visible" name="TA Chart 3" sheetId="10" r:id="rId14"/>
    <sheet state="visible" name="Present Level" sheetId="11" r:id="rId15"/>
    <sheet state="hidden" name="Collected data" sheetId="12" r:id="rId16"/>
  </sheets>
  <definedNames/>
  <calcPr/>
  <extLst>
    <ext uri="GoogleSheetsCustomDataVersion2">
      <go:sheetsCustomData xmlns:go="http://customooxmlschemas.google.com/" r:id="rId17" roundtripDataChecksum="ijmc8zuePPAhLC4gcB8KpNtEQaIyRUkvNpB2QbHh6eo="/>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5">
      <text>
        <t xml:space="preserve">======
ID#AAAAwCqRXho
      (2023-05-23 18:26:46)
VB-MAPP forms spreadsheet
created 2/3/2010
Steven Celmer M.A., BCBA</t>
      </text>
    </comment>
  </commentList>
  <extLst>
    <ext uri="GoogleSheetsCustomDataVersion2">
      <go:sheetsCustomData xmlns:go="http://customooxmlschemas.google.com/" r:id="rId1" roundtripDataSignature="AMtx7mhF4GrGApS7mornYR0Y7N4xK/IVD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50">
      <text>
        <t xml:space="preserve">======
ID#AAAAwCqRXZY
      (2023-05-23 18:26:46)
Matches any 10 identical items.</t>
      </text>
    </comment>
    <comment authorId="0" ref="AW16">
      <text>
        <t xml:space="preserve">======
ID#AAAAwCqRW90
     (2023-05-23 18:26:46)
Answers 4 different rotating WH questions about a single topic for 10 topics.</t>
      </text>
    </comment>
    <comment authorId="0" ref="AH33">
      <text>
        <t xml:space="preserve">======
ID#AAAAwCqRWy0
      (2023-05-23 18:26:46)
Imitates (or attempts with approximations) any novel motor action modeled by an adult with and without objects.</t>
      </text>
    </comment>
    <comment authorId="0" ref="D34">
      <text>
        <t xml:space="preserve">======
ID#AAAAwCqRXW4
      (2023-05-23 18:26:46)
Emits 5 new mands without specific training.</t>
      </text>
    </comment>
    <comment authorId="0" ref="S17">
      <text>
        <t xml:space="preserve">======
ID#AAAAwCN6t5Q
     (2023-05-23 18:26:45)
Continues 20 2-step patterns, sequences, or seriation tasks.</t>
      </text>
    </comment>
    <comment authorId="0" ref="AM33">
      <text>
        <t xml:space="preserve">======
ID#AAAAwCqRXpg
      (2023-05-23 18:26:46)
Scores at least 90 on the EESA sub-test (with at least 10 from Groups 4 and 5).</t>
      </text>
    </comment>
    <comment authorId="0" ref="BB16">
      <text>
        <t xml:space="preserve">======
ID#AAAAwCqRXCc
     (2023-05-23 18:26:46)
Sits in a 20-minute group session involving 5 children without disruptive behaviors, and answers 5 intraverbal questions.</t>
      </text>
    </comment>
    <comment authorId="0" ref="X50">
      <text>
        <t xml:space="preserve">======
ID#AAAAwCqRWqk
      (2023-05-23 18:26:46)
Independently engages in cause-and-effect play for 2 minutes.</t>
      </text>
    </comment>
    <comment authorId="0" ref="X17">
      <text>
        <t xml:space="preserve">======
ID#AAAAwCqRXYo
     (2023-05-23 18:26:46)
Independently draws or writes in pre-academic activity books for 2 minutes.</t>
      </text>
    </comment>
    <comment authorId="0" ref="I34">
      <text>
        <t xml:space="preserve">======
ID#AAAAwCqRW2s
      (2023-05-23 18:26:46)
Tacts at least 150 nouns and/or verbs (or with other parts of speech).</t>
      </text>
    </comment>
    <comment authorId="0" ref="BG16">
      <text>
        <t xml:space="preserve">======
ID#AAAAwCqRXoQ
     (2023-05-23 18:26:46)
Combines noun and verb phrases 
to produce 10 different syntactically correct clauses or sentences containing at least 5 words.</t>
      </text>
    </comment>
    <comment authorId="0" ref="AC50">
      <text>
        <t xml:space="preserve">======
ID#AAAAwCqRXjk
      (2023-05-23 18:26:46)
Spontaneously follows peers or imitates their motor behavior 2 times.</t>
      </text>
    </comment>
    <comment authorId="0" ref="AR33">
      <text>
        <t xml:space="preserve">======
ID#AAAAwCqRXNY
      (2023-05-23 18:26:46)
Spontaneously tacts the item on 50% of the LRFFC trials.</t>
      </text>
    </comment>
    <comment authorId="0" ref="AC17">
      <text>
        <t xml:space="preserve">======
ID#AAAAwCqRXqQ
     (2023-05-23 18:26:46)
Engages in 2 verbal exchanges on 1 topic with peers for 5 topics.</t>
      </text>
    </comment>
    <comment authorId="0" ref="N34">
      <text>
        <t xml:space="preserve">======
ID#AAAAwCqRXcI
      (2023-05-23 18:26:46)
Selects to or points to at least 150 items in a book, picture scene, or natural environment.</t>
      </text>
    </comment>
    <comment authorId="0" ref="AW33">
      <text>
        <t xml:space="preserve">======
ID#AAAAwCqRXG4
      (2023-05-23 18:26:46)
Answers 25 different who or where questions.</t>
      </text>
    </comment>
    <comment authorId="0" ref="AH50">
      <text>
        <t xml:space="preserve">======
ID#AAAAwCqRW4E
      (2023-05-23 18:26:46)
Imitates 20 motor movements of any type.</t>
      </text>
    </comment>
    <comment authorId="0" ref="BL16">
      <text>
        <t xml:space="preserve">======
ID#AAAAwCqRWqo
     (2023-05-23 18:26:46)
Correctly matches a written number to a quantity and a quantity to a written number for the numbers 1-5.</t>
      </text>
    </comment>
    <comment authorId="0" ref="AH17">
      <text>
        <t xml:space="preserve">======
ID#AAAAwCqRXYw
     (2023-05-23 18:26:46)
Matches 3 words to the corresponding pictures or items in an array of 3, and vice versa.</t>
      </text>
    </comment>
    <comment authorId="0" ref="D51">
      <text>
        <t xml:space="preserve">======
ID#AAAAwCqRXGI
      (2023-05-23 18:26:46)
Emits 8 different mands without prompts (except, "What do you want?")
The desired item can be present.</t>
      </text>
    </comment>
    <comment authorId="0" ref="S34">
      <text>
        <t xml:space="preserve">======
ID#AAAAwCqRW4M
      (2023-05-23 18:26:46)
Matches non-identical objects to pictures and/or vice versa, in a messy array of 10 containing 3 similar stimuli, for 15 items.</t>
      </text>
    </comment>
    <comment authorId="0" ref="D18">
      <text>
        <t xml:space="preserve">======
ID#AAAAwCqRXu8
     (2023-05-23 18:26:46)
Gives directions, instructions, or explanations as to how to do something or how to participate in an activity 5 times.</t>
      </text>
    </comment>
    <comment authorId="0" ref="BB33">
      <text>
        <t xml:space="preserve">======
ID#AAAAwCqRXIY
      (2023-05-23 18:26:46)
Sits in a group of 3 children for 10 minutes, attends to the teacher or material for 50% of the period, and responds to 
5 of a teachers SDs.</t>
      </text>
    </comment>
    <comment authorId="0" ref="AM50">
      <text>
        <t xml:space="preserve">======
ID#AAAAwCqRWjY
      (2023-05-23 18:26:46)
Scores at least 25 on the EESA sub-test (at least 20 from Group 1).</t>
      </text>
    </comment>
    <comment authorId="0" ref="I51">
      <text>
        <t xml:space="preserve">======
ID#AAAAwCqRXUk
      (2023-05-23 18:26:46)
Tacts 8 items without echoic prompts when tested.</t>
      </text>
    </comment>
    <comment authorId="0" ref="AM17">
      <text>
        <t xml:space="preserve">======
ID#AAAAwCqRW0s
     (2023-05-23 18:26:46)
Approximates the letters, but they are not clear enough to read.</t>
      </text>
    </comment>
    <comment authorId="0" ref="X34">
      <text>
        <t xml:space="preserve">======
ID#AAAAwCqRWrk
      (2023-05-23 18:26:46)
Assembles toys that have multiple parts for 2 different sets of materials.</t>
      </text>
    </comment>
    <comment authorId="0" ref="I18">
      <text>
        <t xml:space="preserve">======
ID#AAAAwCqRXSE
     (2023-05-23 18:26:46)
Tacts with complete sentences containing 4 or more words, 20 times.</t>
      </text>
    </comment>
    <comment authorId="0" ref="BG33">
      <text>
        <t xml:space="preserve">======
ID#AAAAwCqRXaQ
      (2023-05-23 18:26:46)
Has a total speaker vocabulary of 300 words.</t>
      </text>
    </comment>
    <comment authorId="0" ref="AR50">
      <text>
        <t xml:space="preserve">======
ID#AAAAwCqRXGM
      (2023-05-23 18:26:46)
Spontaneously vocalizes 15 whole words or phrases with appropriate intonation and rhythm.</t>
      </text>
    </comment>
    <comment authorId="0" ref="N51">
      <text>
        <t xml:space="preserve">======
ID#AAAAwCqRXT0
      (2023-05-23 18:26:46)
Selects the correct item from an array of 4, for 15 different objects or pictures.</t>
      </text>
    </comment>
    <comment authorId="0" ref="AR17">
      <text>
        <t xml:space="preserve">======
ID#AAAAwCqRWyM
     (2023-05-23 18:26:46)
Demonstrates 750 different LRFFC responses.</t>
      </text>
    </comment>
    <comment authorId="0" ref="AC34">
      <text>
        <t xml:space="preserve">======
ID#AAAAwCqRWeE
      (2023-05-23 18:26:45)
Spontaneously mands for others to participate in games, social play, etc., 
1 time.</t>
      </text>
    </comment>
    <comment authorId="0" ref="N18">
      <text>
        <t xml:space="preserve">======
ID#AAAAwCqRXss
     (2023-05-23 18:26:46)
Follows 3-step directions for 10 different directions.</t>
      </text>
    </comment>
    <comment authorId="0" ref="S51">
      <text>
        <t xml:space="preserve">======
ID#AAAAwCqRXvc
      (2023-05-23 18:26:46)
Matches any 5 identical items.</t>
      </text>
    </comment>
    <comment authorId="0" ref="AW17">
      <text>
        <t xml:space="preserve">======
ID#AAAAwCqRW_s
     (2023-05-23 18:26:46)
Answers 3 different rotating WH questions about a single topic for 5 topics.</t>
      </text>
    </comment>
    <comment authorId="0" ref="AH34">
      <text>
        <t xml:space="preserve">======
ID#AAAAwCqRWmc
      (2023-05-23 18:26:46)
Imitates (or attempts with approximations) any novel motor action modeled by an adult with and without objects.  (There is no 1/2 point score.)</t>
      </text>
    </comment>
    <comment authorId="0" ref="D35">
      <text>
        <t xml:space="preserve">======
ID#AAAAwCqRXpU
      (2023-05-23 18:26:46)
Spontaneously emits 
15 different mands.</t>
      </text>
    </comment>
    <comment authorId="0" ref="S18">
      <text>
        <t xml:space="preserve">======
ID#AAAAwCqRXNs
     (2023-05-23 18:26:46)
Sorts 5 items from 5 different categories without a model.</t>
      </text>
    </comment>
    <comment authorId="0" ref="AM34">
      <text>
        <t xml:space="preserve">======
ID#AAAAwCqRWm4
      (2023-05-23 18:26:46)
Scores at least 85 on the EESA sub-test (with at least 10 from Groups 4 and 5).</t>
      </text>
    </comment>
    <comment authorId="0" ref="X51">
      <text>
        <t xml:space="preserve">======
ID#AAAAwCqRWmE
      (2023-05-23 18:26:46)
Independently engages in cause-and-effect play for 1 minute.</t>
      </text>
    </comment>
    <comment authorId="0" ref="BB17">
      <text>
        <t xml:space="preserve">======
ID#AAAAwCR5j2Q
     (2023-05-23 18:26:45)
Sits in a 20-minute group session involving 5 children without disruptive behaviors, and answers 2 intraverbal questions.</t>
      </text>
    </comment>
    <comment authorId="0" ref="I35">
      <text>
        <t xml:space="preserve">======
ID#AAAAwCqRXUo
      (2023-05-23 18:26:46)
Tacts at least 50 noun-verb (or verb-noun) relations.</t>
      </text>
    </comment>
    <comment authorId="0" ref="X18">
      <text>
        <t xml:space="preserve">======
ID#AAAAwCqRXSQ
     (2023-05-23 18:26:46)
Independently engages in sustained play activities for 
10 minutes without adult prompts or reinforcement.</t>
      </text>
    </comment>
    <comment authorId="0" ref="AR34">
      <text>
        <t xml:space="preserve">======
ID#AAAAwCqRXfY
      (2023-05-23 18:26:46)
Spontaneously tacts the item on 25% of the LRFFC trials, OR he tacts on 50% of the trials, but always requires one prompt initially.</t>
      </text>
    </comment>
    <comment authorId="0" ref="BG17">
      <text>
        <t xml:space="preserve">======
ID#AAAAwCqRXYs
     (2023-05-23 18:26:46)
Combines noun and verb phrases to produce 5 different syntactically correct clauses or sentences containing at least 5 words.</t>
      </text>
    </comment>
    <comment authorId="0" ref="AC51">
      <text>
        <t xml:space="preserve">======
ID#AAAAwCqRW9k
      (2023-05-23 18:26:46)
Spontaneously follows peers or imitates their motor behavior 1 time.</t>
      </text>
    </comment>
    <comment authorId="0" ref="AC18">
      <text>
        <t xml:space="preserve">======
ID#AAAAwCqRXWo
     (2023-05-23 18:26:46)
Engages in pretend social play activities with peers for 5 minutes without adult prompts.</t>
      </text>
    </comment>
    <comment authorId="0" ref="N35">
      <text>
        <t xml:space="preserve">======
ID#AAAAwCqRWx8
      (2023-05-23 18:26:46)
Follows at least 50 two-component noun-verb (or verb-noun) instructions on command.</t>
      </text>
    </comment>
    <comment authorId="0" ref="AW34">
      <text>
        <t xml:space="preserve">======
ID#AAAAwCqRXtk
      (2023-05-23 18:26:46)
Answers 12 different who or where questions.</t>
      </text>
    </comment>
    <comment authorId="0" ref="BL17">
      <text>
        <t xml:space="preserve">======
ID#AAAAwCqRXI8
     (2023-05-23 18:26:46)
Correctly matches a written number to a quantity and a quantity to a written number for the numbers 1-3.</t>
      </text>
    </comment>
    <comment authorId="0" ref="AH51">
      <text>
        <t xml:space="preserve">======
ID#AAAAwCqRW2Q
      (2023-05-23 18:26:46)
Imitates 15 motor movements of any type.</t>
      </text>
    </comment>
    <comment authorId="0" ref="D52">
      <text>
        <t xml:space="preserve">======
ID#AAAAwCqRXUA
      (2023-05-23 18:26:46)
Spontaneously mands 5 times during a 1-hour observation The desired item can be present.</t>
      </text>
    </comment>
    <comment authorId="0" ref="S35">
      <text>
        <t xml:space="preserve">======
ID#AAAAwCqRW8Q
      (2023-05-23 18:26:46)
Matches non-identical objects or pictures in a messy array of 10 containing 3 similar stimuli, for 25 items.</t>
      </text>
    </comment>
    <comment authorId="0" ref="AH18">
      <text>
        <t xml:space="preserve">======
ID#AAAAwCqRWu4
     (2023-05-23 18:26:46)
Reads own name.</t>
      </text>
    </comment>
    <comment authorId="0" ref="D19">
      <text>
        <t xml:space="preserve">======
ID#AAAAwCqRWgE
     (2023-05-23 18:26:45)
Gives directions, instructions, or explanations as to how to do something or how to participate in an activity 2 times.</t>
      </text>
    </comment>
    <comment authorId="0" ref="AM51">
      <text>
        <t xml:space="preserve">======
ID#AAAAwCqRWkY
      (2023-05-23 18:26:46)
Scores at least 20 on EESA sub-test (at least 15 from Group 1).</t>
      </text>
    </comment>
    <comment authorId="0" ref="I52">
      <text>
        <t xml:space="preserve">======
ID#AAAAwCqRXuM
      (2023-05-23 18:26:46)
Spontaneously tacts (no verbal prompts) at least 2 different items during an observation.</t>
      </text>
    </comment>
    <comment authorId="0" ref="X35">
      <text>
        <t xml:space="preserve">======
ID#AAAAwCqRXOg
      (2023-05-23 18:26:46)
Independently engages in play on structures and playground equipment for a total of 
5 minutes.</t>
      </text>
    </comment>
    <comment authorId="0" ref="AM18">
      <text>
        <t xml:space="preserve">======
ID#AAAAwCqRW0E
     (2023-05-23 18:26:46)
Legibly spells and writes his own name without copying.</t>
      </text>
    </comment>
    <comment authorId="0" ref="I19">
      <text>
        <t xml:space="preserve">======
ID#AAAAwCqRXWA
     (2023-05-23 18:26:46)
Tacts with complete sentences containing 3 or more words, 20 times.</t>
      </text>
    </comment>
    <comment authorId="0" ref="AR51">
      <text>
        <t xml:space="preserve">======
ID#AAAAwCqRW7U
      (2023-05-23 18:26:46)
Spontaneously vocalizes 8 whole words or phrases with appropriate intonation and rhythm.</t>
      </text>
    </comment>
    <comment authorId="0" ref="BG34">
      <text>
        <t xml:space="preserve">======
ID#AAAAwCqRW4Y
      (2023-05-23 18:26:46)
Has a total speaker vocabulary of 200 words.</t>
      </text>
    </comment>
    <comment authorId="0" ref="AR18">
      <text>
        <t xml:space="preserve">======
ID#AAAAwCqRXw4
     (2023-05-23 18:26:46)
Selects the correct items from a book or the natural environment given 4 different rotating LRFFC questions about a single topic for 25 different topics.</t>
      </text>
    </comment>
    <comment authorId="0" ref="N52">
      <text>
        <t xml:space="preserve">======
ID#AAAAwCqRWpc
      (2023-05-23 18:26:46)
Emits the correct motor behavior 2 times during testing for 
4 different actions.
(Without an imitative prompt)</t>
      </text>
    </comment>
    <comment authorId="0" ref="AC35">
      <text>
        <t xml:space="preserve">======
ID#AAAAwCqRWew
      (2023-05-23 18:26:45)
Spontaneously responds to the mands of peers 
5 times.</t>
      </text>
    </comment>
    <comment authorId="0" ref="N19">
      <text>
        <t xml:space="preserve">======
ID#AAAAwCqRXBM
     (2023-05-23 18:26:46)
Follows 3-step directions for 5 different directions.</t>
      </text>
    </comment>
    <comment authorId="0" ref="S52">
      <text>
        <t xml:space="preserve">======
ID#AAAAwCqRXsM
      (2023-05-23 18:26:46)
Places 3 items in a container, stacks 3 blocks, or places 
3 rings on a peg for 2 of these or similar activities.</t>
      </text>
    </comment>
    <comment authorId="0" ref="AH35">
      <text>
        <t xml:space="preserve">======
ID#AAAAwCqRW68
      (2023-05-23 18:26:46)
Spontaneously imitates 
5 functional skills in the natural environment.</t>
      </text>
    </comment>
    <comment authorId="0" ref="AW18">
      <text>
        <t xml:space="preserve">======
ID#AAAAwCqRW44
     (2023-05-23 18:26:46)
Describes 25 different events, videos, stories, etc. with 8+ words.</t>
      </text>
    </comment>
    <comment authorId="0" ref="D36">
      <text>
        <t xml:space="preserve">======
ID#AAAAwCqRXvM
      (2023-05-23 18:26:46)
Spontaneously emits 
8 different mands.</t>
      </text>
    </comment>
    <comment authorId="0" ref="S19">
      <text>
        <t xml:space="preserve">======
ID#AAAAwCqRWqc
     (2023-05-23 18:26:46)
Sorts 5 items from 3 different categories without a model.</t>
      </text>
    </comment>
    <comment authorId="0" ref="X52">
      <text>
        <t xml:space="preserve">======
ID#AAAAwCqRXc8
      (2023-05-23 18:26:46)
Engages in movement play for 2 minutes during a 30 minute observation.</t>
      </text>
    </comment>
    <comment authorId="0" ref="BB18">
      <text>
        <t xml:space="preserve">======
ID#AAAAwCqRXIk
     (2023-05-23 18:26:46)
Acquires 2 new behaviors during a 15-minute group-teaching format involving 5 or more children.</t>
      </text>
    </comment>
    <comment authorId="0" ref="AM35">
      <text>
        <t xml:space="preserve">======
ID#AAAAwCqRW1U
      (2023-05-23 18:26:46)
Scores at least 80 on the EESA sub-test.</t>
      </text>
    </comment>
    <comment authorId="0" ref="I36">
      <text>
        <t xml:space="preserve">======
ID#AAAAwCqRW-U
      (2023-05-23 18:26:46)
Tacts at least 25 noun-verb (or verb-noun) relations.</t>
      </text>
    </comment>
    <comment authorId="0" ref="X19">
      <text>
        <t xml:space="preserve">======
ID#AAAAwCN6t4c
     (2023-05-23 18:26:45)
Independently engages in sustained play activities for 
5 minutes without adult prompts or reinforcement.</t>
      </text>
    </comment>
    <comment authorId="0" ref="AC52">
      <text>
        <t xml:space="preserve">======
ID#AAAAwCqRXiM
      (2023-05-23 18:26:46)
Spontaneously engages in parallel play near other children for a total of 2 minutes.</t>
      </text>
    </comment>
    <comment authorId="0" ref="AR35">
      <text>
        <t xml:space="preserve">======
ID#AAAAwCqRXUc
      (2023-05-23 18:26:46)
Selects the correct item from an array of 10 (or from a book), for 25 different verb-noun LRFFC what, which, or who questions.</t>
      </text>
    </comment>
    <comment authorId="0" ref="BG18">
      <text>
        <t xml:space="preserve">======
ID#AAAAwCqRXAU
     (2023-05-23 18:26:46)
Emits 10 different verb phrases containing at least 3 words with 2 modifiers.</t>
      </text>
    </comment>
    <comment authorId="0" ref="N36">
      <text>
        <t xml:space="preserve">======
ID#AAAAwCqRXtY
      (2023-05-23 18:26:46)
Follows at least 25 two-component noun-verb (or verb-noun) instructions on command.</t>
      </text>
    </comment>
    <comment authorId="0" ref="AC19">
      <text>
        <t xml:space="preserve">======
ID#AAAAwCqRWog
     (2023-05-23 18:26:46)
Engages in pretend social play activities with peers for 2 minutes without adult prompts.</t>
      </text>
    </comment>
    <comment authorId="0" ref="BL18">
      <text>
        <t xml:space="preserve">======
ID#AAAAwCqRXuw
     (2023-05-23 18:26:46)
Identifies as a listener 8 different comparisons involving measurement.</t>
      </text>
    </comment>
    <comment authorId="0" ref="AH52">
      <text>
        <t xml:space="preserve">======
ID#AAAAwCqRXS8
      (2023-05-23 18:26:46)
Spontaneously imitates the motor behaviors of others on 5 occasions.</t>
      </text>
    </comment>
    <comment authorId="0" ref="AW35">
      <text>
        <t xml:space="preserve">======
ID#AAAAwCqRW0g
      (2023-05-23 18:26:46)
Answers 25 different what questions.</t>
      </text>
    </comment>
    <comment authorId="0" ref="D53">
      <text>
        <t xml:space="preserve">======
ID#AAAAwCqRXyE
      (2023-05-23 18:26:46)
Spontaneously mands 2 times during a 1-hour observation The desired item can be present.</t>
      </text>
    </comment>
    <comment authorId="0" ref="AH19">
      <text>
        <t xml:space="preserve">======
ID#AAAAwCqRXW0
     (2023-05-23 18:26:46)
Reads own name. (There is no 1/2 point score.)</t>
      </text>
    </comment>
    <comment authorId="0" ref="S36">
      <text>
        <t xml:space="preserve">======
ID#AAAAwCqRXFs
      (2023-05-23 18:26:46)
Matches non-identical objects or pictures in a messy array of 10 containing 3 similar stimuli, for 15 items.</t>
      </text>
    </comment>
    <comment authorId="0" ref="D20">
      <text>
        <t xml:space="preserve">======
ID#AAAAwCqRXbo
     (2023-05-23 18:26:46)
Mands with 10 different adjectives, prepositions, or adverbs.</t>
      </text>
    </comment>
    <comment authorId="0" ref="BB35">
      <text>
        <t xml:space="preserve">======
ID#AAAAwCqRXIE
      (2023-05-23 18:26:46)
Sits in a small group of 3 or more children for 5 minutes without disruptive behavior or attempting to leave the group.
======
ID#AAAAwCqRW88
      (2023-05-23 18:26:46)
Sits in a group of 3 children for 10 minutes, attends to the teacher or material for 33% of the period, and responds to 
2 of a teachers SDs.</t>
      </text>
    </comment>
    <comment authorId="0" ref="AM52">
      <text>
        <t xml:space="preserve">======
ID#AAAAwCqRW4s
      (2023-05-23 18:26:46)
Scores at least 15 on the EESA sub-test.</t>
      </text>
    </comment>
    <comment authorId="0" ref="AM19">
      <text>
        <t xml:space="preserve">======
ID#AAAAwCqRXRg
     (2023-05-23 18:26:46)
Approximates the letters in his name, but they are not clear enough to read, and/or he misspells his name.</t>
      </text>
    </comment>
    <comment authorId="0" ref="I53">
      <text>
        <t xml:space="preserve">======
ID#AAAAwCqRW4Q
      (2023-05-23 18:26:46)
Spontaneously tacts (no verbal prompts) 1 item during an observation.</t>
      </text>
    </comment>
    <comment authorId="0" ref="X36">
      <text>
        <t xml:space="preserve">======
ID#AAAAwCqRWxg
      (2023-05-23 18:26:46)
Independently engages in play on structures and playground equipment for a total of 
2 minutes.</t>
      </text>
    </comment>
    <comment authorId="0" ref="I20">
      <text>
        <t xml:space="preserve">======
ID#AAAAwCqRWkM
     (2023-05-23 18:26:46)
Tacts 4 different adjectives, excluding colors and shapes, and 4 adverbs.</t>
      </text>
    </comment>
    <comment authorId="0" ref="AR52">
      <text>
        <t xml:space="preserve">======
ID#AAAAwCqRWvs
      (2023-05-23 18:26:46)
Spontaneously emits 5 different whole word approximation.</t>
      </text>
    </comment>
    <comment authorId="0" ref="BG35">
      <text>
        <t xml:space="preserve">======
ID#AAAAwCN6t6E
      (2023-05-23 18:26:45)
Emits functional prosody on 5 occasions in one day.</t>
      </text>
    </comment>
    <comment authorId="0" ref="AR19">
      <text>
        <t xml:space="preserve">======
ID#AAAAwCqRXPM
     (2023-05-23 18:26:46)
Selects the correct items from a book or the natural environment given 4 different rotating LRFFC questions about a single topic for 15 different topics.</t>
      </text>
    </comment>
    <comment authorId="0" ref="N53">
      <text>
        <t xml:space="preserve">======
ID#AAAAwCqRXC8
      (2023-05-23 18:26:46)
Emits the correct motor behavior 2 times during testing for 
2 different actions.
(Without an imitative prompt)</t>
      </text>
    </comment>
    <comment authorId="0" ref="AC36">
      <text>
        <t xml:space="preserve">======
ID#AAAAwCqRW5Y
      (2023-05-23 18:26:46)
Spontaneously responds to the mands of peers 
2 times.</t>
      </text>
    </comment>
    <comment authorId="0" ref="N20">
      <text>
        <t xml:space="preserve">======
ID#AAAAwCqRXXo
     (2023-05-23 18:26:46)
Selects items from an array of similar stimuli based on 4 pairs of relative adjectives and demonstrates actions based on 4 pairs of related adverbs.</t>
      </text>
    </comment>
    <comment authorId="0" ref="S53">
      <text>
        <t xml:space="preserve">======
ID#AAAAwCqRXlw
      (2023-05-23 18:26:46)
Places 2 items in a container, stacks 2 blocks, places 2 rings on a peg for any single activity during observation or testing.</t>
      </text>
    </comment>
    <comment authorId="0" ref="AH36">
      <text>
        <t xml:space="preserve">======
ID#AAAAwCqRXQY
      (2023-05-23 18:26:46)
Spontaneously imitates 
2 functional skills in the natural environment.</t>
      </text>
    </comment>
    <comment authorId="0" ref="AW19">
      <text>
        <t xml:space="preserve">======
ID#AAAAwCqRXGc
     (2023-05-23 18:26:46)
Describes 12 different events, videos, stories, etc. with 5 words.</t>
      </text>
    </comment>
    <comment authorId="0" ref="S20">
      <text>
        <t xml:space="preserve">======
ID#AAAAwCqRXYc
     (2023-05-23 18:26:46)
Completes 20 different block designs, parquetry, shape puzzles, or similar tasks that contain at least 8 different pieces.</t>
      </text>
    </comment>
    <comment authorId="0" ref="D37">
      <text>
        <t xml:space="preserve">======
ID#AAAAwCqRWoI
      (2023-05-23 18:26:46)
Emits 5 different mands that contain 2 or more words.</t>
      </text>
    </comment>
    <comment authorId="0" ref="AM36">
      <text>
        <t xml:space="preserve">======
ID#AAAAwCqRXfE
      (2023-05-23 18:26:46)
Scores at least 75 on the EESA sub-test.</t>
      </text>
    </comment>
    <comment authorId="0" ref="X53">
      <text>
        <t xml:space="preserve">======
ID#AAAAwCqRXVI
      (2023-05-23 18:26:46)
Engages in movement play for 1 minute during a 30 minute observation.</t>
      </text>
    </comment>
    <comment authorId="0" ref="BB19">
      <text>
        <t xml:space="preserve">======
ID#AAAAwCqRXRk
     (2023-05-23 18:26:46)
Acquires 1 new behavior during a 15-minute group-teaching format involving 5 or more children.</t>
      </text>
    </comment>
    <comment authorId="0" ref="X20">
      <text>
        <t xml:space="preserve">======
ID#AAAAwCqRXsQ
     (2023-05-23 18:26:46)
Independently engages in arts and crafts type activities for 5 minutes.</t>
      </text>
    </comment>
    <comment authorId="0" ref="I37">
      <text>
        <t xml:space="preserve">======
ID#AAAAwCqRW54
      (2023-05-23 18:26:46)
Tacts 10 actions.</t>
      </text>
    </comment>
    <comment authorId="0" ref="AR36">
      <text>
        <t xml:space="preserve">======
ID#AAAAwCqRXqo
      (2023-05-23 18:26:46)
Selects the correct item from an array of 10 (or from a book), for 12 different verb-noun LRFFC what, which, or who questions.</t>
      </text>
    </comment>
    <comment authorId="0" ref="BG19">
      <text>
        <t xml:space="preserve">======
ID#AAAAwCqRXac
     (2023-05-23 18:26:46)
Emits 5 different verb phrases containing at least 3 words with 2 modifiers.</t>
      </text>
    </comment>
    <comment authorId="0" ref="AC53">
      <text>
        <t xml:space="preserve">======
ID#AAAAwCqRXXw
      (2023-05-23 18:26:46)
Spontaneously engages in parallel play near other children for a total of 1 minute.</t>
      </text>
    </comment>
    <comment authorId="0" ref="AC20">
      <text>
        <t xml:space="preserve">======
ID#AAAAwCqRXxc
     (2023-05-23 18:26:46)
Intraverbally responds to 5 different questions or statements from peers.</t>
      </text>
    </comment>
    <comment authorId="0" ref="N37">
      <text>
        <t xml:space="preserve">======
ID#AAAAwCqRWjk
      (2023-05-23 18:26:46)
Performs 10 specific motor actions on command.</t>
      </text>
    </comment>
    <comment authorId="0" ref="AH53">
      <text>
        <t xml:space="preserve">======
ID#AAAAwCqRXG8
      (2023-05-23 18:26:46)
Spontaneously imitates the motor behaviors of others on 2 occasions.</t>
      </text>
    </comment>
    <comment authorId="0" ref="AW36">
      <text>
        <t xml:space="preserve">======
ID#AAAAwCqRW0c
      (2023-05-23 18:26:46)
Answers 12 different what questions.</t>
      </text>
    </comment>
    <comment authorId="0" ref="BL19">
      <text>
        <t xml:space="preserve">======
ID#AAAAwCqRWkQ
     (2023-05-23 18:26:46)
Identifies as a listener 6 different comparisons involving measurement.</t>
      </text>
    </comment>
    <comment authorId="0" ref="D54">
      <text>
        <t xml:space="preserve">======
ID#AAAAwCqRXUE
      (2023-05-23 18:26:46)
Generalizes 6 mands across 
2 people, 2 settings, and 
2 different examples of a reinforcer.</t>
      </text>
    </comment>
    <comment authorId="0" ref="AH20">
      <text>
        <t xml:space="preserve">======
ID#AAAAwCqRXLM
     (2023-05-23 18:26:46)
Tacts 10 uppercase letters on command.</t>
      </text>
    </comment>
    <comment authorId="0" ref="S37">
      <text>
        <t xml:space="preserve">======
ID#AAAAwCqRW2M
      (2023-05-23 18:26:46)
Matches identical objects or pictures in a messy array of 8 containing 3 similar stimuli, 
for 25 items.</t>
      </text>
    </comment>
    <comment authorId="0" ref="D21">
      <text>
        <t xml:space="preserve">======
ID#AAAAwCqRW3I
     (2023-05-23 18:26:46)
Mands with 5 different adjectives, prepositions, or adverbs.</t>
      </text>
    </comment>
    <comment authorId="0" ref="AM53">
      <text>
        <t xml:space="preserve">======
ID#AAAAwCqRXQ4
      (2023-05-23 18:26:46)
Scores at least 12 on EESA sub-test.</t>
      </text>
    </comment>
    <comment authorId="0" ref="BB36">
      <text>
        <t xml:space="preserve">======
ID#AAAAwCqRW7s
      (2023-05-23 18:26:46)
Sits in a small group of 3 or more children for 2 minutes without disruptive behavior or attempting to leave the group.</t>
      </text>
    </comment>
    <comment authorId="0" ref="I54">
      <text>
        <t xml:space="preserve">======
ID#AAAAwCqRXJo
      (2023-05-23 18:26:46)
Tacts 6 non-reinforcing items without echoic prompts.</t>
      </text>
    </comment>
    <comment authorId="0" ref="X37">
      <text>
        <t xml:space="preserve">======
ID#AAAAwCqRW8I
      (2023-05-23 18:26:46)
Plays with 2 different everyday items in creative ways (except for stimming).</t>
      </text>
    </comment>
    <comment authorId="0" ref="AM20">
      <text>
        <t xml:space="preserve">======
ID#AAAAwCqRWf0
     (2023-05-23 18:26:45)
Copies 10 letters or numbers legibly.</t>
      </text>
    </comment>
    <comment authorId="0" ref="I21">
      <text>
        <t xml:space="preserve">======
ID#AAAAwCqRXCw
     (2023-05-23 18:26:46)
Tacts a total of 4 adjectives or adverbs, but has some from each category. OR tacts 4 different adjectives, but not 4 adverbs, or vice versa.</t>
      </text>
    </comment>
    <comment authorId="0" ref="BG36">
      <text>
        <t xml:space="preserve">======
ID#AAAAwCqRXo0
      (2023-05-23 18:26:46)
Emits functional prosody on 2 occasions in one day.</t>
      </text>
    </comment>
    <comment authorId="0" ref="AR53">
      <text>
        <t xml:space="preserve">======
ID#AAAAwCR5j2I
      (2023-05-23 18:26:45)
Spontaneously emits 2 different whole word approximation.</t>
      </text>
    </comment>
    <comment authorId="0" ref="AR20">
      <text>
        <t xml:space="preserve">======
ID#AAAAwCqRXiI
     (2023-05-23 18:26:46)
Selects items from a page in a book or in the natural environment based on 3 verbal components for 25 WH question LRFFC tasks.</t>
      </text>
    </comment>
    <comment authorId="0" ref="N54">
      <text>
        <t xml:space="preserve">======
ID#AAAAwCqRXeU
      (2023-05-23 18:26:46)
Looks at, touches, or points to the correct family member, pet, or other reinforcer when presented in an array of 2, for 5 different reinforcers.</t>
      </text>
    </comment>
    <comment authorId="0" ref="AC37">
      <text>
        <t xml:space="preserve">======
ID#AAAAwCqRXEQ
      (2023-05-23 18:26:46)
Engages in sustained social play with peers for 3 minutes without adult prompts or reinforcement.</t>
      </text>
    </comment>
    <comment authorId="0" ref="N21">
      <text>
        <t xml:space="preserve">======
ID#AAAAwCqRXjY
     (2023-05-23 18:26:46)
Selects items from an array of similar stimuli based on 2 pairs of relative adjectives and follows 2 instructions involving 2 different adverbs, but has some from each category. 
OR LDs 4 different adjectives, but not 4 adverbs, or vice versa.</t>
      </text>
    </comment>
    <comment authorId="0" ref="S54">
      <text>
        <t xml:space="preserve">======
ID#AAAAwCqRXus
      (2023-05-23 18:26:46)
Visually attends to a toy or book for at least 30 seconds (not a self-stim item).</t>
      </text>
    </comment>
    <comment authorId="0" ref="AH37">
      <text>
        <t xml:space="preserve">======
ID#AAAAwCqRXeo
      (2023-05-23 18:26:46)
Imitates 10 different 
3-component sequences of actions.</t>
      </text>
    </comment>
    <comment authorId="0" ref="AW20">
      <text>
        <t xml:space="preserve">======
ID#AAAAwCqRXGw
     (2023-05-23 18:26:46)
Answers 2 questions after being read short passages 
(15+ words) from books, for 
25 passages.</t>
      </text>
    </comment>
    <comment authorId="0" ref="S21">
      <text>
        <t xml:space="preserve">======
ID#AAAAwCqRXfc
     (2023-05-23 18:26:46)
Completes 20 different block designs, parquetry, shape puzzles, or similar tasks that contain at least 4 different pieces.</t>
      </text>
    </comment>
    <comment authorId="0" ref="D38">
      <text>
        <t xml:space="preserve">======
ID#AAAAwCqRXZI
      (2023-05-23 18:26:46)
Emits 2 different mands that contain 2 or more words.</t>
      </text>
    </comment>
    <comment authorId="0" ref="AM37">
      <text>
        <t xml:space="preserve">======
ID#AAAAwCqRXwY
      (2023-05-23 18:26:46)
Scores at least 70 on the EESA sub-test.</t>
      </text>
    </comment>
    <comment authorId="0" ref="X54">
      <text>
        <t xml:space="preserve">======
ID#AAAAwCqRXJE
      (2023-05-23 18:26:46)
Demonstrates generalization by engaging in exploratory movement and playing with the toys in a novel environment for 2 minutes during a 30-minute observation.</t>
      </text>
    </comment>
    <comment authorId="0" ref="BB20">
      <text>
        <t xml:space="preserve">======
ID#AAAAwCqRWfo
     (2023-05-23 18:26:45)
Works independently for 5 minutes in a group, and stays on task for 50% of the period.</t>
      </text>
    </comment>
    <comment authorId="0" ref="X21">
      <text>
        <t xml:space="preserve">======
ID#AAAAwCqRXQE
     (2023-05-23 18:26:46)
Independently engages in arts and crafts type activities for 2 minutes.</t>
      </text>
    </comment>
    <comment authorId="0" ref="I38">
      <text>
        <t xml:space="preserve">======
ID#AAAAwCN6t48
      (2023-05-23 18:26:45)
Tacts 5 actions.</t>
      </text>
    </comment>
    <comment authorId="0" ref="AC54">
      <text>
        <t xml:space="preserve">======
ID#AAAAwCqRXlc
      (2023-05-23 18:26:46)
Spontaneously looks (glances) at other children 5 times during a 30-minute observation.</t>
      </text>
    </comment>
    <comment authorId="0" ref="BG20">
      <text>
        <t xml:space="preserve">======
ID#AAAAwCqRW0Y
     (2023-05-23 18:26:46)
Emits 10 different noun phrases containing at least 3 words with 2 modifiers.</t>
      </text>
    </comment>
    <comment authorId="0" ref="AR37">
      <text>
        <t xml:space="preserve">======
ID#AAAAwCR5j2o
      (2023-05-23 18:26:45)
Selects the correct item from an array of 8, for 25 different LRFFC fill-in statements of any type.</t>
      </text>
    </comment>
    <comment authorId="0" ref="N38">
      <text>
        <t xml:space="preserve">======
ID#AAAAwCqRWt4
      (2023-05-23 18:26:46)
Performs at least 
5 specific actions on command.</t>
      </text>
    </comment>
    <comment authorId="0" ref="AC21">
      <text>
        <t xml:space="preserve">======
ID#AAAAwCR5j2g
     (2023-05-23 18:26:45)
Intraverbally responds to 2 different questions or statements from peers.</t>
      </text>
    </comment>
    <comment authorId="0" ref="AH54">
      <text>
        <t xml:space="preserve">======
ID#AAAAwCqRXhg
      (2023-05-23 18:26:46)
Imitates 8 gross motor movements, 2 of which involve objects.</t>
      </text>
    </comment>
    <comment authorId="0" ref="BL20">
      <text>
        <t xml:space="preserve">======
ID#AAAAwCqRWwY
     (2023-05-23 18:26:46)
Counts out 1-5 items from a larger set of items with 1:1 correspondence when verbally asked.</t>
      </text>
    </comment>
    <comment authorId="0" ref="AW37">
      <text>
        <t xml:space="preserve">======
ID#AAAAwCqRWmg
      (2023-05-23 18:26:46)
Completes 25 different fill-in-the-blank phrases. 
(not including songs)</t>
      </text>
    </comment>
    <comment authorId="0" ref="AH21">
      <text>
        <t xml:space="preserve">======
ID#AAAAwCqRXg0
     (2023-05-23 18:26:46)
Tacts 5 uppercase letters on command.</t>
      </text>
    </comment>
    <comment authorId="0" ref="S38">
      <text>
        <t xml:space="preserve">======
ID#AAAAwCqRXek
      (2023-05-23 18:26:46)
Matches identical objects or pictures in a messy array of 8 containing 3 similar stimuli, 
for 15 items.</t>
      </text>
    </comment>
    <comment authorId="0" ref="D55">
      <text>
        <t xml:space="preserve">======
ID#AAAAwCqRWi8
      (2023-05-23 18:26:46)
Generalizes 3 mands across 
2 people, 2 settings, and 
2 different examples of a reinforcer.</t>
      </text>
    </comment>
    <comment authorId="0" ref="D22">
      <text>
        <t xml:space="preserve">======
ID#AAAAwCqRXsA
     (2023-05-23 18:26:46)
Politely mands to stop an undesirable activity, or remove any aversive MO under 5 different circumstances.</t>
      </text>
    </comment>
    <comment authorId="0" ref="AM54">
      <text>
        <t xml:space="preserve">======
ID#AAAAwCqRXGE
      (2023-05-23 18:26:46)
Scores 10 or more on the EESA sub-test.</t>
      </text>
    </comment>
    <comment authorId="0" ref="BB37">
      <text>
        <t xml:space="preserve">======
ID#AAAAwCqRWuE
      (2023-05-23 18:26:46)
Transitions between classroom activities with no more than 1 gestural or verbal prompt.</t>
      </text>
    </comment>
    <comment authorId="0" ref="I55">
      <text>
        <t xml:space="preserve">======
ID#AAAAwCqRXiA
      (2023-05-23 18:26:46)
Tacts 5 non-reinforcing items without echoic prompts.</t>
      </text>
    </comment>
    <comment authorId="0" ref="AM21">
      <text>
        <t xml:space="preserve">======
ID#AAAAwCqRWsM
     (2023-05-23 18:26:46)
Copies 5 letters or numbers legibly.</t>
      </text>
    </comment>
    <comment authorId="0" ref="X38">
      <text>
        <t xml:space="preserve">======
ID#AAAAwCR5j24
      (2023-05-23 18:26:45)
Plays with 1 everyday item in a creative way. 
(except for stimming)</t>
      </text>
    </comment>
    <comment authorId="0" ref="I22">
      <text>
        <t xml:space="preserve">======
ID#AAAAwCqRXNM
     (2023-05-23 18:26:46)
Tacts 4 different prepositions and 4 pronouns.</t>
      </text>
    </comment>
    <comment authorId="0" ref="AR54">
      <text>
        <t xml:space="preserve">======
ID#AAAAwCqRXi4
      (2023-05-23 18:26:46)
Spontaneously emits at least 
10 different speech sounds with varying intonations, averaging at least 25 total sounds each hour.</t>
      </text>
    </comment>
    <comment authorId="0" ref="BG37">
      <text>
        <t xml:space="preserve">======
ID#AAAAwCqRXK8
      (2023-05-23 18:26:46)
Emits 10 different 2-word utterances per day of any type except echoic.</t>
      </text>
    </comment>
    <comment authorId="0" ref="AC38">
      <text>
        <t xml:space="preserve">======
ID#AAAAwCqRXw0
      (2023-05-23 18:26:46)
Engages in sustained social play with peers for 2 minutes without adult prompts or reinforcement.</t>
      </text>
    </comment>
    <comment authorId="0" ref="AR21">
      <text>
        <t xml:space="preserve">======
ID#AAAAwCqRWvQ
     (2023-05-23 18:26:46)
Selects items from a page in a book or in the natural environment based on 3 verbal components for 15 WH question LRFFC tasks.</t>
      </text>
    </comment>
    <comment authorId="0" ref="N55">
      <text>
        <t xml:space="preserve">======
ID#AAAAwCqRWqg
      (2023-05-23 18:26:46)
Looks at, touches, or points to the correct family member, pet, or other reinforcer when presented in an array of 2, for 2 different reinforcers.</t>
      </text>
    </comment>
    <comment authorId="0" ref="N22">
      <text>
        <t xml:space="preserve">======
ID#AAAAwCqRXBg
     (2023-05-23 18:26:46)
Follows 2 instructions involving 6 different prepositions and 4 different pronouns.</t>
      </text>
    </comment>
    <comment authorId="0" ref="AH38">
      <text>
        <t xml:space="preserve">======
ID#AAAAwCqRXlM
      (2023-05-23 18:26:46)
Imitates 5 different 
2-component sequences of actions.</t>
      </text>
    </comment>
    <comment authorId="0" ref="AW21">
      <text>
        <t xml:space="preserve">======
ID#AAAAwCqRXWw
     (2023-05-23 18:26:46)
Answers 1 question after being read short passages (10 words) from books, for 25 passages.</t>
      </text>
    </comment>
    <comment authorId="0" ref="S55">
      <text>
        <t xml:space="preserve">======
ID#AAAAwCqRW6Q
      (2023-05-23 18:26:46)
Visually attends to a toy or book for at least 15 seconds (not a self-stim item).</t>
      </text>
    </comment>
    <comment authorId="0" ref="D39">
      <text>
        <t xml:space="preserve">======
ID#AAAAwCqRWt0
      (2023-05-23 18:26:46)
Spontaneously mands for others to emit 5 different actions or missing actions needed to enjoy a desired activity.</t>
      </text>
    </comment>
    <comment authorId="0" ref="S22">
      <text>
        <t xml:space="preserve">======
ID#AAAAwCqRWfw
     (2023-05-23 18:26:45)
Demonstrates generalized non-identical matching in a messy array of 10 with 3 similar stimuli, for 25 items.</t>
      </text>
    </comment>
    <comment authorId="0" ref="X55">
      <text>
        <t xml:space="preserve">======
ID#AAAAwCqRXaw
      (2023-05-23 18:26:46)
Demonstrates generalization by engaging in exploratory movement and playing with the toys in a novel environment for 1 minute during a 30-minute observation.</t>
      </text>
    </comment>
    <comment authorId="0" ref="AM38">
      <text>
        <t xml:space="preserve">======
ID#AAAAwCqRXMI
      (2023-05-23 18:26:46)
Scores at least 65 on the EESA sub-test.</t>
      </text>
    </comment>
    <comment authorId="0" ref="BB21">
      <text>
        <t xml:space="preserve">======
ID#AAAAwCqRW1Q
     (2023-05-23 18:26:46)
Works independently for 2 minutes in a group, and stays on task for 50% of the period.</t>
      </text>
    </comment>
    <comment authorId="0" ref="I39">
      <text>
        <t xml:space="preserve">======
ID#AAAAwCqRXVo
      (2023-05-23 18:26:46)
Generalizes tacts across 
3 examples of 50 items, tested or from a list of known generalizations.</t>
      </text>
    </comment>
    <comment authorId="0" ref="X22">
      <text>
        <t xml:space="preserve">======
ID#AAAAwCqRWnc
     (2023-05-23 18:26:46)
Repeats a gross motor play behavior to obtain a better effect for 2 activities.</t>
      </text>
    </comment>
    <comment authorId="0" ref="AR38">
      <text>
        <t xml:space="preserve">======
ID#AAAAwCqRXOY
      (2023-05-23 18:26:46)
Selects the correct item from an array of 8, for 12 different LRFFC fill-in statements of any type.</t>
      </text>
    </comment>
    <comment authorId="0" ref="BG21">
      <text>
        <t xml:space="preserve">======
ID#AAAAwCqRWo4
     (2023-05-23 18:26:46)
Emits 5 different noun phrases containing at least 3 words with 2 modifiers.</t>
      </text>
    </comment>
    <comment authorId="0" ref="AC55">
      <text>
        <t xml:space="preserve">======
ID#AAAAwCqRWos
      (2023-05-23 18:26:46)
Spontaneously looks (glances) at other children 2 times during a 30-minute observation.</t>
      </text>
    </comment>
    <comment authorId="0" ref="N39">
      <text>
        <t xml:space="preserve">======
ID#AAAAwCqRXts
      (2023-05-23 18:26:46)
Generalizes listener discriminations in a messy array of 8, for 3 different examples of 50 items.</t>
      </text>
    </comment>
    <comment authorId="0" ref="AC22">
      <text>
        <t xml:space="preserve">======
ID#AAAAwCqRWo8
     (2023-05-23 18:26:46)
Spontaneously mands to peers with a WH question 5 times.</t>
      </text>
    </comment>
    <comment authorId="0" ref="BL21">
      <text>
        <t xml:space="preserve">======
ID#AAAAwCqRXbA
     (2023-05-23 18:26:46)
Counts out 1-3 items from a larger set of items with 1:1 correspondence when verbally asked.</t>
      </text>
    </comment>
    <comment authorId="0" ref="AH55">
      <text>
        <t xml:space="preserve">======
ID#AAAAwCqRXTM
      (2023-05-23 18:26:46)
Imitates 6 behaviors of any type.</t>
      </text>
    </comment>
    <comment authorId="0" ref="AW38">
      <text>
        <t xml:space="preserve">======
ID#AAAAwCqRWqI
      (2023-05-23 18:26:46)
Completes 12 different fill-in-the-blank phrases 
(not including songs).</t>
      </text>
    </comment>
    <comment authorId="0" ref="D56">
      <text>
        <t xml:space="preserve">======
ID#AAAAwCqRXCE
      (2023-05-23 18:26:46)
Emits at least 4 different mands without prompts, but the desired item can be present, and the verbal prompt, "What do you want?"</t>
      </text>
    </comment>
    <comment authorId="0" ref="S39">
      <text>
        <t xml:space="preserve">======
ID#AAAAwCqRW6I
      (2023-05-23 18:26:46)
Sorts similar colors and shapes for 10 different colors or shapes given models.</t>
      </text>
    </comment>
    <comment authorId="0" ref="AH22">
      <text>
        <t xml:space="preserve">======
ID#AAAAwCqRWjg
     (2023-05-23 18:26:46)
Selects (LDs) the correct uppercase letter from an array of 5 letters, for 10 different letters.</t>
      </text>
    </comment>
    <comment authorId="0" ref="D23">
      <text>
        <t xml:space="preserve">======
ID#AAAAwCqRWv8
     (2023-05-23 18:26:46)
Politely mands to stop an undesirable activity, or remove any aversive MO under 2 different circumstances.</t>
      </text>
    </comment>
    <comment authorId="0" ref="BB38">
      <text>
        <t xml:space="preserve">======
ID#AAAAwCqRXsw
      (2023-05-23 18:26:46)
Transitions between classroom activities, but requires 2 or more prompts of any type
(except physical).</t>
      </text>
    </comment>
    <comment authorId="0" ref="AM55">
      <text>
        <t xml:space="preserve">======
ID#AAAAwCqRWuk
      (2023-05-23 18:26:46)
Scores at least 7 on EESA sub-test.</t>
      </text>
    </comment>
    <comment authorId="0" ref="AM22">
      <text>
        <t xml:space="preserve">======
ID#AAAAwCqRXRU
     (2023-05-23 18:26:46)
Independently traces within 1/4 inch of the lines of 5 different geometrical shapes.</t>
      </text>
    </comment>
    <comment authorId="0" ref="I56">
      <text>
        <t xml:space="preserve">======
ID#AAAAwCqRWz0
      (2023-05-23 18:26:46)
Tacts any 4 items without echoic prompts.</t>
      </text>
    </comment>
    <comment authorId="0" ref="X39">
      <text>
        <t xml:space="preserve">======
ID#AAAAwCqRWoU
      (2023-05-23 18:26:46)
Independently demonstrates the use of toys or objects according to their function for 5 items.</t>
      </text>
    </comment>
    <comment authorId="0" ref="I23">
      <text>
        <t xml:space="preserve">======
ID#AAAAwCqRW7M
     (2023-05-23 18:26:46)
Tacts a total of 4 prepositions and pronouns, but has some from each category. OR tacts 
4 different prepositions, but not 4 pronouns, or vice versa.</t>
      </text>
    </comment>
    <comment authorId="0" ref="BG38">
      <text>
        <t xml:space="preserve">======
ID#AAAAwCqRWrQ
      (2023-05-23 18:26:46)
Emits 5 different 2-word utterances per day of any type except echoic.</t>
      </text>
    </comment>
    <comment authorId="0" ref="AR55">
      <text>
        <t xml:space="preserve">======
ID#AAAAwCqRWnY
      (2023-05-23 18:26:46)
Spontaneously emits at least 
5 different speech sounds with varying intonations, averaging at least 25 total sounds each hour.</t>
      </text>
    </comment>
    <comment authorId="0" ref="AC39">
      <text>
        <t xml:space="preserve">======
ID#AAAAwCqRXzs
      (2023-05-23 18:26:46)
Spontaneously mands to peers 5 times.</t>
      </text>
    </comment>
    <comment authorId="0" ref="AR22">
      <text>
        <t xml:space="preserve">======
ID#AAAAwCqRXtE
     (2023-05-23 18:26:46)
Selects items from a book based on 2 verbal components: either a feature, function or class for 25 LRFFC tasks.</t>
      </text>
    </comment>
    <comment authorId="0" ref="N56">
      <text>
        <t xml:space="preserve">======
ID#AAAAwCqRWfM
      (2023-05-23 18:26:45)
Responds to hearing his own name 5 times.</t>
      </text>
    </comment>
    <comment authorId="0" ref="N23">
      <text>
        <t xml:space="preserve">======
ID#AAAAwCqRW58
     (2023-05-23 18:26:46)
Follows 2 instructions involving each of 3 different prepositions and 2 different pronouns. 
OR follows 2 instructions for each of 6 different prepositions, but not 4 pronouns, or vice versa.</t>
      </text>
    </comment>
    <comment authorId="0" ref="AW22">
      <text>
        <t xml:space="preserve">======
ID#AAAAwCqRXr8
     (2023-05-23 18:26:46)
Demonstrates 300 different intraverbal responses.</t>
      </text>
    </comment>
    <comment authorId="0" ref="S56">
      <text>
        <t xml:space="preserve">======
ID#AAAAwCqRXZc
      (2023-05-23 18:26:46)
Successfully reaches for and grabs small toys and other objects, 5 times during observation 
(pincer grasp).</t>
      </text>
    </comment>
    <comment authorId="0" ref="AH39">
      <text>
        <t xml:space="preserve">======
ID#AAAAwCqRWsI
      (2023-05-23 18:26:46)
Imitates 20 different fine motor actions.</t>
      </text>
    </comment>
    <comment authorId="0" ref="S23">
      <text>
        <t xml:space="preserve">======
ID#AAAAwCqRXvk
     (2023-05-23 18:26:46)
Demonstrates generalized non-identical matching in a messy array of 10 with 3 similar stimuli, for 15 items.</t>
      </text>
    </comment>
    <comment authorId="0" ref="D40">
      <text>
        <t xml:space="preserve">======
ID#AAAAwCqRXbc
      (2023-05-23 18:26:46)
Spontaneously mands for others to emit 2 different actions or missing actions needed to enjoy a desired activity.</t>
      </text>
    </comment>
    <comment authorId="0" ref="BB22">
      <text>
        <t xml:space="preserve">======
ID#AAAAwCqRXS4
     (2023-05-23 18:26:46)
Responds to 5 different group instructions or questions without direct prompts in a group of 3 or more children.</t>
      </text>
    </comment>
    <comment authorId="0" ref="AM39">
      <text>
        <t xml:space="preserve">======
ID#AAAAwCqRWyw
      (2023-05-23 18:26:46)
Scores at least 60 on the EESA sub-test.</t>
      </text>
    </comment>
    <comment authorId="0" ref="X56">
      <text>
        <t xml:space="preserve">======
ID#AAAAwCqRWuY
      (2023-05-23 18:26:46)
Shows variation in play by independently interacting with 5 different items during a 
30-minute observation.</t>
      </text>
    </comment>
    <comment authorId="0" ref="I40">
      <text>
        <t xml:space="preserve">======
ID#AAAAwCqRXws
      (2023-05-23 18:26:46)
Generalizes tacts across 
2 examples of 50 items, tested or from a list of known generalizations.</t>
      </text>
    </comment>
    <comment authorId="0" ref="X23">
      <text>
        <t xml:space="preserve">======
ID#AAAAwCqRWvo
     (2023-05-23 18:26:46)
Repeats a gross motor play behavior to obtain a better effect for 1 activity.</t>
      </text>
    </comment>
    <comment authorId="0" ref="AC56">
      <text>
        <t xml:space="preserve">======
ID#AAAAwCqRXhc
      (2023-05-23 18:26:46)
Indicates that he wants to be held or physically played with 2 times during a 
1-hour observation.</t>
      </text>
    </comment>
    <comment authorId="0" ref="BG22">
      <text>
        <t xml:space="preserve">======
ID#AAAAwCqRXZE
     (2023-05-23 18:26:46)
Emits verb inflections by combining 10 root verbs with affixes for regular past tense and 10 root verbs with affixes for future tense.</t>
      </text>
    </comment>
    <comment authorId="0" ref="AR39">
      <text>
        <t xml:space="preserve">======
ID#AAAAwCqRXA4
      (2023-05-23 18:26:46)
Selects 5 different foods or drinks when each are presented in an array of 5, and asked the verbal fill-ins. 
(Ex: "You eat ___.")</t>
      </text>
    </comment>
    <comment authorId="0" ref="N40">
      <text>
        <t xml:space="preserve">======
ID#AAAAwCqRXUY
      (2023-05-23 18:26:46)
Generalizes listener discriminations in a messy array of 8, for 2 different examples of 25 items.</t>
      </text>
    </comment>
    <comment authorId="0" ref="AC23">
      <text>
        <t xml:space="preserve">======
ID#AAAAwCR5j14
     (2023-05-23 18:26:45)
Spontaneously mands to peers with a WH question 2 times.</t>
      </text>
    </comment>
    <comment authorId="0" ref="BL22">
      <text>
        <t xml:space="preserve">======
ID#AAAAwCqRXqg
     (2023-05-23 18:26:46)
Tacts the numbers 1-5.</t>
      </text>
    </comment>
    <comment authorId="0" ref="AH56">
      <text>
        <t xml:space="preserve">======
ID#AAAAwCqRXPQ
      (2023-05-23 18:26:46)
Imitates 4 gross motor movements when prompted with, "Do this."</t>
      </text>
    </comment>
    <comment authorId="0" ref="AW39">
      <text>
        <t xml:space="preserve">======
ID#AAAAwCqRWfc
      (2023-05-23 18:26:45)
Provides first name when asked, "What is your name?"</t>
      </text>
    </comment>
    <comment authorId="0" ref="AH23">
      <text>
        <t xml:space="preserve">======
ID#AAAAwCqRXm4
     (2023-05-23 18:26:46)
Selects (LDs) the correct uppercase letter from an array of 5 letters, for 5 different letters.</t>
      </text>
    </comment>
    <comment authorId="0" ref="D57">
      <text>
        <t xml:space="preserve">======
ID#AAAAwCqRXU0
      (2023-05-23 18:26:46)
Emits at least 3 different mands without prompts, but the desired item can be present, and the verbal prompt, "What do you want?"</t>
      </text>
    </comment>
    <comment authorId="0" ref="S40">
      <text>
        <t xml:space="preserve">======
ID#AAAAwCqRW3g
      (2023-05-23 18:26:46)
Sorts similar colors and shapes for 5 different colors or shapes given models.</t>
      </text>
    </comment>
    <comment authorId="0" ref="D24">
      <text>
        <t xml:space="preserve">======
ID#AAAAwCqRWqs
     (2023-05-23 18:26:46)
Spontaneously mands for verbal information using a WH question or question word 5 times.</t>
      </text>
    </comment>
    <comment authorId="0" ref="AM56">
      <text>
        <t xml:space="preserve">======
ID#AAAAwCqRXN0
      (2023-05-23 18:26:46)
Scores 5 or more on the EESA sub-test.</t>
      </text>
    </comment>
    <comment authorId="0" ref="BB39">
      <text>
        <t xml:space="preserve">======
ID#AAAAwCqRW3M
      (2023-05-23 18:26:46)
Puts away personal items, lines up, or comes to a table with only 1 verbal prompt.</t>
      </text>
    </comment>
    <comment authorId="0" ref="X40">
      <text>
        <t xml:space="preserve">======
ID#AAAAwCqRXjg
      (2023-05-23 18:26:46)
Independently demonstrates the use of toys or objects according to their function for 2 items.</t>
      </text>
    </comment>
    <comment authorId="0" ref="I57">
      <text>
        <t xml:space="preserve">======
ID#AAAAwCqRXYI
      (2023-05-23 18:26:46)
Tacts at least 3 items without echoic prompts.</t>
      </text>
    </comment>
    <comment authorId="0" ref="AM23">
      <text>
        <t xml:space="preserve">======
ID#AAAAwCqRXQ0
     (2023-05-23 18:26:46)
Independently traces within 1/2 inch of the lines of 5 different geometrical shapes.</t>
      </text>
    </comment>
    <comment authorId="0" ref="I24">
      <text>
        <t xml:space="preserve">======
ID#AAAAwCR5j2U
     (2023-05-23 18:26:45)
Tacts the color, shape, and function of 5 different objects (15 trials) when object and question is presented in a mixed order.</t>
      </text>
    </comment>
    <comment authorId="0" ref="AR56">
      <text>
        <t xml:space="preserve">======
ID#AAAAwCqRWg4
      (2023-05-23 18:26:46)
Spontaneously emits at least 5 different speech sounds, averaging at least 10 total sounds each hour.</t>
      </text>
    </comment>
    <comment authorId="0" ref="BG39">
      <text>
        <t xml:space="preserve">======
ID#AAAAwCqRWgA
      (2023-05-23 18:26:45)
Has a total listener vocabulary of 100 words.</t>
      </text>
    </comment>
    <comment authorId="0" ref="AR23">
      <text>
        <t xml:space="preserve">======
ID#AAAAwCqRXrw
     (2023-05-23 18:26:46)
Selects items from a book based on 2 verbal components: either a feature, function or class for 15 LRFFC tasks.</t>
      </text>
    </comment>
    <comment authorId="0" ref="AC40">
      <text>
        <t xml:space="preserve">======
ID#AAAAwCqRWwM
      (2023-05-23 18:26:46)
Spontaneously mands to peers 2 times.</t>
      </text>
    </comment>
    <comment authorId="0" ref="N57">
      <text>
        <t xml:space="preserve">======
ID#AAAAwCqRWgc
      (2023-05-23 18:26:45)
Responds to hearing his own name 5 times.  
(There is no 1/2 point score.)</t>
      </text>
    </comment>
    <comment authorId="0" ref="N24">
      <text>
        <t xml:space="preserve">======
ID#AAAAwCqRXZU
     (2023-05-23 18:26:46)
Selects items by color and shape from an array of 6 similar stimuli, for 4 colors and 4 shapes.</t>
      </text>
    </comment>
    <comment authorId="0" ref="AH40">
      <text>
        <t xml:space="preserve">======
ID#AAAAwCqRXU8
      (2023-05-23 18:26:46)
Imitates 10 different fine motor actions.</t>
      </text>
    </comment>
    <comment authorId="0" ref="S57">
      <text>
        <t xml:space="preserve">======
ID#AAAAwCqRXBo
      (2023-05-23 18:26:46)
Usually requires 2 or more attempts to successfully reach and grab small items in front of him.</t>
      </text>
    </comment>
    <comment authorId="0" ref="AW23">
      <text>
        <t xml:space="preserve">======
ID#AAAAwCqRWhM
     (2023-05-23 18:26:46)
Demonstrates 200 different intraverbal responses.</t>
      </text>
    </comment>
    <comment authorId="0" ref="D41">
      <text>
        <t xml:space="preserve">======
ID#AAAAwCqRXvQ
      (2023-05-23 18:26:46)
Mands for at least 
20 different missing items without prompts.</t>
      </text>
    </comment>
    <comment authorId="0" ref="S24">
      <text>
        <t xml:space="preserve">======
ID#AAAAwCqRW-c
     (2023-05-23 18:26:46)
Spontaneously matches any part of an arts and crafts activity to another person's sample 2 times.</t>
      </text>
    </comment>
    <comment authorId="0" ref="AM40">
      <text>
        <t xml:space="preserve">======
ID#AAAAwCqRXH0
      (2023-05-23 18:26:46)
Scores at least 55 on the EESA sub-test.</t>
      </text>
    </comment>
    <comment authorId="0" ref="X57">
      <text>
        <t xml:space="preserve">======
ID#AAAAwCqRW78
      (2023-05-23 18:26:46)
Shows variation in play by independently interacting with 3 different items during a 
30-minute observation.</t>
      </text>
    </comment>
    <comment authorId="0" ref="BB23">
      <text>
        <t xml:space="preserve">======
ID#AAAAwCqRWjE
     (2023-05-23 18:26:46)
Responds to 2 different group instructions or questions without direct prompts in a group of 3 or more children.</t>
      </text>
    </comment>
    <comment authorId="0" ref="X24">
      <text>
        <t xml:space="preserve">======
ID#AAAAwCqRXvo
     (2023-05-23 18:26:46)
Spontaneously engages in pretend or imaginary play on 5 occasions.</t>
      </text>
    </comment>
    <comment authorId="0" ref="I41">
      <text>
        <t xml:space="preserve">======
ID#AAAAwCqRW34
      (2023-05-23 18:26:46)
Tacts at least 25 items.</t>
      </text>
    </comment>
    <comment authorId="0" ref="BG23">
      <text>
        <t xml:space="preserve">======
ID#AAAAwCqRXkM
     (2023-05-23 18:26:46)
Emits verb inflections for 10 past tense verbs, but not for 10 future tense verbs, or vice versa.</t>
      </text>
    </comment>
    <comment authorId="0" ref="AR40">
      <text>
        <t xml:space="preserve">======
ID#AAAAwCqRXCQ
      (2023-05-23 18:26:46)
Selects 2 different foods or drinks when each are presented in an array of 5, and asked the verbal fill-ins. 
(Ex: "You eat ___.")</t>
      </text>
    </comment>
    <comment authorId="0" ref="AC57">
      <text>
        <t xml:space="preserve">======
ID#AAAAwCqRWj8
      (2023-05-23 18:26:46)
Indicates that he wants to be held or physically played with 1 time during a 
1-hour observation.</t>
      </text>
    </comment>
    <comment authorId="0" ref="AC24">
      <text>
        <t xml:space="preserve">======
ID#AAAAwCqRXDg
     (2023-05-23 18:26:46)
Spontaneously cooperates with a peer to accomplish a specific outcome 5 times.</t>
      </text>
    </comment>
    <comment authorId="0" ref="N41">
      <text>
        <t xml:space="preserve">======
ID#AAAAwCqRW8U
      (2023-05-23 18:26:46)
Selects the correct item from a messy array of 6, for 40 different objects or pictures.</t>
      </text>
    </comment>
    <comment authorId="0" ref="AW40">
      <text>
        <t xml:space="preserve">======
ID#AAAAwCqRXZo
      (2023-05-23 18:26:46)
Provides first name when asked, "What is your name?"  
(There is no 1/2 point score.)</t>
      </text>
    </comment>
    <comment authorId="0" ref="AH57">
      <text>
        <t xml:space="preserve">======
ID#AAAAwCqRW1c
      (2023-05-23 18:26:46)
Imitates 3 gross motor movements when prompted with, "Do this."</t>
      </text>
    </comment>
    <comment authorId="0" ref="BL23">
      <text>
        <t xml:space="preserve">======
ID#AAAAwCN6t5s
     (2023-05-23 18:26:45)
Tacts any 3 numbers.</t>
      </text>
    </comment>
    <comment authorId="0" ref="D58">
      <text>
        <t xml:space="preserve">======
ID#AAAAwCqRXxg
      (2023-05-23 18:26:46)
Emits at least 2 words, signs, PECS as a mand, but may require echoic, imitative, or other prompts (no physical prompts).</t>
      </text>
    </comment>
    <comment authorId="0" ref="S41">
      <text>
        <t xml:space="preserve">======
ID#AAAAwCqRWvw
      (2023-05-23 18:26:46)
Matches identical objects or pictures in a messy array of 6 for 25 items.</t>
      </text>
    </comment>
    <comment authorId="0" ref="AH24">
      <text>
        <t xml:space="preserve">======
ID#AAAAwCN6t4g
     (2023-05-23 18:26:45)
Attends to a book when a story is being read to him for 75% of the time.</t>
      </text>
    </comment>
    <comment authorId="0" ref="D25">
      <text>
        <t xml:space="preserve">======
ID#AAAAwCqRXgs
     (2023-05-23 18:26:46)
Spontaneously mands for verbal information using a WH question or question word 2 times.</t>
      </text>
    </comment>
    <comment authorId="0" ref="AM57">
      <text>
        <t xml:space="preserve">======
ID#AAAAwCqRXLI
      (2023-05-23 18:26:46)
Scores at least 3 on EESA sub-test.</t>
      </text>
    </comment>
    <comment authorId="0" ref="BB40">
      <text>
        <t xml:space="preserve">======
ID#AAAAwCqRWtI
      (2023-05-23 18:26:46)
Puts away personal items, lines up, or comes to a table but it requires 2 or more prompts.</t>
      </text>
    </comment>
    <comment authorId="0" ref="AM24">
      <text>
        <t xml:space="preserve">======
ID#AAAAwCqRXfI
     (2023-05-23 18:26:46)
Imitates 5 different writing actions modeled by an adult using a writing instrument and writing surface.</t>
      </text>
    </comment>
    <comment authorId="0" ref="X41">
      <text>
        <t xml:space="preserve">======
ID#AAAAwCqRXFU
      (2023-05-23 18:26:46)
Searches for a missing or corresponding toy or part of a set for 5 items or sets.</t>
      </text>
    </comment>
    <comment authorId="0" ref="I58">
      <text>
        <t xml:space="preserve">======
ID#AAAAwCqRWvc
      (2023-05-23 18:26:46)
Tacts 2 items without echoic prompts.</t>
      </text>
    </comment>
    <comment authorId="0" ref="I25">
      <text>
        <t xml:space="preserve">======
ID#AAAAwCqRXxQ
     (2023-05-23 18:26:46)
Tacts 2 features (color or shape) or functions of 5 different objects (10 trials) when each is asked in a mixed order.</t>
      </text>
    </comment>
    <comment authorId="0" ref="AR57">
      <text>
        <t xml:space="preserve">======
ID#AAAAwCqRXpE
      (2023-05-23 18:26:46)
Spontaneously emits at least 3 different speech sounds, averaging at least 10 total sounds each hour.</t>
      </text>
    </comment>
    <comment authorId="0" ref="BG40">
      <text>
        <t xml:space="preserve">======
ID#AAAAwCqRXnA
      (2023-05-23 18:26:46)
Has a total listener vocabulary of 50 words.</t>
      </text>
    </comment>
    <comment authorId="0" ref="AR24">
      <text>
        <t xml:space="preserve">======
ID#AAAAwCqRW_M
     (2023-05-23 18:26:46)
Selects the correct item from an array of 10 that contains 3 similar stimuli, for 25 tasks.</t>
      </text>
    </comment>
    <comment authorId="0" ref="N58">
      <text>
        <t xml:space="preserve">======
ID#AAAAwCqRW80
      (2023-05-23 18:26:46)
Attends to a speaker's voice by orienting toward the speaker 5 times.</t>
      </text>
    </comment>
    <comment authorId="0" ref="AC41">
      <text>
        <t xml:space="preserve">======
ID#AAAAwCqRWiY
      (2023-05-23 18:26:46)
Initiates a physical interaction with a peer 
2 times.</t>
      </text>
    </comment>
    <comment authorId="0" ref="N25">
      <text>
        <t xml:space="preserve">======
ID#AAAAwCqRXiY
     (2023-05-23 18:26:46)
Selects items by color and shape from an array of 6 similar stimuli, for 2 colors and 2 shapes.</t>
      </text>
    </comment>
    <comment authorId="0" ref="AH41">
      <text>
        <t xml:space="preserve">======
ID#AAAAwCqRW7I
      (2023-05-23 18:26:46)
Imitates 10 actions that require selecting a specific object from an array of 3.</t>
      </text>
    </comment>
    <comment authorId="0" ref="AW24">
      <text>
        <t xml:space="preserve">======
ID#AAAAwCqRWtk
     (2023-05-23 18:26:46)
Spontaneously emits 20 intraverbal comments (can be part mand).</t>
      </text>
    </comment>
    <comment authorId="0" ref="S58">
      <text>
        <t xml:space="preserve">======
ID#AAAAwCN6t5k
      (2023-05-23 18:26:45)
Visually tracks moving stimuli for 2 seconds, 5 times during the 30-minute observation.</t>
      </text>
    </comment>
    <comment authorId="0" ref="S25">
      <text>
        <t xml:space="preserve">======
ID#AAAAwCqRXbk
     (2023-05-23 18:26:46)
Spontaneously matches any part of an arts and crafts activity to another person's sample once.</t>
      </text>
    </comment>
    <comment authorId="0" ref="D42">
      <text>
        <t xml:space="preserve">======
ID#AAAAwCqRXS0
      (2023-05-23 18:26:46)
Mands for at least 
10 different missing items without prompts.</t>
      </text>
    </comment>
    <comment authorId="0" ref="BB24">
      <text>
        <t xml:space="preserve">======
ID#AAAAwCqRXoo
     (2023-05-23 18:26:46)
Uses the toilet and washes hands with only verbal prompts.</t>
      </text>
    </comment>
    <comment authorId="0" ref="AM41">
      <text>
        <t xml:space="preserve">======
ID#AAAAwCqRW7E
      (2023-05-23 18:26:46)
Scores at least 50 on the EESA sub-test (at least 20 from Group 2).</t>
      </text>
    </comment>
    <comment authorId="0" ref="X58">
      <text>
        <t xml:space="preserve">======
ID#AAAAwCqRW2A
      (2023-05-23 18:26:46)
Independently manipulates and explores objects for 1 minute during a 30 minute observation.</t>
      </text>
    </comment>
    <comment authorId="0" ref="X25">
      <text>
        <t xml:space="preserve">======
ID#AAAAwCqRXyg
     (2023-05-23 18:26:46)
Spontaneously engages in pretend or imaginary play on 2 occasions.</t>
      </text>
    </comment>
    <comment authorId="0" ref="I42">
      <text>
        <t xml:space="preserve">======
ID#AAAAwCqRXmk
      (2023-05-23 18:26:46)
Tacts at least 20 items.</t>
      </text>
    </comment>
    <comment authorId="0" ref="AC58">
      <text>
        <t xml:space="preserve">======
ID#AAAAwCqRXEE
      (2023-05-23 18:26:46)
Visually tracks and shows interest in people's movement at least 5 times.</t>
      </text>
    </comment>
    <comment authorId="0" ref="AR41">
      <text>
        <t xml:space="preserve">======
ID#AAAAwCqRW6M
      (2023-05-23 18:26:46)
Selects an animal or object from an array of 3, for 
5 different sounds made by 
the corresponding items.</t>
      </text>
    </comment>
    <comment authorId="0" ref="BG24">
      <text>
        <t xml:space="preserve">======
ID#AAAAwCqRWrI
     (2023-05-23 18:26:46)
Emits noun inflections by combining 10 root nouns with suffixes for plurals and 10 root nouns with suffixes for possessions.</t>
      </text>
    </comment>
    <comment authorId="0" ref="AC25">
      <text>
        <t xml:space="preserve">======
ID#AAAAwCqRXKs
     (2023-05-23 18:26:46)
Spontaneously cooperates with a peer to accomplish a specific outcome 2 times.</t>
      </text>
    </comment>
    <comment authorId="0" ref="N42">
      <text>
        <t xml:space="preserve">======
ID#AAAAwCqRWu8
      (2023-05-23 18:26:46)
Selects the correct item from a messy array of 6, for 25 different objects or pictures.</t>
      </text>
    </comment>
    <comment authorId="0" ref="AW41">
      <text>
        <t xml:space="preserve">======
ID#AAAAwCqRXkk
      (2023-05-23 18:26:46)
Completes 10 different fill-in-the-blank phrases of any type.</t>
      </text>
    </comment>
    <comment authorId="0" ref="AH58">
      <text>
        <t xml:space="preserve">======
ID#AAAAwCqRXOM
      (2023-05-23 18:26:46)
Imitates 2 gross motor movements when prompted with, "Do this."</t>
      </text>
    </comment>
    <comment authorId="0" ref="BL24">
      <text>
        <t xml:space="preserve">======
ID#AAAAwCqRW7o
     (2023-05-23 18:26:46)
Identifies as a listener the numbers 1-5 in an array of 
5 different numbers.</t>
      </text>
    </comment>
    <comment authorId="0" ref="AH25">
      <text>
        <t xml:space="preserve">======
ID#AAAAwCqRXzk
     (2023-05-23 18:26:46)
Attends to a book when a story is being read to him for 50% of the time.</t>
      </text>
    </comment>
    <comment authorId="0" ref="S42">
      <text>
        <t xml:space="preserve">======
ID#AAAAwCqRXxI
      (2023-05-23 18:26:46)
Matches identical objects or pictures in a messy array of 4 for 15 items.</t>
      </text>
    </comment>
    <comment authorId="0" ref="D59">
      <text>
        <t xml:space="preserve">======
ID#AAAAwCqRWwc
      (2023-05-23 18:26:46)
Emits 1 word, sign, PECS as a mand, but may require echoic, imitative, or other prompts 
(no physical prompts).</t>
      </text>
    </comment>
    <comment authorId="0" ref="BB41">
      <text>
        <t xml:space="preserve">======
ID#AAAAwCqRXoc
      (2023-05-23 18:26:46)
Sits at a group snack or lunch table without negative behavior for 3 minutes.</t>
      </text>
    </comment>
    <comment authorId="0" ref="AM58">
      <text>
        <t xml:space="preserve">======
ID#AAAAwCqRXWg
      (2023-05-23 18:26:46)
Scores 2 or more on the EESA sub-test.</t>
      </text>
    </comment>
    <comment authorId="0" ref="X42">
      <text>
        <t xml:space="preserve">======
ID#AAAAwCqRXwM
      (2023-05-23 18:26:46)
Searches for a missing or corresponding toy or part of a set for 2 items or sets.</t>
      </text>
    </comment>
    <comment authorId="0" ref="AM25">
      <text>
        <t xml:space="preserve">======
ID#AAAAwCqRXOk
     (2023-05-23 18:26:46)
Imitates 3 different writing actions modeled by an adult using a writing instrument and writing surface.</t>
      </text>
    </comment>
    <comment authorId="0" ref="I59">
      <text>
        <t xml:space="preserve">======
ID#AAAAwCqRWn8
      (2023-05-23 18:26:46)
Tacts 1 item without echoic prompts.</t>
      </text>
    </comment>
    <comment authorId="0" ref="BG41">
      <text>
        <t xml:space="preserve">======
ID#AAAAwCqRW1o
      (2023-05-23 18:26:46)
The child's articulation of 
10 tacts can be understood by familiar adults who cannot see the item tacted.</t>
      </text>
    </comment>
    <comment authorId="0" ref="AR58">
      <text>
        <t xml:space="preserve">======
ID#AAAAwCqRWrY
      (2023-05-23 18:26:46)
Spontaneously emits an average of at least 5 speech sounds each hour.</t>
      </text>
    </comment>
    <comment authorId="0" ref="N59">
      <text>
        <t xml:space="preserve">======
ID#AAAAwCqRXoE
      (2023-05-23 18:26:46)
Attends to speech sounds 2 times.</t>
      </text>
    </comment>
    <comment authorId="0" ref="AC42">
      <text>
        <t xml:space="preserve">======
ID#AAAAwCqRW_A
      (2023-05-23 18:26:46)
Initiates a physical interaction with a peer 
1 time.</t>
      </text>
    </comment>
    <comment authorId="0" ref="AR25">
      <text>
        <t xml:space="preserve">======
ID#AAAAwCqRWxA
     (2023-05-23 18:26:46)
Selects the correct item from an array of 10 that contains 3 similar stimuli, for 15 tasks.</t>
      </text>
    </comment>
    <comment authorId="0" ref="AH42">
      <text>
        <t xml:space="preserve">======
ID#AAAAwCqRXow
      (2023-05-23 18:26:46)
Imitates 5 actions that require selecting a specific object from an array of 3.</t>
      </text>
    </comment>
    <comment authorId="0" ref="S59">
      <text>
        <t xml:space="preserve">======
ID#AAAAwCqRXYA
      (2023-05-23 18:26:46)
Visually tracks moving stimuli for 2 seconds, 2 times during the 30-minute observation.</t>
      </text>
    </comment>
    <comment authorId="0" ref="AW25">
      <text>
        <t xml:space="preserve">======
ID#AAAAwCqRXP8
     (2023-05-23 18:26:46)
Spontaneously emits 10 intraverbal comments (can be part mand).</t>
      </text>
    </comment>
    <comment authorId="0" ref="BB25">
      <text>
        <t xml:space="preserve">======
ID#AAAAwCqRXnY
     (2023-05-23 18:26:46)
Uses the toilet and washes hands, but requires physical assistance.</t>
      </text>
    </comment>
    <comment authorId="0" ref="AM42">
      <text>
        <t xml:space="preserve">======
ID#AAAAwCqRXE0
      (2023-05-23 18:26:46)
Scores at least 40 on the EESA sub-test (at least 15 from Group 2).</t>
      </text>
    </comment>
    <comment authorId="0" ref="X59">
      <text>
        <t xml:space="preserve">======
ID#AAAAwCqRWeA
      (2023-05-23 18:26:45)
Independently manipulates and explores objects for 30 seconds during a 30 minute observation.</t>
      </text>
    </comment>
    <comment authorId="0" ref="BG25">
      <text>
        <t xml:space="preserve">======
ID#AAAAwCqRXmg
     (2023-05-23 18:26:46)
Emits noun inflections for 10 noun-plural combinations, but not for 10 noun-possession combinations, or vice versa.</t>
      </text>
    </comment>
    <comment authorId="0" ref="AR42">
      <text>
        <t xml:space="preserve">======
ID#AAAAwCqRXaE
      (2023-05-23 18:26:46)
Selects an animal or object from an array of 3, for 
2 different sounds made by 
the corresponding items.</t>
      </text>
    </comment>
    <comment authorId="0" ref="AC59">
      <text>
        <t xml:space="preserve">======
ID#AAAAwCqRXSI
      (2023-05-23 18:26:46)
Visually tracks and shows interest in people's movement at least 2 times.</t>
      </text>
    </comment>
    <comment authorId="0" ref="BL25">
      <text>
        <t xml:space="preserve">======
ID#AAAAwCqRXf8
     (2023-05-23 18:26:46)
Identifies as a listener the numbers 1-3 in an array of 
3 different numbers.</t>
      </text>
    </comment>
    <comment authorId="0" ref="AW42">
      <text>
        <t xml:space="preserve">======
ID#AAAAwCqRXJk
      (2023-05-23 18:26:46)
Completes 5 different fill-in-the-blank phrases of any type.</t>
      </text>
    </comment>
    <comment authorId="0" ref="AH59">
      <text>
        <t xml:space="preserve">======
ID#AAAAwCqRW48
      (2023-05-23 18:26:46)
Imitates 1 gross motor movement when prompted with, "Do this."</t>
      </text>
    </comment>
    <comment authorId="0" ref="AM59">
      <text>
        <t xml:space="preserve">======
ID#AAAAwCqRXwg
      (2023-05-23 18:26:46)
Scores at least 1 on EESA sub-test.</t>
      </text>
    </comment>
    <comment authorId="0" ref="BB42">
      <text>
        <t xml:space="preserve">======
ID#AAAAwCqRXtQ
      (2023-05-23 18:26:46)
Sits at a group snack or lunch table without negative behavior for 1 minute.</t>
      </text>
    </comment>
    <comment authorId="0" ref="AR59">
      <text>
        <t xml:space="preserve">======
ID#AAAAwCqRXNk
      (2023-05-23 18:26:46)
Spontaneously emits an average of at least 2 speech sounds per hour.</t>
      </text>
    </comment>
    <comment authorId="0" ref="BG42">
      <text>
        <t xml:space="preserve">======
ID#AAAAwCqRWyc
      (2023-05-23 18:26:46)
The child's articulation of 
5 tacts can be understood 
by familiar adults who cannot see the item tacted.</t>
      </text>
    </comment>
    <comment authorId="0" ref="D16">
      <text>
        <t xml:space="preserve">======
ID#AAAAwCqRXdY
     (2023-05-23 18:26:46)
Mands for others to attend to his own intraverbal behavior 5 times.</t>
      </text>
    </comment>
    <comment authorId="0" ref="I16">
      <text>
        <t xml:space="preserve">======
ID#AAAAwCqRWpY
     (2023-05-23 18:26:46)
Has a tact vocabulary of at least 1000 words.</t>
      </text>
    </comment>
    <comment authorId="0" ref="N16">
      <text>
        <t xml:space="preserve">======
ID#AAAAwCqRXNI
     (2023-05-23 18:26:46)
Has a total listener repertoire of at least 1200 words.</t>
      </text>
    </comment>
    <comment authorId="0" ref="D33">
      <text>
        <t xml:space="preserve">======
ID#AAAAwCqRXb4
      (2023-05-23 18:26:46)
Emits 10 new mands without specific training.</t>
      </text>
    </comment>
    <comment authorId="0" ref="S16">
      <text>
        <t xml:space="preserve">======
ID#AAAAwCqRXO8
     (2023-05-23 18:26:46)
Continues 20 3-step patterns, sequences, or seriation tasks.</t>
      </text>
    </comment>
    <comment authorId="0" ref="X16">
      <text>
        <t xml:space="preserve">======
ID#AAAAwCqRW00
     (2023-05-23 18:26:46)
Independently draws or writes in pre-academic activity books for 5 minutes.</t>
      </text>
    </comment>
    <comment authorId="0" ref="I33">
      <text>
        <t xml:space="preserve">======
ID#AAAAwCqRWoE
      (2023-05-23 18:26:46)
Tacts at least 200 nouns and/or verbs (or with other parts of speech).</t>
      </text>
    </comment>
    <comment authorId="0" ref="AC16">
      <text>
        <t xml:space="preserve">======
ID#AAAAwCqRXn8
     (2023-05-23 18:26:46)
Engages in 4 verbal exchanges on 1 topic with peers for 5 topics.</t>
      </text>
    </comment>
    <comment authorId="0" ref="N33">
      <text>
        <t xml:space="preserve">======
ID#AAAAwCqRXAY
      (2023-05-23 18:26:46)
Selects to or points to at least 250 items in a book, picture scene, or natural environment.</t>
      </text>
    </comment>
    <comment authorId="0" ref="AH16">
      <text>
        <t xml:space="preserve">======
ID#AAAAwCqRXPs
     (2023-05-23 18:26:46)
Matches 5 words to the corresponding pictures or items in an array of 5, and vice versa.</t>
      </text>
    </comment>
    <comment authorId="0" ref="D50">
      <text>
        <t xml:space="preserve">======
ID#AAAAwCqRWwI
      (2023-05-23 18:26:46)
Emits 10 different mands without prompts (except, "What do you want?")
The desired item can be present.</t>
      </text>
    </comment>
    <comment authorId="0" ref="S33">
      <text>
        <t xml:space="preserve">======
ID#AAAAwCqRWfs
      (2023-05-23 18:26:45)
Matches non-identical objects to pictures and/or vice versa, in a messy array of 10 containing 3 similar stimuli, for 25 items.</t>
      </text>
    </comment>
    <comment authorId="0" ref="D17">
      <text>
        <t xml:space="preserve">======
ID#AAAAwCqRXpQ
     (2023-05-23 18:26:46)
Mands for others to attend to his own intraverbal behavior 2 times.</t>
      </text>
    </comment>
    <comment authorId="0" ref="I50">
      <text>
        <t xml:space="preserve">======
ID#AAAAwCqRXCM
      (2023-05-23 18:26:46)
Tacts 10 items without echoic prompts when tested.</t>
      </text>
    </comment>
    <comment authorId="0" ref="X33">
      <text>
        <t xml:space="preserve">======
ID#AAAAwCqRW9I
      (2023-05-23 18:26:46)
Assembles toys that have multiple parts for 5 different sets of materials.</t>
      </text>
    </comment>
    <comment authorId="0" ref="AM16">
      <text>
        <t xml:space="preserve">======
ID#AAAAwCqRWlY
     (2023-05-23 18:26:46)
Copies all 26 uppercase and lowercase letters legibly.</t>
      </text>
    </comment>
    <comment authorId="0" ref="I17">
      <text>
        <t xml:space="preserve">======
ID#AAAAwCqRWrg
     (2023-05-23 18:26:46)
Has a tact vocabulary of at least 750 words.</t>
      </text>
    </comment>
    <comment authorId="0" ref="N50">
      <text>
        <t xml:space="preserve">======
ID#AAAAwCqRXxM
      (2023-05-23 18:26:46)
Selects the correct item from an array of 4, for 20 different objects or pictures.</t>
      </text>
    </comment>
    <comment authorId="0" ref="AC33">
      <text>
        <t xml:space="preserve">======
ID#AAAAwCqRXFg
      (2023-05-23 18:26:46)
Spontaneously mands for others to participate in games, social play, etc., 
2 times.</t>
      </text>
    </comment>
    <comment authorId="0" ref="AR16">
      <text>
        <t xml:space="preserve">======
ID#AAAAwCqRWu0
     (2023-05-23 18:26:46)
Demonstrates 1000 different LRFFC responses.</t>
      </text>
    </comment>
    <comment authorId="0" ref="N17">
      <text>
        <t xml:space="preserve">======
ID#AAAAwCqRXpk
     (2023-05-23 18:26:46)
Has a total listener repertoire of at least 800 specific nonverbal stimuli.</t>
      </text>
    </comment>
  </commentList>
  <extLst>
    <ext uri="GoogleSheetsCustomDataVersion2">
      <go:sheetsCustomData xmlns:go="http://customooxmlschemas.google.com/" r:id="rId1" roundtripDataSignature="AMtx7mhrilz+nN+uUoapAEwhxcS4oGa92A=="/>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AZ16">
      <text>
        <t xml:space="preserve">======
ID#AAAAwCqRW-8
Steven    (2023-05-23 18:26:46)
Demonstrates echolalia or delayed echolalia, requires extensive teaching to acquire new echoics</t>
      </text>
    </comment>
    <comment authorId="0" ref="V50">
      <text>
        <t xml:space="preserve">======
ID#AAAAwCqRWvU
Steven    (2023-05-23 18:26:46)
Demonstrates some difficulty with stimulus generalization, or generalizing with certain skills</t>
      </text>
    </comment>
    <comment authorId="0" ref="C59">
      <text>
        <t xml:space="preserve">======
ID#AAAAwCqRXjM
Steven    (2023-05-23 18:26:46)
Almost constantly engages in a high rate of self-stimulation, other reinforcers are weak</t>
      </text>
    </comment>
    <comment authorId="0" ref="AP33">
      <text>
        <t xml:space="preserve">======
ID#AAAAwCqRW7k
Steven    (2023-05-23 18:26:46)
Some skills become prompt bound, such as intraverbal, social behaviors, or listener discriminations</t>
      </text>
    </comment>
    <comment authorId="0" ref="AF50">
      <text>
        <t xml:space="preserve">======
ID#AAAAwCqRXB0
Steven    (2023-05-23 18:26:46)
Adults begin to notice that the motivators are slightly different from those of other children</t>
      </text>
    </comment>
    <comment authorId="0" ref="L59">
      <text>
        <t xml:space="preserve">======
ID#AAAAwCqRXuo
Steven    (2023-05-23 18:26:46)
Non-vocal, or has completely unintelligible speech, despite other elevated Milestone scores</t>
      </text>
    </comment>
    <comment authorId="0" ref="C18">
      <text>
        <t xml:space="preserve">======
ID#AAAAwCqRW9A
Steven    (2023-05-23 18:26:46)
Emits a variety of minor negative behaviors daily (e.g., crying, verbal refusal, falling to the floor)</t>
      </text>
    </comment>
    <comment authorId="0" ref="AZ33">
      <text>
        <t xml:space="preserve">======
ID#AAAAwCqRW1w
Steven    (2023-05-23 18:26:46)
Scrolling is a frequent problem, it takes many trials to stop, but eventually new words are learned</t>
      </text>
    </comment>
    <comment authorId="0" ref="AP50">
      <text>
        <t xml:space="preserve">======
ID#AAAAwCqRWsg
Steven    (2023-05-23 18:26:46)
Demonstrates some lack of interest if the demands become slightly larger</t>
      </text>
    </comment>
    <comment authorId="0" ref="L18">
      <text>
        <t xml:space="preserve">======
ID#AAAAwCqRXSo
Steven    (2023-05-23 18:26:46)
Emits noncompliant behavior a few times a day, with minor tantrums, or other minor behaviors</t>
      </text>
    </comment>
    <comment authorId="0" ref="V59">
      <text>
        <t xml:space="preserve">======
ID#AAAAwCqRXXI
Steven    (2023-05-23 18:26:46)
Strong obsessions are the major focus of each day, they may consume a significant amount of time, negative behaviors may be severe if they are not met, and learning is regularly disrupted</t>
      </text>
    </comment>
    <comment authorId="0" ref="C35">
      <text>
        <t xml:space="preserve">======
ID#AAAAwCqRXrY
Steven    (2023-05-23 18:26:46)
Matching occurs, but scores are lower than those on the other Milestone skills, especially LD scores</t>
      </text>
    </comment>
    <comment authorId="0" ref="AZ50">
      <text>
        <t xml:space="preserve">======
ID#AAAAwCqRXsk
Steven    (2023-05-23 18:26:46)
Demonstrates some difficulty with moving to social or intermittent reinforcers, but eventually does so</t>
      </text>
    </comment>
    <comment authorId="0" ref="V18">
      <text>
        <t xml:space="preserve">======
ID#AAAAwCqRXu4
Steven    (2023-05-23 18:26:46)
Mands are limited to a small set of consumable reinforcers, despite strong tacts, LDs, and echoic skills</t>
      </text>
    </comment>
    <comment authorId="0" ref="AF59">
      <text>
        <t xml:space="preserve">======
ID#AAAAwCqRXms
Steven    (2023-05-23 18:26:46)
Constantly "on the go," fidgety, impulsive, climbs or jumps on furniture, may talk excessively, difficult to keep engaged in any academic or social activity, learning is seriously affected</t>
      </text>
    </comment>
    <comment authorId="0" ref="L35">
      <text>
        <t xml:space="preserve">======
ID#AAAAwCqRXMk
Steven    (2023-05-23 18:26:46)
LDs occur, but scores are lower than those on the other Milestone skills, especially tact scores</t>
      </text>
    </comment>
    <comment authorId="0" ref="AF18">
      <text>
        <t xml:space="preserve">======
ID#AAAAwCqRWw4
Steven    (2023-05-23 18:26:46)
Tact errors occur, strong echoic and LDs, tacts are prompt bound or scrolled, maintenance required</t>
      </text>
    </comment>
    <comment authorId="0" ref="AP59">
      <text>
        <t xml:space="preserve">======
ID#AAAAwCqRWxE
Steven    (2023-05-23 18:26:46)
Almost never makes eye contact, avoids people, but may have verbal skills</t>
      </text>
    </comment>
    <comment authorId="0" ref="V35">
      <text>
        <t xml:space="preserve">======
ID#AAAAwCqRXpI
Steven    (2023-05-23 18:26:46)
Intraverbals occur, but scores are lower than other Milestone scores, especially tact, LD, and LRFFC</t>
      </text>
    </comment>
    <comment authorId="0" ref="C44">
      <text>
        <t xml:space="preserve">======
ID#AAAAwCqRW_w
Steven    (2023-05-23 18:26:46)
Does not scan arrays, responds before scanning, scanning tasks evoke negative behavior when pressed</t>
      </text>
    </comment>
    <comment authorId="0" ref="AP18">
      <text>
        <t xml:space="preserve">======
ID#AAAAwCqRXp0
Steven    (2023-05-23 18:26:46)
Imitation doesn't easily generalize, is inappropriate, or there is a dependence on imitative prompts</t>
      </text>
    </comment>
    <comment authorId="0" ref="AZ59">
      <text>
        <t xml:space="preserve">======
ID#AAAAwCqRXRA
Steven    (2023-05-23 18:26:46)
Consistently reacts to specific sensory stimuli with negative behavior such as tantrums and aggression, presence of certain sensory stimuli competes with educational activities</t>
      </text>
    </comment>
    <comment authorId="0" ref="AF35">
      <text>
        <t xml:space="preserve">======
ID#AAAAwCqRXiQ
Steven    (2023-05-23 18:26:46)
Social behavior occurs, but the scores fall behind the other Milestone scores</t>
      </text>
    </comment>
    <comment authorId="0" ref="L44">
      <text>
        <t xml:space="preserve">======
ID#AAAAwCqRXWk
Steven    (2023-05-23 18:26:46)
Does not make conditional discriminations, but can do simple discriminations (e.g., single mands, echoics, tacts, imitation)</t>
      </text>
    </comment>
    <comment authorId="0" ref="AZ18">
      <text>
        <t xml:space="preserve">======
ID#AAAAwCqRWfY
Steven    (2023-05-23 18:26:45)
Dependent on echoic prompts, transfer from echoics is difficult, failure to generalize echoic skills</t>
      </text>
    </comment>
    <comment authorId="0" ref="C61">
      <text>
        <t xml:space="preserve">======
ID#AAAAwCqRXt4
Steven    (2023-05-23 18:26:46)
Engages in a high rate of self-stimulation that competes with learning and social activities</t>
      </text>
    </comment>
    <comment authorId="0" ref="AP35">
      <text>
        <t xml:space="preserve">======
ID#AAAAwCqRWik
Steven    (2023-05-23 18:26:46)
It often takes several trials to fade prompts, but the transfer of control process is typically successful</t>
      </text>
    </comment>
    <comment authorId="0" ref="V44">
      <text>
        <t xml:space="preserve">======
ID#AAAAwCqRXKk
Steven    (2023-05-23 18:26:46)
Does not generalize, other than very simple types (e.g., time, settings) rote responding, slow progress</t>
      </text>
    </comment>
    <comment authorId="0" ref="L61">
      <text>
        <t xml:space="preserve">======
ID#AAAAwCqRXR4
Steven    (2023-05-23 18:26:46)
Very limited vocal skills and demonstrates a wide variety of articulation problems</t>
      </text>
    </comment>
    <comment authorId="0" ref="C20">
      <text>
        <t xml:space="preserve">======
ID#AAAAwCqRXQ8
Steven    (2023-05-23 18:26:46)
Engages in some minor negative behaviors weekly, but recovery is quick</t>
      </text>
    </comment>
    <comment authorId="0" ref="AZ35">
      <text>
        <t xml:space="preserve">======
ID#AAAAwCqRWe8
Steven    (2023-05-23 18:26:45)
Scrolling occasionally occurs when new words are added, but scrolling stops after a few trials</t>
      </text>
    </comment>
    <comment authorId="0" ref="AF44">
      <text>
        <t xml:space="preserve">======
ID#AAAAwCqRXQc
Steven    (2023-05-23 18:26:46)
Very limited MOs, odd MOs that are very strong, very few age-appropriate MOs</t>
      </text>
    </comment>
    <comment authorId="0" ref="L20">
      <text>
        <t xml:space="preserve">======
ID#AAAAwCqRW6w
Steven    (2023-05-23 18:26:46)
Some demands will evoke minor noncompliant behavior, but recovery is quick</t>
      </text>
    </comment>
    <comment authorId="0" ref="V61">
      <text>
        <t xml:space="preserve">======
ID#AAAAwCqRXzU
Steven    (2023-05-23 18:26:46)
Several obsessions, emits negative behavior, but often will not comply without completing the obsession, and learning is disrupted</t>
      </text>
    </comment>
    <comment authorId="0" ref="AP44">
      <text>
        <t xml:space="preserve">======
ID#AAAAwCqRXl4
Steven    (2023-05-23 18:26:46)
Walks away from his strongest reinforcers if the slightest demand is placed upon him</t>
      </text>
    </comment>
    <comment authorId="0" ref="V20">
      <text>
        <t xml:space="preserve">======
ID#AAAAwCqRWwg
Steven    (2023-05-23 18:26:46)
Mands occurs, echoics are strong, but the tact and listener skills (LDs) Milestone scores are higher than the mand</t>
      </text>
    </comment>
    <comment authorId="0" ref="AF61">
      <text>
        <t xml:space="preserve">======
ID#AAAAwCqRWiQ
Steven    (2023-05-23 18:26:46)
Often difficult to control the hyperactive behavior, may not wait in lines, sit calmly, or stay on tasks longer than a couple of minutes, requires frequent prompting</t>
      </text>
    </comment>
    <comment authorId="0" ref="C29">
      <text>
        <t xml:space="preserve">======
ID#AAAAwCqRXXs
Steven    (2023-05-23 18:26:46)
No matching skills, but has other skills, repeated failed attempts to teach MTS, escape and avoidance occurs</t>
      </text>
    </comment>
    <comment authorId="0" ref="AZ44">
      <text>
        <t xml:space="preserve">======
ID#AAAAwCqRXWU
Steven    (2023-05-23 18:26:46)
Dependent on consumable and tangible reinforcers delivered after each response for learning to occur</t>
      </text>
    </comment>
    <comment authorId="0" ref="AF20">
      <text>
        <t xml:space="preserve">======
ID#AAAAwCqRXLs
Steven    (2023-05-23 18:26:46)
Tact errors occur, echoics are strong, but listener skills (LDs) markedly outnumber tacts</t>
      </text>
    </comment>
    <comment authorId="0" ref="AP61">
      <text>
        <t xml:space="preserve">======
ID#AAAAwCqRXZ8
Steven    (2023-05-23 18:26:46)
No eye contact while manding, difficult to get any eye contact, typically looks away when talking to others, attends more to objects than people</t>
      </text>
    </comment>
    <comment authorId="0" ref="L29">
      <text>
        <t xml:space="preserve">======
ID#AAAAwCqRXHQ
Steven    (2023-05-23 18:26:46)
No LD skills, but has other skills, repeated failed attempts to teach LD, escape and avoidance occurs</t>
      </text>
    </comment>
    <comment authorId="0" ref="C46">
      <text>
        <t xml:space="preserve">======
ID#AAAAwCR5j18
Steven    (2023-05-23 18:26:45)
Scanning is limited to an array of 2 or 3, selection responses are prompt bound, weak MTS, LD, &amp; LRFFC</t>
      </text>
    </comment>
    <comment authorId="0" ref="AP20">
      <text>
        <t xml:space="preserve">======
ID#AAAAwCqRXsY
Steven    (2023-05-23 18:26:46)
Motor imitation occurs, but the scores are lower than those on the other Milestone skills</t>
      </text>
    </comment>
    <comment authorId="0" ref="AZ61">
      <text>
        <t xml:space="preserve">======
ID#AAAAwCqRW1Y
Steven    (2023-05-23 18:26:46)
Frequently reacts to specific sensory stimuli with escape behavior such as hands over ears, closing eyes, or getting agitated</t>
      </text>
    </comment>
    <comment authorId="0" ref="V29">
      <text>
        <t xml:space="preserve">======
ID#AAAAwCqRWh4
Steven    (2023-05-23 18:26:46)
No functional intraverbal behavior, or has strong rote responding, despite mand, tact, and LD skills</t>
      </text>
    </comment>
    <comment authorId="0" ref="L46">
      <text>
        <t xml:space="preserve">======
ID#AAAAwCqRW30
Steven    (2023-05-23 18:26:46)
Fails at most tasks that involve conditional discriminations, (except MTS), emits negative behavior, history of failed attempts</t>
      </text>
    </comment>
    <comment authorId="0" ref="AZ20">
      <text>
        <t xml:space="preserve">======
ID#AAAAwCqRW9U
Steven    (2023-05-23 18:26:46)
Echoics occur, but motor imitation is markedly stronger than echoic</t>
      </text>
    </comment>
    <comment authorId="0" ref="AF29">
      <text>
        <t xml:space="preserve">======
ID#AAAAwCqRWr0
Steven    (2023-05-23 18:26:46)
Mostly plays by himself, no verbal or nonverbal interactions with peers, other skills may be high</t>
      </text>
    </comment>
    <comment authorId="0" ref="C63">
      <text>
        <t xml:space="preserve">======
ID#AAAAwCqRXI4
Steven    (2023-05-23 18:26:46)
Engages in a relatively high rate of self-stimulation that often competes with other activities</t>
      </text>
    </comment>
    <comment authorId="0" ref="V46">
      <text>
        <t xml:space="preserve">======
ID#AAAAwCqRWd4
Steven    (2023-05-23 18:26:45)
Requires extensive generalization training across most skills, often "generalized" skills are lost</t>
      </text>
    </comment>
    <comment authorId="0" ref="AP29">
      <text>
        <t xml:space="preserve">======
ID#AAAAwCqRWvE
Steven    (2023-05-23 18:26:46)
Prompts are very difficult to fade, most skills are prompt bound by echoic, imitative, or verbal prompts</t>
      </text>
    </comment>
    <comment authorId="0" ref="L63">
      <text>
        <t xml:space="preserve">======
ID#AAAAwCqRWqw
Steven    (2023-05-23 18:26:46)
Has difficulty being understood by strangers, despite having mostly Level 2 Milestone scores</t>
      </text>
    </comment>
    <comment authorId="0" ref="AF46">
      <text>
        <t xml:space="preserve">======
ID#AAAAwCqRXGk
Steven    (2023-05-23 18:26:46)
Aberrant MOs for unlearned reinforcers, values of existing MOs decrease quickly, stereotypy strong</t>
      </text>
    </comment>
    <comment authorId="0" ref="C14">
      <text>
        <t xml:space="preserve">======
ID#AAAAwCqRWvk
Steven    (2023-05-23 18:26:46)
Often emits severe negative behavior that is a danger to himself or others (e.g., aggression, self-injury)</t>
      </text>
    </comment>
    <comment authorId="0" ref="V63">
      <text>
        <t xml:space="preserve">======
ID#AAAAwCqRXMU
Steven    (2023-05-23 18:26:46)
Several obsessions, emits mild negative behaviors when not met, but will usually comply and participate in the learning tasks without further disruption</t>
      </text>
    </comment>
    <comment authorId="0" ref="AZ29">
      <text>
        <t xml:space="preserve">======
ID#AAAAwCqRW7c
Steven    (2023-05-23 18:26:46)
Scrolling occurs almost every trial, attempts at stopping scrolling may have a long history of failure</t>
      </text>
    </comment>
    <comment authorId="0" ref="AP46">
      <text>
        <t xml:space="preserve">======
ID#AAAAwCqRW3Q
Steven    (2023-05-23 18:26:46)
Quick to show lack of interest after a few responses are required</t>
      </text>
    </comment>
    <comment authorId="0" ref="L14">
      <text>
        <t xml:space="preserve">======
ID#AAAAwCqRWys
Steven    (2023-05-23 18:26:46)
Noncompliant behavior dominates the child's day, negative behaviors can be severe and dangerous</t>
      </text>
    </comment>
    <comment authorId="0" ref="AF63">
      <text>
        <t xml:space="preserve">======
ID#AAAAwCqRWrA
Steven    (2023-05-23 18:26:46)
Moves around the environment frequently, restless, difficulty attending to tasks, learning is disrupted</t>
      </text>
    </comment>
    <comment authorId="0" ref="C31">
      <text>
        <t xml:space="preserve">======
ID#AAAAwCqRXJ4
Steven    (2023-05-23 18:26:46)
Negative behavior during MTS, no generalization, only small arrays, problems with similar stimuli</t>
      </text>
    </comment>
    <comment authorId="0" ref="AZ46">
      <text>
        <t xml:space="preserve">======
ID#AAAAwCqRXKc
Steven    (2023-05-23 18:26:46)
Difficult to work with the child without using frequently delivered consumable and tangible reinforcement, exhibits escape or avoidance behavior</t>
      </text>
    </comment>
    <comment authorId="0" ref="V14">
      <text>
        <t xml:space="preserve">======
ID#AAAAwCqRXWE
Steven    (2023-05-23 18:26:46)
No effective mands, associated negative behaviors, same problems in #3 below may occur</t>
      </text>
    </comment>
    <comment authorId="0" ref="AP63">
      <text>
        <t xml:space="preserve">======
ID#AAAAwCN6t5U
Steven    (2023-05-23 18:26:45)
Does not make frequent eye contact, or attend to faces or people in a manner similar to other children</t>
      </text>
    </comment>
    <comment authorId="0" ref="L31">
      <text>
        <t xml:space="preserve">======
ID#AAAAwCN6juQ
Steven    (2023-05-23 18:26:45)
Negative behavior occurs, no generalization, only small arrays, problems with complex verbal stimuli</t>
      </text>
    </comment>
    <comment authorId="0" ref="AF14">
      <text>
        <t xml:space="preserve">======
ID#AAAAwCqRXkU
Steven    (2023-05-23 18:26:46)
Minimal tact skills despite strong echoic and LDs, many failed attempts at teaching tacts</t>
      </text>
    </comment>
    <comment authorId="0" ref="C48">
      <text>
        <t xml:space="preserve">======
ID#AAAAwCqRW5U
Steven    (2023-05-23 18:26:46)
Scanning is weak, often needs to be prompted, restricted to arrays of 5 or less, limited scene scanning</t>
      </text>
    </comment>
    <comment authorId="0" ref="AZ63">
      <text>
        <t xml:space="preserve">======
ID#AAAAwCqRWmw
Steven    (2023-05-23 18:26:46)
Certain sensory stimulation may affect the child, but defensiveness is mild and does not usually interfere with learning activities</t>
      </text>
    </comment>
    <comment authorId="0" ref="V31">
      <text>
        <t xml:space="preserve">======
ID#AAAAwCqRXqw
Steven    (2023-05-23 18:26:46)
Limited progress in intraverbal training, frequent errors, rote responding, intraverbals are quickly forgotten, no generalization, no peer intraverbal behavior, but has mand, tact, and LD skills</t>
      </text>
    </comment>
    <comment authorId="0" ref="AP14">
      <text>
        <t xml:space="preserve">======
ID#AAAAwCqRXOA
Steven    (2023-05-23 18:26:46)
Has no imitation skills, or does have imitation skills but they never occur in any functional way</t>
      </text>
    </comment>
    <comment authorId="0" ref="L48">
      <text>
        <t xml:space="preserve">======
ID#AAAAwCqRWes
Steven    (2023-05-23 18:26:45)
Limited progress on tasks that involve verbal conditional discriminations (LD, LRFFC, IV), but good progress in other areas</t>
      </text>
    </comment>
    <comment authorId="0" ref="AF31">
      <text>
        <t xml:space="preserve">======
ID#AAAAwCqRXlg
Steven    (2023-05-23 18:26:46)
Doesn't take turns or share, does not respond to peer's mands, or cooperate with peers, does not engage in social or imaginary play with peers, but has language skills</t>
      </text>
    </comment>
    <comment authorId="0" ref="C65">
      <text>
        <t xml:space="preserve">======
ID#AAAAwCqRWzw
Steven    (2023-05-23 18:26:46)
Engages in some self-stimulation, but it doesn't compete with other activities</t>
      </text>
    </comment>
    <comment authorId="0" ref="V48">
      <text>
        <t xml:space="preserve">======
ID#AAAAwCqRXps
Steven    (2023-05-23 18:26:46)
Requires formal generalization training on most skills, but eventually gets it</t>
      </text>
    </comment>
    <comment authorId="0" ref="AZ14">
      <text>
        <t xml:space="preserve">======
ID#AAAAwCqRWzk
Steven    (2023-05-23 18:26:46)
No echoic skills, but has other skills, uses signs or PECS, echoic training may evoke negative behaviors</t>
      </text>
    </comment>
    <comment authorId="0" ref="AP31">
      <text>
        <t xml:space="preserve">======
ID#AAAAwCqRXzQ
Steven    (2023-05-23 18:26:46)
It is typically difficult to eliminate prompts, they are often subtle, and verbal skills are limited</t>
      </text>
    </comment>
    <comment authorId="0" ref="L65">
      <text>
        <t xml:space="preserve">======
ID#AAAAwCqRWmk
Steven    (2023-05-23 18:26:46)
Some difficulty pronouncing certain words, but usually can be understood, and articulation improves</t>
      </text>
    </comment>
    <comment authorId="0" ref="AF48">
      <text>
        <t xml:space="preserve">======
ID#AAAAwCqRXqI
Steven    (2023-05-23 18:26:46)
MOs for odd behavior patterns, weak MOs for age-appropriate reinforcers, weak social MOs</t>
      </text>
    </comment>
    <comment authorId="0" ref="C16">
      <text>
        <t xml:space="preserve">======
ID#AAAAwCqRXL8
Steven    (2023-05-23 18:26:46)
Emits more severe negative behavior daily (e.g., tantrums, throwing things, property destruction)</t>
      </text>
    </comment>
    <comment authorId="0" ref="AZ31">
      <text>
        <t xml:space="preserve">======
ID#AAAAwCqRXT4
Steven    (2023-05-23 18:26:46)
Scrolling continues to re-surface with previously "acquired" words, and occurs with either (or all) mand, tact, LD, and intraverbal, but not with echoic or imitation, very few new words are learned</t>
      </text>
    </comment>
    <comment authorId="0" ref="V65">
      <text>
        <t xml:space="preserve">======
ID#AAAAwCR5j2s
Steven    (2023-05-23 18:26:45)
Some minor obsessions, but they are easily overcome and don't interfere with learning</t>
      </text>
    </comment>
    <comment authorId="0" ref="AP48">
      <text>
        <t xml:space="preserve">======
ID#AAAAwCqRWuw
Steven    (2023-05-23 18:26:46)
Has strong MOs, but will only tolerate a small set of responses before losing interest in the reinforcer</t>
      </text>
    </comment>
    <comment authorId="0" ref="L16">
      <text>
        <t xml:space="preserve">======
ID#AAAAwCqRXUI
Steven    (2023-05-23 18:26:46)
Emits noncompliant behavior several times a day, with longer tantrums and more severe behaviors</t>
      </text>
    </comment>
    <comment authorId="0" ref="AF65">
      <text>
        <t xml:space="preserve">======
ID#AAAAwCqRXdw
Steven    (2023-05-23 18:26:46)
Occasionally emits hyperactive behavior or fails to attend, but the behaviors are not disruptive to learning or daily activities</t>
      </text>
    </comment>
    <comment authorId="0" ref="C33">
      <text>
        <t xml:space="preserve">======
ID#AAAAwCqRWtE
Steven    (2023-05-23 18:26:46)
Matching errors occur due to scrolling, side or position bias, poor scanning, or selects the last item reinforced</t>
      </text>
    </comment>
    <comment authorId="0" ref="AZ48">
      <text>
        <t xml:space="preserve">======
ID#AAAAwCqRW5E
Steven    (2023-05-23 18:26:46)
Requires frequent consumable and tangible reinforcers on an intermittent schedule</t>
      </text>
    </comment>
    <comment authorId="0" ref="V16">
      <text>
        <t xml:space="preserve">======
ID#AAAAwCqRXHE
Steven    (2023-05-23 18:26:46)
Mands are very limited, are prompt bound, are rote, scrolling occurs, responses do not match the motivating operations (MOs), negative behaviors function as mands, excessive or inappropriate mands occur</t>
      </text>
    </comment>
    <comment authorId="0" ref="AP65">
      <text>
        <t xml:space="preserve">======
ID#AAAAwCqRXvs
Steven    (2023-05-23 18:26:46)
Adults begin to notice that eye contact is different from that of other children</t>
      </text>
    </comment>
    <comment authorId="0" ref="L33">
      <text>
        <t xml:space="preserve">======
ID#AAAAwCqRWn4
Steven    (2023-05-23 18:26:46)
LD errors occur due to scrolling, side or position bias, poor scanning, or selects the last item reinforced</t>
      </text>
    </comment>
    <comment authorId="0" ref="AF16">
      <text>
        <t xml:space="preserve">======
ID#AAAAwCqRXYE
Steven    (2023-05-23 18:26:46)
Many tact errors occur, echoic and LDs are strong, stuck at nouns and verbs, rote tacts, single word tacts despite multiple-word LDs, no spontaneity, fails to generalize</t>
      </text>
    </comment>
    <comment authorId="0" ref="C50">
      <text>
        <t xml:space="preserve">======
ID#AAAAwCqRXjU
Steven    (2023-05-23 18:26:46)
Large arrays with similar stimuli cause some scanning trouble, but is successful after 2 attempts</t>
      </text>
    </comment>
    <comment authorId="0" ref="AZ65">
      <text>
        <t xml:space="preserve">======
ID#AAAAwCqRWpA
Steven    (2023-05-23 18:26:46)
Adults begin to notice that sensitivity to various stimuli is different than that of other children</t>
      </text>
    </comment>
    <comment authorId="0" ref="V33">
      <text>
        <t xml:space="preserve">======
ID#AAAAwCqRXdE
Steven    (2023-05-23 18:26:46)
Intraverbal errors occur, rote responding, scrolling, prompt bound, no spontaneity, or echolalia occurs</t>
      </text>
    </comment>
    <comment authorId="0" ref="L50">
      <text>
        <t xml:space="preserve">======
ID#AAAAwCqRXl8
Steven    (2023-05-23 18:26:46)
Has trouble when the conditional discrimination requires more effort or attending (e.g., large arrays, scenes, similar stimuli)</t>
      </text>
    </comment>
    <comment authorId="0" ref="AP16">
      <text>
        <t xml:space="preserve">======
ID#AAAAwCqRWho
Steven    (2023-05-23 18:26:46)
Imitation is prompt bound physically or verbally, weak MOs to imitate, has abilities in other areas</t>
      </text>
    </comment>
    <comment authorId="0" ref="AF33">
      <text>
        <t xml:space="preserve">======
ID#AAAAwCqRWy4
Steven    (2023-05-23 18:26:46)
Engages in parallel play, but does not initiate social interaction, rarely imitates or mands to peers</t>
      </text>
    </comment>
  </commentList>
  <extLst>
    <ext uri="GoogleSheetsCustomDataVersion2">
      <go:sheetsCustomData xmlns:go="http://customooxmlschemas.google.com/" r:id="rId1" roundtripDataSignature="AMtx7mjyeWAgGzmu7v5OkBxMy4tQxyyZjQ=="/>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V54">
      <text>
        <t xml:space="preserve">======
ID#AAAAwCqRXng
Steven    (2023-05-23 18:26:46)
Scores 3 points on independent play in the Milestones Assessment</t>
      </text>
    </comment>
    <comment authorId="0" ref="AZ20">
      <text>
        <t xml:space="preserve">======
ID#AAAAwCqRXZw
Steven    (2023-05-23 18:26:46)
Works independently on academic tasks for at least 1 minute with no more than 1 adult prompt</t>
      </text>
    </comment>
    <comment authorId="0" ref="C34">
      <text>
        <t xml:space="preserve">======
ID#AAAAwCqRXfk
Steven    (2023-05-23 18:26:46)
Demonstrates spontaneous stimulus generalization in the natural environment on 10 occasions</t>
      </text>
    </comment>
    <comment authorId="0" ref="AZ16">
      <text>
        <t xml:space="preserve">======
ID#AAAAwCqRXWI
Steven    (2023-05-23 18:26:46)
Works independently on academic tasks for at least 5 minutes without adult prompting to stay on task</t>
      </text>
    </comment>
    <comment authorId="0" ref="V50">
      <text>
        <t xml:space="preserve">======
ID#AAAAwCqRW5s
Steven    (2023-05-23 18:26:46)
Scores 8 points on independent play in the Milestones Assessment</t>
      </text>
    </comment>
    <comment authorId="0" ref="C30">
      <text>
        <t xml:space="preserve">======
ID#AAAAwCqRXgY
Steven    (2023-05-23 18:26:46)
Consistently demonstrates both stimulus and response generalization on the first or second trial</t>
      </text>
    </comment>
    <comment authorId="0" ref="L38">
      <text>
        <t xml:space="preserve">======
ID#AAAAwCqRXDA
Steven    (2023-05-23 18:26:46)
Reinforcers are frequent, and mainly edibles, liquids, and physical contact (unlearned motivators)</t>
      </text>
    </comment>
    <comment authorId="0" ref="V46">
      <text>
        <t xml:space="preserve">======
ID#AAAAwCqRXmM
Steven    (2023-05-23 18:26:46)
Scores 14 points on independent play in the Milestones Assessment</t>
      </text>
    </comment>
    <comment authorId="0" ref="L34">
      <text>
        <t xml:space="preserve">======
ID#AAAAwCqRXKU
Steven    (2023-05-23 18:26:46)
Reinforcers are social (e.g., attention), peer mediated (e.g., games), related to specific places (e.g., parks, stores), and less frequent; it is these learned reinforcers that are mainly used for teaching</t>
      </text>
    </comment>
    <comment authorId="0" ref="AF54">
      <text>
        <t xml:space="preserve">======
ID#AAAAwCqRWsc
Steven    (2023-05-23 18:26:46)
No independent self-help, but does not engage in negative behaviors when adults provide personal care</t>
      </text>
    </comment>
    <comment authorId="0" ref="C22">
      <text>
        <t xml:space="preserve">======
ID#AAAAwCqRXhE
Steven    (2023-05-23 18:26:46)
Scores 0 to 25 on the Milestones Assessment</t>
      </text>
    </comment>
    <comment authorId="0" ref="L30">
      <text>
        <t xml:space="preserve">======
ID#AAAAwCqRXlY
Steven    (2023-05-23 18:26:46)
Reinforcers are intermittent, social, age-appropriate, varied, involve verbal information and change frequently</t>
      </text>
    </comment>
    <comment authorId="0" ref="AF50">
      <text>
        <t xml:space="preserve">======
ID#AAAAwCqRXqY
Steven    (2023-05-23 18:26:46)
Requires mostly verbal prompts, but will attempt approximations to several self-help tasks</t>
      </text>
    </comment>
    <comment authorId="0" ref="V38">
      <text>
        <t xml:space="preserve">======
ID#AAAAwCqRXdk
Steven    (2023-05-23 18:26:46)
Typically requires two or more weeks of training sessions and hundreds of trials to acquire a new skill</t>
      </text>
    </comment>
    <comment authorId="0" ref="C18">
      <text>
        <t xml:space="preserve">======
ID#AAAAwCqRWns
Steven    (2023-05-23 18:26:46)
Scores 51 to 100 on the Milestones Assessment</t>
      </text>
    </comment>
    <comment authorId="0" ref="AF46">
      <text>
        <t xml:space="preserve">======
ID#AAAAwCqRXXk
Steven    (2023-05-23 18:26:46)
Is motivated, initiates approximations for most skills, and generalizes, but may need verbal prompts</t>
      </text>
    </comment>
    <comment authorId="0" ref="AP54">
      <text>
        <t xml:space="preserve">======
ID#AAAAwCqRXUQ
Steven    (2023-05-23 18:26:46)
Still wears a diaper, but demonstrates toilet training readiness (e.g., dry periods, sits still for 2 mins.)</t>
      </text>
    </comment>
    <comment authorId="0" ref="V34">
      <text>
        <t xml:space="preserve">======
ID#AAAAwCqRWjM
Steven    (2023-05-23 18:26:46)
Acquires several new target skills a week averaging less than 50 training trials</t>
      </text>
    </comment>
    <comment authorId="0" ref="C14">
      <text>
        <t xml:space="preserve">======
ID#AAAAwCqRWl4
Steven    (2023-05-23 18:26:46)
Scores 136 to 170 on the Milestones Assessment</t>
      </text>
    </comment>
    <comment authorId="0" ref="L22">
      <text>
        <t xml:space="preserve">======
ID#AAAAwCqRXBA
Steven    (2023-05-23 18:26:46)
Scores 56 to 96 on the Barriers Assessment</t>
      </text>
    </comment>
    <comment authorId="0" ref="AP50">
      <text>
        <t xml:space="preserve">======
ID#AAAAwCqRW5I
Steven    (2023-05-23 18:26:46)
Daytime bladder trained, uses pull ups, has occasional accidents, needs prompts and assistance to complete the toileting routine</t>
      </text>
    </comment>
    <comment authorId="0" ref="V30">
      <text>
        <t xml:space="preserve">======
ID#AAAAwCqRWro
Steven    (2023-05-23 18:26:46)
Consistently acquires new target skills daily averaging 5 trials or less</t>
      </text>
    </comment>
    <comment authorId="0" ref="L18">
      <text>
        <t xml:space="preserve">======
ID#AAAAwCqRXMw
Steven    (2023-05-23 18:26:46)
Scores 21 to 30 on the Barriers Assessment</t>
      </text>
    </comment>
    <comment authorId="0" ref="AF38">
      <text>
        <t xml:space="preserve">======
ID#AAAAwCqRWl0
Steven    (2023-05-23 18:26:46)
Retains a new skill for at least 10 minutes after it has been scored as correct in a teaching session</t>
      </text>
    </comment>
    <comment authorId="0" ref="AP46">
      <text>
        <t xml:space="preserve">======
ID#AAAAwCqRXhI
Steven    (2023-05-23 18:26:46)
Initiates or mands to use the bathroom and independently completes all steps of the toileting routine</t>
      </text>
    </comment>
    <comment authorId="0" ref="AZ54">
      <text>
        <t xml:space="preserve">======
ID#AAAAwCqRXdo
Steven    (2023-05-23 18:26:46)
Demonstrates some independent eating, but requires many physical prompts to eat, often a messy eater</t>
      </text>
    </comment>
    <comment authorId="0" ref="L14">
      <text>
        <t xml:space="preserve">======
ID#AAAAwCqRXUg
Steven    (2023-05-23 18:26:46)
Scores 0 to 10 on the Barriers Assessment</t>
      </text>
    </comment>
    <comment authorId="0" ref="AF34">
      <text>
        <t xml:space="preserve">======
ID#AAAAwCqRWuo
Steven    (2023-05-23 18:26:46)
Retains a new skill for 24 hours after it has been scored as correct with 5 or less maintenance trials</t>
      </text>
    </comment>
    <comment authorId="0" ref="V22">
      <text>
        <t xml:space="preserve">======
ID#AAAAwCN6t4U
Steven    (2023-05-23 18:26:45)
A total score of 6 or 7 on negative behaviors and instructional control on the Barriers Assessment</t>
      </text>
    </comment>
    <comment authorId="0" ref="AZ50">
      <text>
        <t xml:space="preserve">======
ID#AAAAwCqRXXg
Steven    (2023-05-23 18:26:46)
Independently gets food from his lunchbox, eats finger food, but requires adult verbal prompting to eat</t>
      </text>
    </comment>
    <comment authorId="0" ref="AF30">
      <text>
        <t xml:space="preserve">======
ID#AAAAwCN6t5w
Steven    (2023-05-23 18:26:45)
Typically retains acquired skills for at least 1 week without maintenance trials</t>
      </text>
    </comment>
    <comment authorId="0" ref="V18">
      <text>
        <t xml:space="preserve">======
ID#AAAAwCqRXg4
Steven    (2023-05-23 18:26:46)
A total score of 3 or 4 on negative behaviors and instructional control on the Barriers Assessment</t>
      </text>
    </comment>
    <comment authorId="0" ref="AP38">
      <text>
        <t xml:space="preserve">======
ID#AAAAwCqRW8g
Steven    (2023-05-23 18:26:46)
Acquires 2 new motor skills in the natural environment without intensive teaching</t>
      </text>
    </comment>
    <comment authorId="0" ref="AZ46">
      <text>
        <t xml:space="preserve">======
ID#AAAAwCqRWeo
Steven    (2023-05-23 18:26:45)
Independently gets food items, eats, uses utensils, and cleans up independently or with 1 verbal prompt</t>
      </text>
    </comment>
    <comment authorId="0" ref="AP34">
      <text>
        <t xml:space="preserve">======
ID#AAAAwCqRWyQ
Steven    (2023-05-23 18:26:46)
Acquires 25 new mands or tacts in the natural environment without intensive teaching</t>
      </text>
    </comment>
    <comment authorId="0" ref="V14">
      <text>
        <t xml:space="preserve">======
ID#AAAAwCqRWqA
Steven    (2023-05-23 18:26:46)
The child has no behavioral issues, demonstrated by a score of 0 or 1 on the Barriers Assessment</t>
      </text>
    </comment>
    <comment authorId="0" ref="AF22">
      <text>
        <t xml:space="preserve">======
ID#AAAAwCqRXOE
Steven    (2023-05-23 18:26:46)
Scores 2 points on classroom routines and group skills in the Milestones Assessment</t>
      </text>
    </comment>
    <comment authorId="0" ref="AP30">
      <text>
        <t xml:space="preserve">======
ID#AAAAwCqRXiw
Steven    (2023-05-23 18:26:46)
Easily and consistently learns new skills daily in a natural or group setting without intensive teaching</t>
      </text>
    </comment>
    <comment authorId="0" ref="AZ38">
      <text>
        <t xml:space="preserve">======
ID#AAAAwCqRXeI
Steven    (2023-05-23 18:26:46)
Demonstrates echoic to mand or tact transfer for 2 verbal responses with 2 or less transfer trials</t>
      </text>
    </comment>
    <comment authorId="0" ref="AF18">
      <text>
        <t xml:space="preserve">======
ID#AAAAwCqRXck
Steven    (2023-05-23 18:26:46)
Scores 5 to 7 points on classroom routines and group skills in the Milestones Assessment</t>
      </text>
    </comment>
    <comment authorId="0" ref="C52">
      <text>
        <t xml:space="preserve">======
ID#AAAAwCqRXkc
Steven    (2023-05-23 18:26:46)
Accepts minor changes, shows considerable distress, requires substantial preparation for change</t>
      </text>
    </comment>
    <comment authorId="0" ref="AZ34">
      <text>
        <t xml:space="preserve">======
ID#AAAAwCqRXeQ
Steven    (2023-05-23 18:26:46)
Demonstrates tact to mand transfer for 10 verbal responses without training</t>
      </text>
    </comment>
    <comment authorId="0" ref="AF14">
      <text>
        <t xml:space="preserve">======
ID#AAAAwCqRXdg
Steven    (2023-05-23 18:26:46)
Scores 10 points on classroom routines and group skills in the Milestones Assessment</t>
      </text>
    </comment>
    <comment authorId="0" ref="C48">
      <text>
        <t xml:space="preserve">======
ID#AAAAwCqRWjw
Steven    (2023-05-23 18:26:46)
Adapts to change quickly and without negative behaviors, but shows signs of minor distress</t>
      </text>
    </comment>
    <comment authorId="0" ref="AP22">
      <text>
        <t xml:space="preserve">======
ID#AAAAwCqRXzw
Steven    (2023-05-23 18:26:46)
Scores 2 or 3 points on social behavior and social play in the Milestones Assessment</t>
      </text>
    </comment>
    <comment authorId="0" ref="AZ30">
      <text>
        <t xml:space="preserve">======
ID#AAAAwCqRXaY
Steven    (2023-05-23 18:26:46)
Demonstrates transfer daily, involving advanced parts of speech, and all speaker and listener skills</t>
      </text>
    </comment>
    <comment authorId="0" ref="AP18">
      <text>
        <t xml:space="preserve">======
ID#AAAAwCqRXp4
Steven    (2023-05-23 18:26:46)
Scores 6 to 9 points on social behavior and social play in the Milestones Assessment</t>
      </text>
    </comment>
    <comment authorId="0" ref="L52">
      <text>
        <t xml:space="preserve">======
ID#AAAAwCqRXUw
Steven    (2023-05-23 18:26:46)
Emits many behaviors spontaneously, but they are mostly nonverbal behavior</t>
      </text>
    </comment>
    <comment authorId="0" ref="L48">
      <text>
        <t xml:space="preserve">======
ID#AAAAwCqRWzM
Steven    (2023-05-23 18:26:46)
Spontaneously emits mand, tact, intraverbal, and verbal social behavior several times a day</t>
      </text>
    </comment>
    <comment authorId="0" ref="AP14">
      <text>
        <t xml:space="preserve">======
ID#AAAAwCqRWpg
Steven    (2023-05-23 18:26:46)
Scores 13 to 15 points on social behavior and social play in the Milestones Assessment</t>
      </text>
    </comment>
    <comment authorId="0" ref="AZ22">
      <text>
        <t xml:space="preserve">======
ID#AAAAwCqRXSc
Steven    (2023-05-23 18:26:46)
Works independently on academic tasks for at least 30 seconds with no more than 1 adult prompt</t>
      </text>
    </comment>
    <comment authorId="0" ref="C36">
      <text>
        <t xml:space="preserve">======
ID#AAAAwCqRXDs
Steven    (2023-05-23 18:26:46)
Generalizes to new materials, but only after extensive generalization (multiple exemplar) training</t>
      </text>
    </comment>
    <comment authorId="0" ref="V52">
      <text>
        <t xml:space="preserve">======
ID#AAAAwCqRXZs
Steven    (2023-05-23 18:26:46)
Scores 5 points on independent play in the Milestones Assessment</t>
      </text>
    </comment>
    <comment authorId="0" ref="AZ18">
      <text>
        <t xml:space="preserve">======
ID#AAAAwCqRW74
Steven    (2023-05-23 18:26:46)
Works independently on academic tasks for at least 2 minutes without adult prompting to stay on task</t>
      </text>
    </comment>
    <comment authorId="0" ref="C32">
      <text>
        <t xml:space="preserve">======
ID#AAAAwCqRWe0
Steven    (2023-05-23 18:26:45)
Demonstrates spontaneous response generalization in the natural environment on 10 occasions</t>
      </text>
    </comment>
    <comment authorId="0" ref="V48">
      <text>
        <t xml:space="preserve">======
ID#AAAAwCqRWwE
Steven    (2023-05-23 18:26:46)
Scores 11 points on independent play in the Milestones Assessment</t>
      </text>
    </comment>
    <comment authorId="0" ref="AZ14">
      <text>
        <t xml:space="preserve">======
ID#AAAAwCqRWlc
Steven    (2023-05-23 18:26:46)
Works independently on academic tasks for at least 10 minutes without adult prompting to stay on task</t>
      </text>
    </comment>
    <comment authorId="0" ref="L36">
      <text>
        <t xml:space="preserve">======
ID#AAAAwCqRXYg
Steven    (2023-05-23 18:26:46)
Reinforcers are tangible, sensory, or manipulative such as toys, cause-and-effect objects, music, dolls</t>
      </text>
    </comment>
    <comment authorId="0" ref="AF52">
      <text>
        <t xml:space="preserve">======
ID#AAAAwCqRXRI
Steven    (2023-05-23 18:26:46)
Requires verbal or physical prompts to complete most self-help tasks</t>
      </text>
    </comment>
    <comment authorId="0" ref="L32">
      <text>
        <t xml:space="preserve">======
ID#AAAAwCqRXFY
Steven    (2023-05-23 18:26:46)
Reinforcers are intermittent, social, automatic, and involve a wide range of items and activities</t>
      </text>
    </comment>
    <comment authorId="0" ref="C20">
      <text>
        <t xml:space="preserve">======
ID#AAAAwCqRWhg
Steven    (2023-05-23 18:26:46)
Scores 26 to 50 on the Milestones Assessment</t>
      </text>
    </comment>
    <comment authorId="0" ref="AF48">
      <text>
        <t xml:space="preserve">======
ID#AAAAwCqRXSM
Steven    (2023-05-23 18:26:46)
Initiates some self-help tasks and usually attempts approximations, but still requires verbal prompting</t>
      </text>
    </comment>
    <comment authorId="0" ref="V36">
      <text>
        <t xml:space="preserve">======
ID#AAAAwCqRXk8
Steven    (2023-05-23 18:26:46)
Requires at least one week of training sessions and 100 or more trials to acquire a new target skill</t>
      </text>
    </comment>
    <comment authorId="0" ref="C16">
      <text>
        <t xml:space="preserve">======
ID#AAAAwCqRXvA
Steven    (2023-05-23 18:26:46)
Scores 101 to 135 on the Milestones Assessment</t>
      </text>
    </comment>
    <comment authorId="0" ref="V32">
      <text>
        <t xml:space="preserve">======
ID#AAAAwCqRW8A
Steven    (2023-05-23 18:26:46)
Acquires several new target skills a week averaging less than 25 training trials</t>
      </text>
    </comment>
    <comment authorId="0" ref="AP52">
      <text>
        <t xml:space="preserve">======
ID#AAAAwCqRWnE
Steven    (2023-05-23 18:26:46)
Toilet training has begun, will occasionally urinate when seated on the toilet, but still wears a diaper</t>
      </text>
    </comment>
    <comment authorId="0" ref="L20">
      <text>
        <t xml:space="preserve">======
ID#AAAAwCqRWr4
Steven    (2023-05-23 18:26:46)
Scores 31 to 55 on the Barriers Assessment</t>
      </text>
    </comment>
    <comment authorId="0" ref="AP48">
      <text>
        <t xml:space="preserve">======
ID#AAAAwCqRWkA
Steven    (2023-05-23 18:26:46)
Both bladder and bowel trained, but needs prompts and assistance to complete the toileting routine</t>
      </text>
    </comment>
    <comment authorId="0" ref="AF36">
      <text>
        <t xml:space="preserve">======
ID#AAAAwCqRXEM
Steven    (2023-05-23 18:26:46)
Retains a new skill for at least 1 hour after it has been scored as correct in a teaching session</t>
      </text>
    </comment>
    <comment authorId="0" ref="L16">
      <text>
        <t xml:space="preserve">======
ID#AAAAwCqRWyY
Steven    (2023-05-23 18:26:46)
Scores 11 to 20 on the Barriers Assessment</t>
      </text>
    </comment>
    <comment authorId="0" ref="AZ52">
      <text>
        <t xml:space="preserve">======
ID#AAAAwCqRWrw
Steven    (2023-05-23 18:26:46)
Independently eats finger food, but requires adult arrangement of food, verbal prompting, and clean up</t>
      </text>
    </comment>
    <comment authorId="0" ref="AF32">
      <text>
        <t xml:space="preserve">======
ID#AAAAwCqRWow
Steven    (2023-05-23 18:26:46)
Retains acquired skills after a 24-hour period without maintenance trials</t>
      </text>
    </comment>
    <comment authorId="0" ref="V20">
      <text>
        <t xml:space="preserve">======
ID#AAAAwCqRWx0
Steven    (2023-05-23 18:26:46)
A total score of 5 on negative behaviors and instructional control on the Barriers Assessment</t>
      </text>
    </comment>
    <comment authorId="0" ref="AZ48">
      <text>
        <t xml:space="preserve">======
ID#AAAAwCqRWyE
Steven    (2023-05-23 18:26:46)
Independently uses a spoon, eats without prompts, makes a minimal mess, needs prompts to clean up</t>
      </text>
    </comment>
    <comment authorId="0" ref="AP36">
      <text>
        <t xml:space="preserve">======
ID#AAAAwCqRXVc
Steven    (2023-05-23 18:26:46)
Acquires 5 new mands or tacts in the natural environment without intensive teaching</t>
      </text>
    </comment>
    <comment authorId="0" ref="V16">
      <text>
        <t xml:space="preserve">======
ID#AAAAwCqRWvI
Steven    (2023-05-23 18:26:46)
A total score of 2 on negative behaviors and instructional control on the Barriers Assessment</t>
      </text>
    </comment>
    <comment authorId="0" ref="AP32">
      <text>
        <t xml:space="preserve">======
ID#AAAAwCqRXlE
Steven    (2023-05-23 18:26:46)
Acquires 25 new intraverbals in the natural environment without intensive teaching</t>
      </text>
    </comment>
    <comment authorId="0" ref="AF20">
      <text>
        <t xml:space="preserve">======
ID#AAAAwCqRXjc
Steven    (2023-05-23 18:26:46)
Scores 3 to 4 points on classroom routines and group skills in the Milestones Assessment</t>
      </text>
    </comment>
    <comment authorId="0" ref="C54">
      <text>
        <t xml:space="preserve">======
ID#AAAAwCqRWwU
Steven    (2023-05-23 18:26:46)
Adapts to some minor changes with verbal preparation, but may demonstrate some negative behavior</t>
      </text>
    </comment>
    <comment authorId="0" ref="AF16">
      <text>
        <t xml:space="preserve">======
ID#AAAAwCqRWzs
Steven    (2023-05-23 18:26:46)
Scores 8 to 9 points on classroom routines and group skills in the Milestones Assessment</t>
      </text>
    </comment>
    <comment authorId="0" ref="AZ36">
      <text>
        <t xml:space="preserve">======
ID#AAAAwCN6t40
Steven    (2023-05-23 18:26:45)
Demonstrates echoic to mand or tact transfer for 5 verbal responses without transfer trials</t>
      </text>
    </comment>
    <comment authorId="0" ref="C50">
      <text>
        <t xml:space="preserve">======
ID#AAAAwCqRWlw
Steven    (2023-05-23 18:26:46)
Becomes annoyed and complains about changes, may perseverate, but ultimately goes with the change</t>
      </text>
    </comment>
    <comment authorId="0" ref="AZ32">
      <text>
        <t xml:space="preserve">======
ID#AAAAwCqRWpQ
Steven    (2023-05-23 18:26:46)
Demonstrates tact to intraverbal transfer for 10 topics or events without training</t>
      </text>
    </comment>
    <comment authorId="0" ref="C46">
      <text>
        <t xml:space="preserve">======
ID#AAAAwCqRXrQ
Steven    (2023-05-23 18:26:46)
The child handles change in routine well, and ignores or copes with other distractions and changes</t>
      </text>
    </comment>
    <comment authorId="0" ref="L54">
      <text>
        <t xml:space="preserve">======
ID#AAAAwCqRXs0
Steven    (2023-05-23 18:26:46)
Emits some behaviors spontaneously, but most language and social skills are prompted</t>
      </text>
    </comment>
    <comment authorId="0" ref="AP20">
      <text>
        <t xml:space="preserve">======
ID#AAAAwCqRW5o
Steven    (2023-05-23 18:26:46)
Scores 4 or 5 points on social behavior and social play in the Milestones Assessment</t>
      </text>
    </comment>
    <comment authorId="0" ref="L50">
      <text>
        <t xml:space="preserve">======
ID#AAAAwCqRXzo
Steven    (2023-05-23 18:26:46)
Spontaneously (no verbal prompts) mands and tacts several times a day</t>
      </text>
    </comment>
    <comment authorId="0" ref="AP16">
      <text>
        <t xml:space="preserve">======
ID#AAAAwCqRXQg
Steven    (2023-05-23 18:26:46)
Scores 10 to 12 points on social behavior and social play in the Milestones Assessment</t>
      </text>
    </comment>
    <comment authorId="0" ref="C38">
      <text>
        <t xml:space="preserve">======
ID#AAAAwCqRW1I
Steven    (2023-05-23 18:26:46)
Generalizes a few new skills to different people and across time, but not easily across materials</t>
      </text>
    </comment>
    <comment authorId="0" ref="L46">
      <text>
        <t xml:space="preserve">======
ID#AAAAwCqRXqc
Steven    (2023-05-23 18:26:46)
Emits appropriate spontaneous behaviors across most of the 16 areas of the Milestones Assessment</t>
      </text>
    </comment>
  </commentList>
  <extLst>
    <ext uri="GoogleSheetsCustomDataVersion2">
      <go:sheetsCustomData xmlns:go="http://customooxmlschemas.google.com/" r:id="rId1" roundtripDataSignature="AMtx7mil4qzuXS4FjGzCs8IHl5ZIaiD2zw=="/>
    </ext>
  </extLst>
</comments>
</file>

<file path=xl/comments5.xml><?xml version="1.0" encoding="utf-8"?>
<comments xmlns:r="http://schemas.openxmlformats.org/officeDocument/2006/relationships" xmlns="http://schemas.openxmlformats.org/spreadsheetml/2006/main" xmlns:xr="http://schemas.microsoft.com/office/spreadsheetml/2014/revision">
  <authors>
    <author/>
  </authors>
  <commentList>
    <comment authorId="0" ref="AQ41">
      <text>
        <t xml:space="preserve">======
ID#AAAAwCqRXpM
Steven    (2023-05-23 18:26:46)
Scores at least 10 on the EESA subtest</t>
      </text>
    </comment>
    <comment authorId="0" ref="S17">
      <text>
        <t xml:space="preserve">======
ID#AAAAwCqRXnU
Steven    (2023-05-23 18:26:46)
Attempts to scribble with any writing instrument</t>
      </text>
    </comment>
    <comment authorId="0" ref="M42">
      <text>
        <t xml:space="preserve">======
ID#AAAAwCqRXPg
Steven    (2023-05-23 18:26:46)
Discriminates between 2 objects when they are presented at eye level (e.g., looks at, touches, or points to a ball when shown a ball and a shoe and asked touch ball)</t>
      </text>
    </comment>
    <comment authorId="0" ref="AW41">
      <text>
        <t xml:space="preserve">======
ID#AAAAwCqRXj8
Steven    (2023-05-23 18:26:46)
Spontaneously emits 10 different sounds with varying intonations, averaging 25 sounds each hour</t>
      </text>
    </comment>
    <comment authorId="0" ref="Y17">
      <text>
        <t xml:space="preserve">======
ID#AAAAwCqRXwE
Steven    (2023-05-23 18:26:46)
Emits sounds or words associated with toys (e.g., says vroom vroom with a car)</t>
      </text>
    </comment>
    <comment authorId="0" ref="S42">
      <text>
        <t xml:space="preserve">======
ID#AAAAwCqRXM8
Steven    (2023-05-23 18:26:46)
Looks for an object that has fallen out of sight 5 times</t>
      </text>
    </comment>
    <comment authorId="0" ref="M34">
      <text>
        <t xml:space="preserve">======
ID#AAAAwCqRXCk
Steven    (2023-05-23 18:26:46)
Selects the correct item from an array of 2 for 10 different objects or pictures</t>
      </text>
    </comment>
    <comment authorId="0" ref="AE17">
      <text>
        <t xml:space="preserve">======
ID#AAAAwCqRXmw
Steven    (2023-05-23 18:26:46)
Spontaneously imitates the behavior of another child 2 times</t>
      </text>
    </comment>
    <comment authorId="0" ref="Y42">
      <text>
        <t xml:space="preserve">======
ID#AAAAwCqRWjQ
Steven    (2023-05-23 18:26:46)
Carries toys or objects from one place to another</t>
      </text>
    </comment>
    <comment authorId="0" ref="B18">
      <text>
        <t xml:space="preserve">======
ID#AAAAwCqRXEI
Steven    (2023-05-23 18:26:46)
Mands contain intonations that vary and are appropriate to the current MO 2 times</t>
      </text>
    </comment>
    <comment authorId="0" ref="AK17">
      <text>
        <t xml:space="preserve">======
ID#AAAAwCqRXew
Steven    (2023-05-23 18:26:46)
Spontaneously imitates the behavior of others on 2 occasions (e.g., filling containers)</t>
      </text>
    </comment>
    <comment authorId="0" ref="G18">
      <text>
        <t xml:space="preserve">======
ID#AAAAwCqRXEs
Steven    (2023-05-23 18:26:46)
Tacts 5 pictures (2D)</t>
      </text>
    </comment>
    <comment authorId="0" ref="AE42">
      <text>
        <t xml:space="preserve">======
ID#AAAAwCqRW2c
Steven    (2023-05-23 18:26:46)
Responds to greetings from others with 2 seconds of eye contact 2 times</t>
      </text>
    </comment>
    <comment authorId="0" ref="B43">
      <text>
        <t xml:space="preserve">======
ID#AAAAwCqRWeM
Steven    (2023-05-23 18:26:45)
Generalizes 3 mands across 2 examples of a desired item (e.g., mands slide for 2 different slides)</t>
      </text>
    </comment>
    <comment authorId="0" ref="AK42">
      <text>
        <t xml:space="preserve">======
ID#AAAAwCqRXWQ
Steven    (2023-05-23 18:26:46)
Generalizes known imitation responses to 2 additional people (e.g., claps for 2 new adults)</t>
      </text>
    </comment>
    <comment authorId="0" ref="M18">
      <text>
        <t xml:space="preserve">======
ID#AAAAwCqRXfo
Steven    (2023-05-23 18:26:46)
Maintains an acquired listener skill after 24 hours without training</t>
      </text>
    </comment>
    <comment authorId="0" ref="G43">
      <text>
        <t xml:space="preserve">======
ID#AAAAwCqRXWY
Steven    (2023-05-23 18:26:46)
Generalizes known responses across 2 different people and 2 settings (e.g., tacts kitty for both mom and dad; tacts dada while in bed and in the kitchen)</t>
      </text>
    </comment>
    <comment authorId="0" ref="S18">
      <text>
        <t xml:space="preserve">======
ID#AAAAwCqRXLo
Steven    (2023-05-23 18:26:46)
Completes a 3-piece in-set puzzle without physical prompts</t>
      </text>
    </comment>
    <comment authorId="0" ref="M43">
      <text>
        <t xml:space="preserve">======
ID#AAAAwCqRXeA
Steven    (2023-05-23 18:26:46)
Discriminates between 2 family members and/or pets when named (e.g., Where's daddy?)</t>
      </text>
    </comment>
    <comment authorId="0" ref="Y18">
      <text>
        <t xml:space="preserve">======
ID#AAAAwCqRWq0
Steven    (2023-05-23 18:26:46)
Carries a large play object to a new location (e.g., a toy car garage)</t>
      </text>
    </comment>
    <comment authorId="0" ref="S43">
      <text>
        <t xml:space="preserve">======
ID#AAAAwCqRXVY
Steven    (2023-05-23 18:26:46)
Transfers objects from one hand to another 5 times</t>
      </text>
    </comment>
    <comment authorId="0" ref="AE18">
      <text>
        <t xml:space="preserve">======
ID#AAAAwCqRWq4
Steven    (2023-05-23 18:26:46)
Spontaneously follows another child 2 times</t>
      </text>
    </comment>
    <comment authorId="0" ref="Y43">
      <text>
        <t xml:space="preserve">======
ID#AAAAwCqRXl0
Steven    (2023-05-23 18:26:46)
Generalizes known play behaviors to a novel environment</t>
      </text>
    </comment>
    <comment authorId="0" ref="B52">
      <text>
        <t xml:space="preserve">======
ID#AAAAwCqRXGo
Steven    (2023-05-23 18:26:46)
Emits 4 different mands without prompts (except What do you want?) - the desired item can be present (e.g., music, slinky, ball)</t>
      </text>
    </comment>
    <comment authorId="0" ref="B19">
      <text>
        <t xml:space="preserve">======
ID#AAAAwCqRXG0
Steven    (2023-05-23 18:26:46)
Emits 3 different mands without verbal prompts - can be with an object prompt</t>
      </text>
    </comment>
    <comment authorId="0" ref="AK18">
      <text>
        <t xml:space="preserve">======
ID#AAAAwCqRXdI
Steven    (2023-05-23 18:26:46)
Imitates the gross motor behavior of other children 2 times when prompted (e.g., running)</t>
      </text>
    </comment>
    <comment authorId="0" ref="G52">
      <text>
        <t xml:space="preserve">======
ID#AAAAwCqRW0M
Steven    (2023-05-23 18:26:46)
Tacts any 4 items (e.g., people, pets, characters, or other objects)</t>
      </text>
    </comment>
    <comment authorId="0" ref="AE43">
      <text>
        <t xml:space="preserve">======
ID#AAAAwCqRWl8
Steven    (2023-05-23 18:26:46)
Reacts positively to being approached by other children 2 times (can be siblings)</t>
      </text>
    </comment>
    <comment authorId="0" ref="B44">
      <text>
        <t xml:space="preserve">======
ID#AAAAwCqRXKI
Steven    (2023-05-23 18:26:46)
Emits 10 mands without echoic or imitative prompts - can be with verbal or object prompts</t>
      </text>
    </comment>
    <comment authorId="0" ref="M52">
      <text>
        <t xml:space="preserve">======
ID#AAAAwCqRXHY
Steven    (2023-05-23 18:26:46)
Responds to hearing his own name 5 times (e.g., looks at the speaker)</t>
      </text>
    </comment>
    <comment authorId="0" ref="AK43">
      <text>
        <t xml:space="preserve">======
ID#AAAAwCqRXfg
Steven    (2023-05-23 18:26:46)
Imitates side-to-side body rocking</t>
      </text>
    </comment>
    <comment authorId="0" ref="M19">
      <text>
        <t xml:space="preserve">======
ID#AAAAwCqRXro
Steven    (2023-05-23 18:26:46)
Demonstrates 6 different motor actions on command without a visual prompt</t>
      </text>
    </comment>
    <comment authorId="0" ref="S52">
      <text>
        <t xml:space="preserve">======
ID#AAAAwCqRXg8
Steven    (2023-05-23 18:26:46)
Grasps small objects with thumb, index finger, and middle finger (pincer grasp) 5 times</t>
      </text>
    </comment>
    <comment authorId="0" ref="S19">
      <text>
        <t xml:space="preserve">======
ID#AAAAwCqRXwI
Steven    (2023-05-23 18:26:46)
Successfully uses a spoon 5 times during a meal</t>
      </text>
    </comment>
    <comment authorId="0" ref="M44">
      <text>
        <t xml:space="preserve">======
ID#AAAAwCqRXmo
Steven    (2023-05-23 18:26:46)
Responds to 2 simple (1 part) verbal instructions in context (e.g., sit down, when by a chair)</t>
      </text>
    </comment>
    <comment authorId="0" ref="B61">
      <text>
        <t xml:space="preserve">======
ID#AAAAwCqRXaI
Steven    (2023-05-23 18:26:46)
Emits 2 words, signs, or PECS, but may require echoic, imitative, or other prompts but no physical prompts (e.g., cracker, book)</t>
      </text>
    </comment>
    <comment authorId="0" ref="Y52">
      <text>
        <t xml:space="preserve">======
ID#AAAAwCqRXB8
Steven    (2023-05-23 18:26:46)
Shows variation in play by independently interacting with 5 different items (e.g., plays with rings, then a ball, then a block)</t>
      </text>
    </comment>
    <comment authorId="0" ref="B28">
      <text>
        <t xml:space="preserve">======
ID#AAAAwCqRXLg
Steven    (2023-05-23 18:26:46)
Spontaneously emits (no verbal prompts) 5 mands - the desired item can be present</t>
      </text>
    </comment>
    <comment authorId="0" ref="Y19">
      <text>
        <t xml:space="preserve">======
ID#AAAAwCqRXSw
Steven    (2023-05-23 18:26:46)
Spontaneously pulls and pushes items around</t>
      </text>
    </comment>
    <comment authorId="0" ref="G61">
      <text>
        <t xml:space="preserve">======
ID#AAAAwCqRWng
Steven    (2023-05-23 18:26:46)
Tacts 2 reinforcing items (e.g., people, pets, characters, or favorite objects)</t>
      </text>
    </comment>
    <comment authorId="0" ref="G28">
      <text>
        <t xml:space="preserve">======
ID#AAAAwCqRXh8
Steven    (2023-05-23 18:26:46)
Spontaneously tacts (no verbal prompts) 2 different items</t>
      </text>
    </comment>
    <comment authorId="0" ref="AE52">
      <text>
        <t xml:space="preserve">======
ID#AAAAwCqRWj0
Steven    (2023-05-23 18:26:46)
Indicates that he wants to be held or physically played with 2 times (e.g., climbs up on his mom's lap)</t>
      </text>
    </comment>
    <comment authorId="0" ref="Y44">
      <text>
        <t xml:space="preserve">======
ID#AAAAwCqRW-s
Steven    (2023-05-23 18:26:46)
Transfers items in or out of a container</t>
      </text>
    </comment>
    <comment authorId="0" ref="B53">
      <text>
        <t xml:space="preserve">======
ID#AAAAwCqRWeY
Steven    (2023-05-23 18:26:45)
Generalizes 2 known mands across 2 different people and settings</t>
      </text>
    </comment>
    <comment authorId="0" ref="B20">
      <text>
        <t xml:space="preserve">======
ID#AAAAwCqRXN8
Steven    (2023-05-23 18:26:46)
Emits 3 different mands without an object present - can be with a verbal prompt (e.g., mommy)</t>
      </text>
    </comment>
    <comment authorId="0" ref="M61">
      <text>
        <t xml:space="preserve">======
ID#AAAAwCqRXY0
Steven    (2023-05-23 18:26:46)
Attends to a speaker's voice by orienting toward the speaker 5 times</t>
      </text>
    </comment>
    <comment authorId="0" ref="M28">
      <text>
        <t xml:space="preserve">======
ID#AAAAwCqRXvw
Steven    (2023-05-23 18:26:46)
Performs 4 different motor actions on command without a visual prompt (e.g., Can you jump? Show me clapping.)</t>
      </text>
    </comment>
    <comment authorId="0" ref="AK52">
      <text>
        <t xml:space="preserve">======
ID#AAAAwCqRXcc
Steven    (2023-05-23 18:26:46)
Imitates 4 gross motor movements when prompted with, Do this</t>
      </text>
    </comment>
    <comment authorId="0" ref="AK19">
      <text>
        <t xml:space="preserve">======
ID#AAAAwCqRXVQ
Steven    (2023-05-23 18:26:46)
Imitates 5 different fine motor movements (e.g., pokes clay with index finger, a pincer grasp)</t>
      </text>
    </comment>
    <comment authorId="0" ref="AE44">
      <text>
        <t xml:space="preserve">======
ID#AAAAwCqRWyI
Steven    (2023-05-23 18:26:46)
Takes a desired item from an adult 3 times (e.g., takes a toy when offered)</t>
      </text>
    </comment>
    <comment authorId="0" ref="B45">
      <text>
        <t xml:space="preserve">======
ID#AAAAwCqRXJc
Steven    (2023-05-23 18:26:46)
Emits 2 spontaneous mands (no verbal prompts); - the object can be present</t>
      </text>
    </comment>
    <comment authorId="0" ref="S61">
      <text>
        <t xml:space="preserve">======
ID#AAAAwCqRXfs
Steven    (2023-05-23 18:26:46)
Visually tracks moving stimuli for 2 seconds, 5 times</t>
      </text>
    </comment>
    <comment authorId="0" ref="AQ52">
      <text>
        <t xml:space="preserve">======
ID#AAAAwCqRXc0
Steven    (2023-05-23 18:26:46)
Scores at least 5 on the EESA subtest</t>
      </text>
    </comment>
    <comment authorId="0" ref="S28">
      <text>
        <t xml:space="preserve">======
ID#AAAAwCqRXEw
Steven    (2023-05-23 18:26:46)
Places 3 items in a container, stacks 3 blocks, or places 3 rings on a peg for 2 of these or similar activities</t>
      </text>
    </comment>
    <comment authorId="0" ref="M53">
      <text>
        <t xml:space="preserve">======
ID#AAAAwCqRXY8
Steven    (2023-05-23 18:26:46)
Smiles at the sound of the caretaker's voice 2 times</t>
      </text>
    </comment>
    <comment authorId="0" ref="AK44">
      <text>
        <t xml:space="preserve">======
ID#AAAAwCqRXEc
Steven    (2023-05-23 18:26:46)
Spontaneously imitates 2 gross motor movements of another person (e.g., arms up)</t>
      </text>
    </comment>
    <comment authorId="0" ref="M20">
      <text>
        <t xml:space="preserve">======
ID#AAAAwCqRWvA
Steven    (2023-05-23 18:26:46)
Identifies (LD) 5 items in a 10 second period (fluency test)</t>
      </text>
    </comment>
    <comment authorId="0" ref="Y61">
      <text>
        <t xml:space="preserve">======
ID#AAAAwCqRWqM
Steven    (2023-05-23 18:26:46)
Manipulates and explores objects for 1 minute (e.g., looks at a toy, turns it over, presses buttons)</t>
      </text>
    </comment>
    <comment authorId="0" ref="Y28">
      <text>
        <t xml:space="preserve">======
ID#AAAAwCqRXx8
Steven    (2023-05-23 18:26:46)
Independently engages in movement play for 2 minutes (e.g., swinging, dancing rocking, jumping, climbing)</t>
      </text>
    </comment>
    <comment authorId="0" ref="AW52">
      <text>
        <t xml:space="preserve">======
ID#AAAAwCN6t4M
Steven    (2023-05-23 18:26:45)
Spontaneously emits 5 different sounds, averaging 10 sounds each hour</t>
      </text>
    </comment>
    <comment authorId="0" ref="S53">
      <text>
        <t xml:space="preserve">======
ID#AAAAwCqRW9Y
Steven    (2023-05-23 18:26:46)
Manipulates toys and objects in a variety of ways for 10 seconds, 5 times</t>
      </text>
    </comment>
    <comment authorId="0" ref="S20">
      <text>
        <t xml:space="preserve">======
ID#AAAAwCqRXHo
Steven    (2023-05-23 18:26:46)
Visually attends to toys or books for 1 minute, 2 times</t>
      </text>
    </comment>
    <comment authorId="0" ref="M45">
      <text>
        <t xml:space="preserve">======
ID#AAAAwCqRXL0
Steven    (2023-05-23 18:26:46)
Attends to an object or picture when named (without discrimination) 5 times</t>
      </text>
    </comment>
    <comment authorId="0" ref="AE61">
      <text>
        <t xml:space="preserve">======
ID#AAAAwCqRXjw
Steven    (2023-05-23 18:26:46)
Visually tracks and shows interest in people's movement at least 5 times</t>
      </text>
    </comment>
    <comment authorId="0" ref="AE28">
      <text>
        <t xml:space="preserve">======
ID#AAAAwCqRXZk
Steven    (2023-05-23 18:26:46)
Spontaneously engages in parallel play near other children for a total is 2 minutes (e.g., sits in the sandbox near other children)</t>
      </text>
    </comment>
    <comment authorId="0" ref="Y53">
      <text>
        <t xml:space="preserve">======
ID#AAAAwCqRXrU
Steven    (2023-05-23 18:26:46)
Repeats a play behavior that produces an auditory sound (e.g., squeezes toys, bangs them)</t>
      </text>
    </comment>
    <comment authorId="0" ref="B62">
      <text>
        <t xml:space="preserve">======
ID#AAAAwCqRXPk
Steven    (2023-05-23 18:26:46)
Points or gestures towards a reinforcer in order to obtain it 2 times</t>
      </text>
    </comment>
    <comment authorId="0" ref="B29">
      <text>
        <t xml:space="preserve">======
ID#AAAAwCqRXVs
Steven    (2023-05-23 18:26:46)
Emits 1 mand to remove an undesirable item or activity (e.g., no)</t>
      </text>
    </comment>
    <comment authorId="0" ref="Y20">
      <text>
        <t xml:space="preserve">======
ID#AAAAwCqRWvg
Steven    (2023-05-23 18:26:46)
Takes pieces of a set apart (e.g., Duplos, Bristle blocks)</t>
      </text>
    </comment>
    <comment authorId="0" ref="AK61">
      <text>
        <t xml:space="preserve">======
ID#AAAAwCN6t5o
Steven    (2023-05-23 18:26:45)
Imitates 2 gross motor movements when prompted with, Do this (e.g., clapping, raising arms)</t>
      </text>
    </comment>
    <comment authorId="0" ref="AK28">
      <text>
        <t xml:space="preserve">======
ID#AAAAwCqRXW8
Steven    (2023-05-23 18:26:46)
Spontaneously imitates the motor behaviors of others on 5 occasions</t>
      </text>
    </comment>
    <comment authorId="0" ref="G62">
      <text>
        <t xml:space="preserve">======
ID#AAAAwCqRXGU
Steven    (2023-05-23 18:26:46)
Tacts 1 familiar person, pet, or object with verbal prompts and motivation present (e.g., mama)</t>
      </text>
    </comment>
    <comment authorId="0" ref="G29">
      <text>
        <t xml:space="preserve">======
ID#AAAAwCqRXLY
Steven    (2023-05-23 18:26:46)
Tacts 2 pictures from a book or picture card (2D) (e.g., duck, ball)</t>
      </text>
    </comment>
    <comment authorId="0" ref="AE53">
      <text>
        <t xml:space="preserve">======
ID#AAAAwCqRW2Y
Steven    (2023-05-23 18:26:46)
Seeks out adult attention using eye gaze, sounds, or gestures 3 times (e.g., pointing)</t>
      </text>
    </comment>
    <comment authorId="0" ref="Y45">
      <text>
        <t xml:space="preserve">======
ID#AAAAwCqRXv0
Steven    (2023-05-23 18:26:46)
Dumps containers of items on floor</t>
      </text>
    </comment>
    <comment authorId="0" ref="B54">
      <text>
        <t xml:space="preserve">======
ID#AAAAwCqRWfA
Steven    (2023-05-23 18:26:45)
Emits 5 mands without echoic or imitative prompts - can be with verbal or object prompts</t>
      </text>
    </comment>
    <comment authorId="0" ref="AQ61">
      <text>
        <t xml:space="preserve">======
ID#AAAAwCqRXsg
Steven    (2023-05-23 18:26:46)
Scores at least 2 on the EESA subtest</t>
      </text>
    </comment>
    <comment authorId="0" ref="AQ28">
      <text>
        <t xml:space="preserve">======
ID#AAAAwCqRXE4
Steven    (2023-05-23 18:26:46)
Scores at least 15 on the EESA subtest</t>
      </text>
    </comment>
    <comment authorId="0" ref="M62">
      <text>
        <t xml:space="preserve">======
ID#AAAAwCqRXEg
Steven    (2023-05-23 18:26:46)
Turns head to locate the source of a sound (e.g., bell, squeaky toy, a cell phone ringing)</t>
      </text>
    </comment>
    <comment authorId="0" ref="M29">
      <text>
        <t xml:space="preserve">======
ID#AAAAwCqRXQo
Steven    (2023-05-23 18:26:46)
Generalizes in a listener discrimination (LD) task across 2 examples of 5 different items (e.g., can identify 2 different dogs, 2 different cups, 2 different balls)</t>
      </text>
    </comment>
    <comment authorId="0" ref="AK53">
      <text>
        <t xml:space="preserve">======
ID#AAAAwCqRW04
Steven    (2023-05-23 18:26:46)
Spontaneously imitates 2 different fun activities (e.g., peek-a-boo, patty cake)</t>
      </text>
    </comment>
    <comment authorId="0" ref="AW61">
      <text>
        <t xml:space="preserve">======
ID#AAAAwCqRW_0
Steven    (2023-05-23 18:26:46)
Spontaneously emits an average of 5 sounds each hour</t>
      </text>
    </comment>
    <comment authorId="0" ref="S62">
      <text>
        <t xml:space="preserve">======
ID#AAAAwCqRW2w
Steven    (2023-05-23 18:26:46)
Visually attends to reinforcing objects 5 times</t>
      </text>
    </comment>
    <comment authorId="0" ref="AW28">
      <text>
        <t xml:space="preserve">======
ID#AAAAwCqRWd8
Steven    (2023-05-23 18:26:45)
Spontaneously emits 5 whole word approximations</t>
      </text>
    </comment>
    <comment authorId="0" ref="S29">
      <text>
        <t xml:space="preserve">======
ID#AAAAwCN6t4I
Steven    (2023-05-23 18:26:45)
Pushes and/or pulls objects 5 times</t>
      </text>
    </comment>
    <comment authorId="0" ref="AK45">
      <text>
        <t xml:space="preserve">======
ID#AAAAwCqRXuk
Steven    (2023-05-23 18:26:46)
Imitates 2 fine motor actions (e.g., wiggles fingers, opens and closes fist)</t>
      </text>
    </comment>
    <comment authorId="0" ref="Y62">
      <text>
        <t xml:space="preserve">======
ID#AAAAwCqRWkc
Steven    (2023-05-23 18:26:46)
Looks at a toy when it is picked up by an adult</t>
      </text>
    </comment>
    <comment authorId="0" ref="Y29">
      <text>
        <t xml:space="preserve">======
ID#AAAAwCqRWzo
Steven    (2023-05-23 18:26:46)
Enjoys being pulled or pushed in a wagon, on a tricycle, or other toy vehicle</t>
      </text>
    </comment>
    <comment authorId="0" ref="S54">
      <text>
        <t xml:space="preserve">======
ID#AAAAwCqRXFk
Steven    (2023-05-23 18:26:46)
Uses index finger to poke things or for other uses 5 times</t>
      </text>
    </comment>
    <comment authorId="0" ref="M46">
      <text>
        <t xml:space="preserve">======
ID#AAAAwCqRXq4
Steven    (2023-05-23 18:26:46)
Responds to no, hot, stop, or other commands in the appropriate context</t>
      </text>
    </comment>
    <comment authorId="0" ref="AE62">
      <text>
        <t xml:space="preserve">======
ID#AAAAwCqRW0Q
Steven    (2023-05-23 18:26:46)
Orients towards or makes eye contact with familiar people 5 times</t>
      </text>
    </comment>
    <comment authorId="0" ref="AE29">
      <text>
        <t xml:space="preserve">======
ID#AAAAwCqRWvM
Steven    (2023-05-23 18:26:46)
Sits next to other children in group activities 2 times when prompted by an adult</t>
      </text>
    </comment>
    <comment authorId="0" ref="B63">
      <text>
        <t xml:space="preserve">======
ID#AAAAwCqRXQU
Steven    (2023-05-23 18:26:46)
Pulls an adult to get access to a reinforcing item 2 times</t>
      </text>
    </comment>
    <comment authorId="0" ref="Y54">
      <text>
        <t xml:space="preserve">======
ID#AAAAwCqRXjs
Steven    (2023-05-23 18:26:46)
Opens cupboard doors, toy boxes, or reaches in a toy container</t>
      </text>
    </comment>
    <comment authorId="0" ref="B30">
      <text>
        <t xml:space="preserve">======
ID#AAAAwCqRXyw
Steven    (2023-05-23 18:26:46)
Mands for others to attend to the same stimulus that he is attending to 5 times per day</t>
      </text>
    </comment>
    <comment authorId="0" ref="AK62">
      <text>
        <t xml:space="preserve">======
ID#AAAAwCqRW5c
Steven    (2023-05-23 18:26:46)
Imitates 1 motor movement of another person on demand (i.e., will imitate when asked)</t>
      </text>
    </comment>
    <comment authorId="0" ref="AK29">
      <text>
        <t xml:space="preserve">======
ID#AAAAwCqRXQA
Steven    (2023-05-23 18:26:46)
Imitates 2 head movements (e.g., nods yes and no)</t>
      </text>
    </comment>
    <comment authorId="0" ref="AE54">
      <text>
        <t xml:space="preserve">======
ID#AAAAwCqRW38
Steven    (2023-05-23 18:26:46)
Participates and smiles in reciprocal social play 2 times (e.g., patty cake, peek-a-boo)</t>
      </text>
    </comment>
    <comment authorId="0" ref="G30">
      <text>
        <t xml:space="preserve">======
ID#AAAAwCqRW2k
Steven    (2023-05-23 18:26:46)
Looks at family photos and, with verbal prompts, tacts 2 family members</t>
      </text>
    </comment>
    <comment authorId="0" ref="B55">
      <text>
        <t xml:space="preserve">======
ID#AAAAwCqRXxw
Steven    (2023-05-23 18:26:46)
Emits 2 different mands without echoic prompts - can be with verbal or object prompts</t>
      </text>
    </comment>
    <comment authorId="0" ref="Y46">
      <text>
        <t xml:space="preserve">======
ID#AAAAwCqRXJI
Steven    (2023-05-23 18:26:46)
Brings a toy or object of interest to an adult</t>
      </text>
    </comment>
    <comment authorId="0" ref="M30">
      <text>
        <t xml:space="preserve">======
ID#AAAAwCqRXVk
Steven    (2023-05-23 18:26:46)
Selects the correct item from an array of 3 when named, for 10 different items (e.g., dog, hat, book)</t>
      </text>
    </comment>
    <comment authorId="0" ref="AK54">
      <text>
        <t xml:space="preserve">======
ID#AAAAwCqRXQs
Steven    (2023-05-23 18:26:46)
Imitates 2 actions with an object (e.g., pounding with a toy hammer, rolling a ball)</t>
      </text>
    </comment>
    <comment authorId="0" ref="S63">
      <text>
        <t xml:space="preserve">======
ID#AAAAwCqRW3o
Steven    (2023-05-23 18:26:46)
Visually attends to faces and people 5 times</t>
      </text>
    </comment>
    <comment authorId="0" ref="S30">
      <text>
        <t xml:space="preserve">======
ID#AAAAwCqRXa4
Steven    (2023-05-23 18:26:46)
Dumps things our of containers, or pulls items out of cupboards 5 times</t>
      </text>
    </comment>
    <comment authorId="0" ref="Y63">
      <text>
        <t xml:space="preserve">======
ID#AAAAwCqRXAA
Steven    (2023-05-23 18:26:46)
Transfers items from one hand to another</t>
      </text>
    </comment>
    <comment authorId="0" ref="Y30">
      <text>
        <t xml:space="preserve">======
ID#AAAAwCqRXUU
Steven    (2023-05-23 18:26:46)
Spontaneously dances when music is played</t>
      </text>
    </comment>
    <comment authorId="0" ref="S55">
      <text>
        <t xml:space="preserve">======
ID#AAAAwCqRXL4
Steven    (2023-05-23 18:26:46)
Reaches for and successfully grabs objects 5 times</t>
      </text>
    </comment>
    <comment authorId="0" ref="M47">
      <text>
        <t xml:space="preserve">======
ID#AAAAwCqRXgQ
Steven    (2023-05-23 18:26:46)
Interrupts a play activity when his name is called</t>
      </text>
    </comment>
    <comment authorId="0" ref="AE63">
      <text>
        <t xml:space="preserve">======
ID#AAAAwCqRWkk
Steven    (2023-05-23 18:26:46)
Looks at the faces of familiar people at least 3 times</t>
      </text>
    </comment>
    <comment authorId="0" ref="AE30">
      <text>
        <t xml:space="preserve">======
ID#AAAAwCqRXrI
Steven    (2023-05-23 18:26:46)
Imitates a wave "bye-bye" to others when prompted 2 times</t>
      </text>
    </comment>
    <comment authorId="0" ref="B64">
      <text>
        <t xml:space="preserve">======
ID#AAAAwCqRXtU
Steven    (2023-05-23 18:26:46)
Moves close to a reinforcing item to indicate the presence of an MO 2 times</t>
      </text>
    </comment>
    <comment authorId="0" ref="Y55">
      <text>
        <t xml:space="preserve">======
ID#AAAAwCqRWxs
Steven    (2023-05-23 18:26:46)
Drops items to watch them fall, or demonstrates other interests in cause-and-effect</t>
      </text>
    </comment>
    <comment authorId="0" ref="B31">
      <text>
        <t xml:space="preserve">======
ID#AAAAwCqRWtw
Steven    (2023-05-23 18:26:46)
Emits 2 mands without verbal prompts - can be with object prompts</t>
      </text>
    </comment>
    <comment authorId="0" ref="AK63">
      <text>
        <t xml:space="preserve">======
ID#AAAAwCqRWhY
Steven    (2023-05-23 18:26:46)
Imitates mouthing movements 3 times (e.g., puckering lips, opening mouth)</t>
      </text>
    </comment>
    <comment authorId="0" ref="AK30">
      <text>
        <t xml:space="preserve">======
ID#AAAAwCqRW7g
Steven    (2023-05-23 18:26:46)
Imitates 5 actions that produce an outcome (e.g., pushing buttons on a pop-up toy)</t>
      </text>
    </comment>
    <comment authorId="0" ref="AE55">
      <text>
        <t xml:space="preserve">======
ID#AAAAwCqRWsY
Steven    (2023-05-23 18:26:46)
Smiles or laughs during physical play 5 times</t>
      </text>
    </comment>
    <comment authorId="0" ref="B56">
      <text>
        <t xml:space="preserve">======
ID#AAAAwCqRXD4
Steven    (2023-05-23 18:26:46)
Nods or says yes or no when offered a reinforcer 2 times 
(not an early target)</t>
      </text>
    </comment>
    <comment authorId="0" ref="M31">
      <text>
        <t xml:space="preserve">======
ID#AAAAwCqRXJY
Steven    (2023-05-23 18:26:46)
Performs 2 motor actions (e.g., Show me clapping. Can you spin around?)</t>
      </text>
    </comment>
    <comment authorId="0" ref="B15">
      <text>
        <t xml:space="preserve">======
ID#AAAAwCqRWms
Steven    (2023-05-23 18:26:46)
Emits 10 different mands without prompts (except, What do you want?) - the desired items can be present (e.g., apple, swing, car, juice)</t>
      </text>
    </comment>
    <comment authorId="0" ref="G15">
      <text>
        <t xml:space="preserve">======
ID#AAAAwCqRXRc
Steven    (2023-05-23 18:26:46)
Tacts 10 items (e.g., common objects, people, body parts, or pictures)</t>
      </text>
    </comment>
    <comment authorId="0" ref="Y64">
      <text>
        <t xml:space="preserve">======
ID#AAAAwCqRWec
Steven    (2023-05-23 18:26:45)
Reaches for objects of interest (e.g., keys, cup, ball)</t>
      </text>
    </comment>
    <comment authorId="0" ref="Y31">
      <text>
        <t xml:space="preserve">======
ID#AAAAwCqRXPc
Steven    (2023-05-23 18:26:46)
Mands to an adult for assistance with an item (e.g., child holds up something he can't open)</t>
      </text>
    </comment>
    <comment authorId="0" ref="M15">
      <text>
        <t xml:space="preserve">======
ID#AAAAwCN6t4Y
Steven    (2023-05-23 18:26:45)
Selects the correct item from an array on command without a visual prompt (e.g., Show me cat. Touch shoe.)</t>
      </text>
    </comment>
    <comment authorId="0" ref="AE64">
      <text>
        <t xml:space="preserve">======
ID#AAAAwCqRXSk
Steven    (2023-05-23 18:26:46)
Smiles when hearing familiar voices 3 times (e.g., his mom or dad's voice)</t>
      </text>
    </comment>
    <comment authorId="0" ref="AE31">
      <text>
        <t xml:space="preserve">======
ID#AAAAwCqRWtM
Steven    (2023-05-23 18:26:46)
Appropriately stands close to other children in group activities 2 times</t>
      </text>
    </comment>
    <comment authorId="0" ref="B65">
      <text>
        <t xml:space="preserve">======
ID#AAAAwCqRXhs
Steven    (2023-05-23 18:26:46)
Makes eye contact (gaze shift) as a mand for attention or other reinforcers 2 times</t>
      </text>
    </comment>
    <comment authorId="0" ref="Y56">
      <text>
        <t xml:space="preserve">======
ID#AAAAwCqRXCs
Steven    (2023-05-23 18:26:46)
Points to a toy or object of interest</t>
      </text>
    </comment>
    <comment authorId="0" ref="B32">
      <text>
        <t xml:space="preserve">======
ID#AAAAwCqRXhQ
Steven    (2023-05-23 18:26:46)
Emits 2 mands without an object present - can be with What do you want?</t>
      </text>
    </comment>
    <comment authorId="0" ref="S15">
      <text>
        <t xml:space="preserve">======
ID#AAAAwCqRW70
Steven    (2023-05-23 18:26:46)
Matches any 10 identical items (e.g., inset puzzles, toys, objects, or pictures)</t>
      </text>
    </comment>
    <comment authorId="0" ref="AK31">
      <text>
        <t xml:space="preserve">======
ID#AAAAwCqRXEk
Steven    (2023-05-23 18:26:46)
Imitates transferring an object from one hand to another</t>
      </text>
    </comment>
    <comment authorId="0" ref="B57">
      <text>
        <t xml:space="preserve">======
ID#AAAAwCqRXUs
Steven    (2023-05-23 18:26:46)
Points to 2 different reinforcers in order to obtain them 2 times</t>
      </text>
    </comment>
    <comment authorId="0" ref="Y15">
      <text>
        <t xml:space="preserve">======
ID#AAAAwCqRWiU
Steven    (2023-05-23 18:26:46)
Independently engages in cause-and-effect play for 2 minutes (e.g., dumping containers, playing with pop-up toys, pulling toys, etc.)</t>
      </text>
    </comment>
    <comment authorId="0" ref="M32">
      <text>
        <t xml:space="preserve">======
ID#AAAAwCqRXf4
Steven    (2023-05-23 18:26:46)
Touches 2 body parts (e.g., Touch your nose. Where's your ears?)</t>
      </text>
    </comment>
    <comment authorId="0" ref="AE15">
      <text>
        <t xml:space="preserve">======
ID#AAAAwCN6t4s
Steven    (2023-05-23 18:26:45)
Spontaneously follows peers or imitates their motor behavior 2 times (e.g., follows a peer into a playhouse)</t>
      </text>
    </comment>
    <comment authorId="0" ref="B16">
      <text>
        <t xml:space="preserve">======
ID#AAAAwCqRWuI
Steven    (2023-05-23 18:26:46)
Continues to emit a mand 2 times if the reinforcer is not delivered (persistence)</t>
      </text>
    </comment>
    <comment authorId="0" ref="AK15">
      <text>
        <t xml:space="preserve">======
ID#AAAAwCqRXAI
Steven    (2023-05-23 18:26:46)
Imitates 20 motor movements of any type (e.g., fine motor, gross motor, imitation with objects)</t>
      </text>
    </comment>
    <comment authorId="0" ref="G16">
      <text>
        <t xml:space="preserve">======
ID#AAAAwCqRXmI
Steven    (2023-05-23 18:26:46)
Generalizes tacts across 3 examples of an item for 5 items (e.g., tacts 3 different spoons)</t>
      </text>
    </comment>
    <comment authorId="0" ref="Y65">
      <text>
        <t xml:space="preserve">======
ID#AAAAwCqRXxU
Steven    (2023-05-23 18:26:46)
Has a favorite comfort item that he might sleep with or carry (e.g., a blanket, stuffed animal)</t>
      </text>
    </comment>
    <comment authorId="0" ref="Y32">
      <text>
        <t xml:space="preserve">======
ID#AAAAwCqRXak
Steven    (2023-05-23 18:26:46)
Learns to work a toy correctly after an adult demonstrates its use (e.g., push buttons on a pop-up toy)</t>
      </text>
    </comment>
    <comment authorId="0" ref="B41">
      <text>
        <t xml:space="preserve">======
ID#AAAAwCqRXPI
Steven    (2023-05-23 18:26:46)
Generalizes 6 mands across 2 people, 2 settings, and 2 different examples of a reinforcer (e.g., mands bubbles from mom and dad, inside and outside, a red bottle and a blue bottle)</t>
      </text>
    </comment>
    <comment authorId="0" ref="AQ15">
      <text>
        <t xml:space="preserve">======
ID#AAAAwCqRWgY
Steven    (2023-05-23 18:26:45)
Scores at least 25 on the EESA subtest (at least 20 from group 1)</t>
      </text>
    </comment>
    <comment authorId="0" ref="M16">
      <text>
        <t xml:space="preserve">======
ID#AAAAwCqRXMc
Steven    (2023-05-23 18:26:46)
Generalizes known listener tasks across 3 different people, 3 settings, and 3 times of day</t>
      </text>
    </comment>
    <comment authorId="0" ref="G41">
      <text>
        <t xml:space="preserve">======
ID#AAAAwCqRXVE
Steven    (2023-05-23 18:26:46)
Tacts 6 non-reinforcing items (e.g., shoe, hat, spoon, car, cup, bed)</t>
      </text>
    </comment>
    <comment authorId="0" ref="AE32">
      <text>
        <t xml:space="preserve">======
ID#AAAAwCqRXQQ
Steven    (2023-05-23 18:26:46)
Approaches other children 2 times with an adult prompt</t>
      </text>
    </comment>
    <comment authorId="0" ref="B33">
      <text>
        <t xml:space="preserve">======
ID#AAAAwCqRW0k
Steven    (2023-05-23 18:26:46)
Mands for attention 2 times with some identifiable type of response (e.g., a tap on the arm)</t>
      </text>
    </comment>
    <comment authorId="0" ref="AW15">
      <text>
        <t xml:space="preserve">======
ID#AAAAwCqRWfU
Steven    (2023-05-23 18:26:45)
Spontaneously vocalizes 15 whole words or phrases with appropriate  intonation and rhythm</t>
      </text>
    </comment>
    <comment authorId="0" ref="S16">
      <text>
        <t xml:space="preserve">======
ID#AAAAwCN6t5E
Steven    (2023-05-23 18:26:45)
Puts two similar items together 2 times (e.g., picks up a matching toy)</t>
      </text>
    </comment>
    <comment authorId="0" ref="M41">
      <text>
        <t xml:space="preserve">======
ID#AAAAwCqRW3k
Steven    (2023-05-23 18:26:46)
Looks at, touches, or points to the correct family member, pet, or other reinforcer when presented in an array of 2, for 5 different reinforcers (e.g., Where's Elmo? Where's mommy?)</t>
      </text>
    </comment>
    <comment authorId="0" ref="AK32">
      <text>
        <t xml:space="preserve">======
ID#AAAAwCqRWnQ
Steven    (2023-05-23 18:26:46)
Imitates pointing at people or objects</t>
      </text>
    </comment>
    <comment authorId="0" ref="Y16">
      <text>
        <t xml:space="preserve">======
ID#AAAAwCqRXV4
Steven    (2023-05-23 18:26:46)
Connects things or puts them together (e.g., a car on a track, Duplos)</t>
      </text>
    </comment>
    <comment authorId="0" ref="S41">
      <text>
        <t xml:space="preserve">======
ID#AAAAwCqRXgk
Steven    (2023-05-23 18:26:46)
Visually attends to a toy or book for 30 seconds (not a self-stim item)</t>
      </text>
    </comment>
    <comment authorId="0" ref="M33">
      <text>
        <t xml:space="preserve">======
ID#AAAAwCqRW8E
Steven    (2023-05-23 18:26:46)
Maintains eye contact to a speaker for 2 seconds</t>
      </text>
    </comment>
    <comment authorId="0" ref="AE16">
      <text>
        <t xml:space="preserve">======
ID#AAAAwCqRXbw
Steven    (2023-05-23 18:26:46)
Laughs or smiles when others engage in silly, fun, or entertaining behavior 2 times</t>
      </text>
    </comment>
    <comment authorId="0" ref="Y41">
      <text>
        <t xml:space="preserve">======
ID#AAAAwCqRXiE
Steven    (2023-05-23 18:26:46)
Demonstrates generalization by engaging in exploratory movement and playing with the toys in a novel environment (e.g., in a new playroom)</t>
      </text>
    </comment>
    <comment authorId="0" ref="B17">
      <text>
        <t xml:space="preserve">======
ID#AAAAwCN6t4k
Steven    (2023-05-23 18:26:45)
Acquires a new mand in less than 20 training trials</t>
      </text>
    </comment>
    <comment authorId="0" ref="AK16">
      <text>
        <t xml:space="preserve">======
ID#AAAAwCqRWxY
Steven    (2023-05-23 18:26:46)
Demonstrates generalization of 10 imitative responses to 3 new people</t>
      </text>
    </comment>
    <comment authorId="0" ref="G17">
      <text>
        <t xml:space="preserve">======
ID#AAAAwCqRXH4
Steven    (2023-05-23 18:26:46)
Maintains a newly acquired tact after 24 hours without training</t>
      </text>
    </comment>
    <comment authorId="0" ref="AE41">
      <text>
        <t xml:space="preserve">======
ID#AAAAwCqRWiA
Steven    (2023-05-23 18:26:46)
Spontaneously looks (glances) at other children 5 times</t>
      </text>
    </comment>
    <comment authorId="0" ref="B42">
      <text>
        <t xml:space="preserve">======
ID#AAAAwCqRXcg
Steven    (2023-05-23 18:26:46)
Emits 6 different mands without echoic or imitative prompts - can be with verbal or object prompts</t>
      </text>
    </comment>
    <comment authorId="0" ref="Y33">
      <text>
        <t xml:space="preserve">======
ID#AAAAwCqRXRo
Steven    (2023-05-23 18:26:46)
Enters a playhouse or similar play structure without adult verbal prompting</t>
      </text>
    </comment>
    <comment authorId="0" ref="AK41">
      <text>
        <t xml:space="preserve">======
ID#AAAAwCqRXBI
Steven    (2023-05-23 18:26:46)
Imitates 8 gross motor movements, 2 of which involve objects (e.g., shaking a maraca, tapping sticks together)</t>
      </text>
    </comment>
    <comment authorId="0" ref="M17">
      <text>
        <t xml:space="preserve">======
ID#AAAAwCqRWtA
Steven    (2023-05-23 18:26:46)
Spontaneously emits (no direct prompts to respond) a listener response (LD) 2 times</t>
      </text>
    </comment>
    <comment authorId="0" ref="G42">
      <text>
        <t xml:space="preserve">======
ID#AAAAwCqRW6A
Steven    (2023-05-23 18:26:46)
Generalizes tacts across 2 examples of an item for 2 items (e.g., tacts 2 different phones)</t>
      </text>
    </comment>
  </commentList>
  <extLst>
    <ext uri="GoogleSheetsCustomDataVersion2">
      <go:sheetsCustomData xmlns:go="http://customooxmlschemas.google.com/" r:id="rId1" roundtripDataSignature="AMtx7mjOxGIAFo+7UjwUJYJNP7FfB7wIZA=="/>
    </ext>
  </extLst>
</comments>
</file>

<file path=xl/comments6.xml><?xml version="1.0" encoding="utf-8"?>
<comments xmlns:r="http://schemas.openxmlformats.org/officeDocument/2006/relationships" xmlns="http://schemas.openxmlformats.org/spreadsheetml/2006/main" xmlns:xr="http://schemas.microsoft.com/office/spreadsheetml/2014/revision">
  <authors>
    <author/>
  </authors>
  <commentList>
    <comment authorId="0" ref="B34">
      <text>
        <t xml:space="preserve">======
ID#AAAAwCqRXCI
Steven    (2023-05-23 18:26:46)
Spontaneously emits 50 mands per day (can be with objects present, but without verbal prompts)</t>
      </text>
    </comment>
    <comment authorId="0" ref="AY16">
      <text>
        <t xml:space="preserve">======
ID#AAAAwCqRXyo
Steven    (2023-05-23 18:26:46)
Will sit on the toilet without negative behavior when prompted, but may not eliminate</t>
      </text>
    </comment>
    <comment authorId="0" ref="U17">
      <text>
        <t xml:space="preserve">======
ID#AAAAwCqRXQI
Steven    (2023-05-23 18:26:46)
Improvises when parts are missing
(e.g., still plays with a car that is missing a wheel)</t>
      </text>
    </comment>
    <comment authorId="0" ref="AO33">
      <text>
        <t xml:space="preserve">======
ID#AAAAwCqRXgw
Steven    (2023-05-23 18:26:46)
Selects an item from an array of 8, for 10 different what questions
(e.g., What do you eat?)</t>
      </text>
    </comment>
    <comment authorId="0" ref="BD16">
      <text>
        <t xml:space="preserve">======
ID#AAAAwCqRXb8
Steven    (2023-05-23 18:26:46)
Emits a mean length of utterance (MLU) of 2 1/2 morphemes 
(e.g., Push car. Where mommy go?)</t>
      </text>
    </comment>
    <comment authorId="0" ref="Z17">
      <text>
        <t xml:space="preserve">======
ID#AAAAwCN6t44
Steven    (2023-05-23 18:26:45)
Mands for attention from peers 2 times
(e.g., Hey Johnny!)</t>
      </text>
    </comment>
    <comment authorId="0" ref="AT33">
      <text>
        <t xml:space="preserve">======
ID#AAAAwCqRXuI
Steven    (2023-05-23 18:26:46)
Spontaneously emits (no additional prompts) 2 intraverbal responses</t>
      </text>
    </comment>
    <comment authorId="0" ref="P67">
      <text>
        <t xml:space="preserve">======
ID#AAAAwCqRW10
Steven    (2023-05-23 18:26:46)
Turns 2 pages in a book</t>
      </text>
    </comment>
    <comment authorId="0" ref="AE17">
      <text>
        <t xml:space="preserve">======
ID#AAAAwCqRXeE
Steven    (2023-05-23 18:26:46)
Demonstrates delayed imitation of adult behavior in pretend play
(e.g., driving a car, typing)</t>
      </text>
    </comment>
    <comment authorId="0" ref="B18">
      <text>
        <t xml:space="preserve">======
ID#AAAAwCqRXOs
Steven    (2023-05-23 18:26:46)
Mands for information 3 times using who questions</t>
      </text>
    </comment>
    <comment authorId="0" ref="F18">
      <text>
        <t xml:space="preserve">======
ID#AAAAwCqRXqU
Steven    (2023-05-23 18:26:46)
Tacts 20 items in a 1 minute fluency test</t>
      </text>
    </comment>
    <comment authorId="0" ref="BD33">
      <text>
        <t xml:space="preserve">======
ID#AAAAwCqRW84
Steven    (2023-05-23 18:26:46)
Consistently emits the initial consonants of words</t>
      </text>
    </comment>
    <comment authorId="0" ref="Z34">
      <text>
        <t xml:space="preserve">======
ID#AAAAwCqRXHw
Steven    (2023-05-23 18:26:46)
Spontaneously copies a peer's assembly of toys or other items 1 time 
(e.g., Duplo)</t>
      </text>
    </comment>
    <comment authorId="0" ref="AO17">
      <text>
        <t xml:space="preserve">======
ID#AAAAwCN6t5I
Steven    (2023-05-23 18:26:45)
Generalizes to 25 novel 2-component LRFFC tasks without training
(e.g., find the red fruit.)</t>
      </text>
    </comment>
    <comment authorId="0" ref="K18">
      <text>
        <t xml:space="preserve">======
ID#AAAAwCqRXv4
Steven    (2023-05-23 18:26:46)
Discriminates between 2 shapes from an array of 4 shapes</t>
      </text>
    </comment>
    <comment authorId="0" ref="AT17">
      <text>
        <t xml:space="preserve">======
ID#AAAAwCqRW_o
Steven    (2023-05-23 18:26:46)
Answers 10 different function questions
(e.g., What do you do with a toothbrush?)</t>
      </text>
    </comment>
    <comment authorId="0" ref="P18">
      <text>
        <t xml:space="preserve">======
ID#AAAAwCqRWzQ
Steven    (2023-05-23 18:26:46)
Matches a picture of an action to a non-identical picture of the same action for 10 actions 
(e.g., matches a picture of a girl swimming to a picture of a boy swimming in a different pool)</t>
      </text>
    </comment>
    <comment authorId="0" ref="AY17">
      <text>
        <t xml:space="preserve">======
ID#AAAAwCqRXgc
Steven    (2023-05-23 18:26:46)
Imitates peers doing a song or activity in a group setting 2 times in a 5 minute session</t>
      </text>
    </comment>
    <comment authorId="0" ref="U18">
      <text>
        <t xml:space="preserve">======
ID#AAAAwCqRXLE
Steven    (2023-05-23 18:26:46)
Mands to peers to not disturb his structure or toy assembly</t>
      </text>
    </comment>
    <comment authorId="0" ref="BD17">
      <text>
        <t xml:space="preserve">======
ID#AAAAwCqRXig
Steven    (2023-05-23 18:26:46)
Emits a total listener vocabulary size of 400 words</t>
      </text>
    </comment>
    <comment authorId="0" ref="AO34">
      <text>
        <t xml:space="preserve">======
ID#AAAAwCqRXYk
Steven    (2023-05-23 18:26:46)
Selects an item from an array of 8, for 10 fill-in feature statements 
(e.g., You find wheels on a…)</t>
      </text>
    </comment>
    <comment authorId="0" ref="Z18">
      <text>
        <t xml:space="preserve">======
ID#AAAAwCqRXu0
Steven    (2023-05-23 18:26:46)
Spontaneously mands for others to attend to his behavior 2 times
(e.g., Watch me.)</t>
      </text>
    </comment>
    <comment authorId="0" ref="P68">
      <text>
        <t xml:space="preserve">======
ID#AAAAwCqRXyk
Steven    (2023-05-23 18:26:46)
Nests identical objects in a stack 2 times
(e.g., bowls, cups, plates)</t>
      </text>
    </comment>
    <comment authorId="0" ref="AT34">
      <text>
        <t xml:space="preserve">======
ID#AAAAwCqRW-Q
Steven    (2023-05-23 18:26:46)
Completes 10 different verb-noun fill-in-the-blank phrases 
(e.g., You ride the… You play in…)</t>
      </text>
    </comment>
    <comment authorId="0" ref="AE18">
      <text>
        <t xml:space="preserve">======
ID#AAAAwCqRXXA
Steven    (2023-05-23 18:26:46)
Imitates 5 functional activities of daily living skills
(e.g., setting the table, sweeping the floor)</t>
      </text>
    </comment>
    <comment authorId="0" ref="B52">
      <text>
        <t xml:space="preserve">======
ID#AAAAwCqRWrU
Steven    (2023-05-23 18:26:46)
Mands for others to emit 5 different actions or missing actions needed to enjoy a desired activity 
(e.g., open to get outside, push when on a swing)</t>
      </text>
    </comment>
    <comment authorId="0" ref="B19">
      <text>
        <t xml:space="preserve">======
ID#AAAAwCqRXz0
Steven    (2023-05-23 18:26:46)
Mands with an adjective 5 times - can use verbal and nonverbal prompts</t>
      </text>
    </comment>
    <comment authorId="0" ref="F52">
      <text>
        <t xml:space="preserve">======
ID#AAAAwCqRWn0
Steven    (2023-05-23 18:26:46)
Generalizes tacts across 3 examples of 50 items, or from a list of known generalizations (e.g., tacts 3 different cars)</t>
      </text>
    </comment>
    <comment authorId="0" ref="F19">
      <text>
        <t xml:space="preserve">======
ID#AAAAwCqRXRM
Steven    (2023-05-23 18:26:46)
Tacts 2 gustatory stimuli (e.g., tacts orange by tasting it)</t>
      </text>
    </comment>
    <comment authorId="0" ref="K52">
      <text>
        <t xml:space="preserve">======
ID#AAAAwCqRWz4
Steven    (2023-05-23 18:26:46)
Generalizes listener discriminations (LDs) in a messy array of 8, for 3 different examples of 50 items (e.g., the child can find 3 examples of a train)</t>
      </text>
    </comment>
    <comment authorId="0" ref="AO18">
      <text>
        <t xml:space="preserve">======
ID#AAAAwCqRWso
Steven    (2023-05-23 18:26:46)
Selects 50 items from a book or natural environment given any type of LRFFC task</t>
      </text>
    </comment>
    <comment authorId="0" ref="K19">
      <text>
        <t xml:space="preserve">======
ID#AAAAwCqRXOc
Steven    (2023-05-23 18:26:46)
Discriminates between 2 colors from an array of 4 different colored objects</t>
      </text>
    </comment>
    <comment authorId="0" ref="P52">
      <text>
        <t xml:space="preserve">======
ID#AAAAwCqRXpo
Steven    (2023-05-23 18:26:46)
Sorts similar colors and shapes for 10 different colors or shapes given models 
(e.g., given red, blue, and green bowls and a pile of red, blue, and green bears the child sorts the items by color)</t>
      </text>
    </comment>
    <comment authorId="0" ref="AT18">
      <text>
        <t xml:space="preserve">======
ID#AAAAwCqRXWM
Steven    (2023-05-23 18:26:46)
Answers both color and name questions about 10 visible items 
(e.g., What is it? What color is it?)</t>
      </text>
    </comment>
    <comment authorId="0" ref="P19">
      <text>
        <t xml:space="preserve">======
ID#AAAAwCqRXd0
Steven    (2023-05-23 18:26:46)
Matches a pictures of a body part to his own body part for 5 body parts</t>
      </text>
    </comment>
    <comment authorId="0" ref="AY18">
      <text>
        <t xml:space="preserve">======
ID#AAAAwCqRXik
Steven    (2023-05-23 18:26:46)
Verbally responds in a group setting 2 times during a 5 minute session</t>
      </text>
    </comment>
    <comment authorId="0" ref="U52">
      <text>
        <t xml:space="preserve">======
ID#AAAAwCqRXXY
Steven    (2023-05-23 18:26:46)
Independently demonstrates the use of toys or objects according to their function for 5 items 
(e.g., placing a train on a track, pulling a wagon, holding a telephone to the ear)</t>
      </text>
    </comment>
    <comment authorId="0" ref="U19">
      <text>
        <t xml:space="preserve">======
ID#AAAAwCqRXSA
Steven    (2023-05-23 18:26:46)
Demonstrates interest in a peer's completed project 
(e.g., a sand castle, Lego structure)</t>
      </text>
    </comment>
    <comment authorId="0" ref="Z52">
      <text>
        <t xml:space="preserve">======
ID#AAAAwCqRWxQ
Steven    (2023-05-23 18:26:46)
Spontaneously mands to peers 5 times 
(e.g., My turn. Push me. Look! Come on.)</t>
      </text>
    </comment>
    <comment authorId="0" ref="BD18">
      <text>
        <t xml:space="preserve">======
ID#AAAAwCqRWvY
Steven    (2023-05-23 18:26:46)
Strangers can understand at least 50% of the words emitted by the child</t>
      </text>
    </comment>
    <comment authorId="0" ref="AO35">
      <text>
        <t xml:space="preserve">======
ID#AAAAwCqRWmQ
Steven    (2023-05-23 18:26:46)
Selects an item from an array of 8, for 10 fill-in class statements
(e.g., A kind of animal is a…)</t>
      </text>
    </comment>
    <comment authorId="0" ref="Z19">
      <text>
        <t xml:space="preserve">======
ID#AAAAwCqRXn4
Steven    (2023-05-23 18:26:46)
Spontaneously mands for others to attend to what he is attending to
(e.g., Look at this!)</t>
      </text>
    </comment>
    <comment authorId="0" ref="AE52">
      <text>
        <t xml:space="preserve">======
ID#AAAAwCqRWtY
Steven    (2023-05-23 18:26:46)
Imitates 20 different fine motor actions when prompted, Do this
(e.g., wiggling fingers, pinching, making a fist, making a butterfly)</t>
      </text>
    </comment>
    <comment authorId="0" ref="AE19">
      <text>
        <t xml:space="preserve">======
ID#AAAAwCqRXqM
Steven    (2023-05-23 18:26:46)
Imitates 5 sequences of multi-step functional self-care skills
(e.g., brushing teeth, washing face, putting on shoes)</t>
      </text>
    </comment>
    <comment authorId="0" ref="B53">
      <text>
        <t xml:space="preserve">======
ID#AAAAwCqRW9E
Steven    (2023-05-23 18:26:46)
Demonstrates a high frequency of manding 
(15 in a 5 minute period)</t>
      </text>
    </comment>
    <comment authorId="0" ref="B20">
      <text>
        <t xml:space="preserve">======
ID#AAAAwCqRWzc
Steven    (2023-05-23 18:26:46)
Demonstrates response generalization for 2 different mands 
(e.g., Get me. Chase me. Run.)</t>
      </text>
    </comment>
    <comment authorId="0" ref="AJ52">
      <text>
        <t xml:space="preserve">======
ID#AAAAwCqRXIM
Steven    (2023-05-23 18:26:46)
Scores at least 60 on the EESA subtest</t>
      </text>
    </comment>
    <comment authorId="0" ref="F53">
      <text>
        <t xml:space="preserve">======
ID#AAAAwCqRXw8
Steven    (2023-05-23 18:26:46)
Tacts 40 items when asked What's that? 
(e.g., tree, bowl, sock, crayon, apple)</t>
      </text>
    </comment>
    <comment authorId="0" ref="F20">
      <text>
        <t xml:space="preserve">======
ID#AAAAwCqRXBw
Steven    (2023-05-23 18:26:46)
Tacts 10 actions 
(e.g., climbing, playing, coloring, swimming, washing)</t>
      </text>
    </comment>
    <comment authorId="0" ref="AO52">
      <text>
        <t xml:space="preserve">======
ID#AAAAwCqRXfM
Steven    (2023-05-23 18:26:46)
Selects 5 different foods or drinks when each are presented in an array of 5 (along with 4 non-food or non-drink items) and asked the verbal fill-ins, You eat… and You drink…)</t>
      </text>
    </comment>
    <comment authorId="0" ref="K53">
      <text>
        <t xml:space="preserve">======
ID#AAAAwCqRXAM
Steven    (2023-05-23 18:26:46)
Spontaneously demonstrates (no prompts to respond) 5 listener skills in the natural environment 
(e.g., when someone in the room mentions the ricking horse, the child spontaneously goes to the horse)</t>
      </text>
    </comment>
    <comment authorId="0" ref="AO19">
      <text>
        <t xml:space="preserve">======
ID#AAAAwCqRW4A
Steven    (2023-05-23 18:26:46)
Selects 3 members of a class from an array of 10, for 10 different classes
(e.g., Find some clothing.)</t>
      </text>
    </comment>
    <comment authorId="0" ref="K20">
      <text>
        <t xml:space="preserve">======
ID#AAAAwCqRWv4
Steven    (2023-05-23 18:26:46)
Performs two consecutive actions for 10 different sets of actions (verb-verb)</t>
      </text>
    </comment>
    <comment authorId="0" ref="AT52">
      <text>
        <t xml:space="preserve">======
ID#AAAAwCqRW40
Steven    (2023-05-23 18:26:46)
Provides first name when asked, What is your name?</t>
      </text>
    </comment>
    <comment authorId="0" ref="P53">
      <text>
        <t xml:space="preserve">======
ID#AAAAwCqRXpc
Steven    (2023-05-23 18:26:46)
Completes identical matches in an array of 8, for 10 matches in less than 20 seconds (fluency)</t>
      </text>
    </comment>
    <comment authorId="0" ref="AT19">
      <text>
        <t xml:space="preserve">======
ID#AAAAwCqRXLA
Steven    (2023-05-23 18:26:46)
Answers 10 different class questions 
(e.g., What animals do you like? What toys do you like?)</t>
      </text>
    </comment>
    <comment authorId="0" ref="P20">
      <text>
        <t xml:space="preserve">======
ID#AAAAwCqRXTI
Steven    (2023-05-23 18:26:46)
Assembles, collects, or groups 5 different toys, characters, or items that go together 
(e.g., a tea set)</t>
      </text>
    </comment>
    <comment authorId="0" ref="AY52">
      <text>
        <t xml:space="preserve">======
ID#AAAAwCqRXIw
Steven    (2023-05-23 18:26:46)
Puts away personal items, lines up, and comes to a table with only 1 verbal prompt</t>
      </text>
    </comment>
    <comment authorId="0" ref="AY19">
      <text>
        <t xml:space="preserve">======
ID#AAAAwCqRXww
Steven    (2023-05-23 18:26:46)
Gets out and opens most snack/lunch items independently</t>
      </text>
    </comment>
    <comment authorId="0" ref="U53">
      <text>
        <t xml:space="preserve">======
ID#AAAAwCqRXbE
Steven    (2023-05-23 18:26:46)
Spontaneously imitates an adult's use of objects
(e.g., brushing hair)</t>
      </text>
    </comment>
    <comment authorId="0" ref="U20">
      <text>
        <t xml:space="preserve">======
ID#AAAAwCqRXP0
Steven    (2023-05-23 18:26:46)
Allows others to play in close proximity</t>
      </text>
    </comment>
    <comment authorId="0" ref="BD52">
      <text>
        <t xml:space="preserve">======
ID#AAAAwCqRXxY
Steven    (2023-05-23 18:26:46)
Has a total listener vocabulary of 100 words
(e.g., Touch nose. Jump. Find keys.)</t>
      </text>
    </comment>
    <comment authorId="0" ref="BD19">
      <text>
        <t xml:space="preserve">======
ID#AAAAwCqRW5w
Steven    (2023-05-23 18:26:46)
Echoes most words or approximations to words on command (generalized echoic repertoire) but still has articulation errors</t>
      </text>
    </comment>
    <comment authorId="0" ref="Z53">
      <text>
        <t xml:space="preserve">======
ID#AAAAwCqRWsA
Steven    (2023-05-23 18:26:46)
Spontaneously offers a reinforcer to a peer 1 time</t>
      </text>
    </comment>
    <comment authorId="0" ref="Z20">
      <text>
        <t xml:space="preserve">======
ID#AAAAwCqRXIs
Steven    (2023-05-23 18:26:46)
Spontaneously mands to peers to follow directions 2 times 
(e.g., Put the bike here.)</t>
      </text>
    </comment>
    <comment authorId="0" ref="AE53">
      <text>
        <t xml:space="preserve">======
ID#AAAAwCqRXkY
Steven    (2023-05-23 18:26:46)
Imitates 5 examples of finger play 
(e.g., pretend walking on two fingers, finger dancing)</t>
      </text>
    </comment>
    <comment authorId="0" ref="AE20">
      <text>
        <t xml:space="preserve">======
ID#AAAAwCqRWrs
Steven    (2023-05-23 18:26:46)
Imitates building items or the construction of a toy set
(e.g., Legos, a train set, Lincoln Logs)</t>
      </text>
    </comment>
    <comment authorId="0" ref="B54">
      <text>
        <t xml:space="preserve">======
ID#AAAAwCqRXdM
Steven    (2023-05-23 18:26:46)
Mands for help or assistance 2 times</t>
      </text>
    </comment>
    <comment authorId="0" ref="B21">
      <text>
        <t xml:space="preserve">======
ID#AAAAwCqRXVg
Steven    (2023-05-23 18:26:46)
Emits 2 new mands without training 
(e.g., says I want hot cocoa without training)</t>
      </text>
    </comment>
    <comment authorId="0" ref="F54">
      <text>
        <t xml:space="preserve">======
ID#AAAAwCqRW9Q
Steven    (2023-05-23 18:26:46)
Tacts 2 different actions when asked What he doing? 
(e.g., drinking, swimming)</t>
      </text>
    </comment>
    <comment authorId="0" ref="AO53">
      <text>
        <t xml:space="preserve">======
ID#AAAAwCqRWnI
Steven    (2023-05-23 18:26:46)
Generalizes 10 known LRFFC responses to different tones of voice, volumes, prosody, etc.</t>
      </text>
    </comment>
    <comment authorId="0" ref="K54">
      <text>
        <t xml:space="preserve">======
ID#AAAAwCqRXeg
Steven    (2023-05-23 18:26:46)
Selects 5 items in the natural environment on command 
(e.g., get the spoon, while at the table)</t>
      </text>
    </comment>
    <comment authorId="0" ref="AO20">
      <text>
        <t xml:space="preserve">======
ID#AAAAwCqRWyA
Steven    (2023-05-23 18:26:46)
Selects an item from an array of 10, for 10 different LRFFC where questions
(e.g., Where's the milk?)</t>
      </text>
    </comment>
    <comment authorId="0" ref="AT53">
      <text>
        <t xml:space="preserve">======
ID#AAAAwCqRXQM
Steven    (2023-05-23 18:26:46)
Generalizes 10 known intraverbal responses to a different adult and setting</t>
      </text>
    </comment>
    <comment authorId="0" ref="AT20">
      <text>
        <t xml:space="preserve">======
ID#AAAAwCqRW4w
Steven    (2023-05-23 18:26:46)
Demonstrates 2 untrained intraverbal responses 
(e.g., responds flower when someone says daisy)</t>
      </text>
    </comment>
    <comment authorId="0" ref="P54">
      <text>
        <t xml:space="preserve">======
ID#AAAAwCqRWlA
Steven    (2023-05-23 18:26:46)
Spontaneously matches 2 items together in play or other situations
(e.g., picks up a Hulk figurine and selects a matching Hulk from a bin of figurines)</t>
      </text>
    </comment>
    <comment authorId="0" ref="AY53">
      <text>
        <t xml:space="preserve">======
ID#AAAAwCqRWzg
Steven    (2023-05-23 18:26:46)
Does not engage in negative behavior toward a peer when seated next to him</t>
      </text>
    </comment>
    <comment authorId="0" ref="U54">
      <text>
        <t xml:space="preserve">======
ID#AAAAwCqRXfQ
Steven    (2023-05-23 18:26:46)
Sorts or separates preferred toy items from others in a bin
(e.g., pulls out the Thomas trains)</t>
      </text>
    </comment>
    <comment authorId="0" ref="AY20">
      <text>
        <t xml:space="preserve">======
ID#AAAAwCqRWxw
Steven    (2023-05-23 18:26:46)
Puts away backpack, lunch box, or coat upon entering the classroom with group prompts</t>
      </text>
    </comment>
    <comment authorId="0" ref="U21">
      <text>
        <t xml:space="preserve">======
ID#AAAAwCqRXBY
Steven    (2023-05-23 18:26:46)
Plays with toy sets as designed
(e.g., birthday set, tea set)</t>
      </text>
    </comment>
    <comment authorId="0" ref="BD53">
      <text>
        <t xml:space="preserve">======
ID#AAAAwCqRXcU
Steven    (2023-05-23 18:26:46)
Has a total speaker vocabulary size of 50 words (all verbal operants except echoic)</t>
      </text>
    </comment>
    <comment authorId="0" ref="Z54">
      <text>
        <t xml:space="preserve">======
ID#AAAAwCqRXLw
Steven    (2023-05-23 18:26:46)
Spontaneously joins other children in a play activity 2 times 
(e.g., a playhouse)</t>
      </text>
    </comment>
    <comment authorId="0" ref="AE54">
      <text>
        <t xml:space="preserve">======
ID#AAAAwCqRXTY
Steven    (2023-05-23 18:26:46)
Imitates a new behavior correctly on the first trial</t>
      </text>
    </comment>
    <comment authorId="0" ref="B55">
      <text>
        <t xml:space="preserve">======
ID#AAAAwCqRWuQ
Steven    (2023-05-23 18:26:46)
Mands contain varied intonation appropriate to both positive and negative MOs 5 times</t>
      </text>
    </comment>
    <comment authorId="0" ref="F55">
      <text>
        <t xml:space="preserve">======
ID#AAAAwCqRXc4
Steven    (2023-05-23 18:26:46)
Spontaneously emits a tact containing two words for 5 different tacts 
(e.g., baby's crying)</t>
      </text>
    </comment>
    <comment authorId="0" ref="AO54">
      <text>
        <t xml:space="preserve">======
ID#AAAAwCqRWy8
Steven    (2023-05-23 18:26:46)
Selects an item from an array of 5, for 5 different song fill-ins corresponding with the items
(e.g., The wheels on the…)</t>
      </text>
    </comment>
    <comment authorId="0" ref="K55">
      <text>
        <t xml:space="preserve">======
ID#AAAAwCqRWlM
Steven    (2023-05-23 18:26:46)
Points to a named item in a book for 5 items 
(e.g., Where's the fire truck?)</t>
      </text>
    </comment>
    <comment authorId="0" ref="AO21">
      <text>
        <t xml:space="preserve">======
ID#AAAAwCqRWe4
Steven    (2023-05-23 18:26:45)
Demonstrates LRFFC verbal generalizations with 3 verbal variations for the same item for 25 items
(e.g., What do you ride in? What has wheels? What does your Daddy drive?)</t>
      </text>
    </comment>
    <comment authorId="0" ref="AT54">
      <text>
        <t xml:space="preserve">======
ID#AAAAwCqRXRE
Steven    (2023-05-23 18:26:46)
Completes 5 different out of context fill-in-the-blank phrases 
(e.g., You wash your…)</t>
      </text>
    </comment>
    <comment authorId="0" ref="AT21">
      <text>
        <t xml:space="preserve">======
ID#AAAAwCqRXgA
Steven    (2023-05-23 18:26:46)
Answers 5 different who questions
(e.g., Who is your teacher?)</t>
      </text>
    </comment>
    <comment authorId="0" ref="P55">
      <text>
        <t xml:space="preserve">======
ID#AAAAwCqRWlo
Steven    (2023-05-23 18:26:46)
Matches identical pictures (2D) to objects (3D) and vice versa, in a messy array of 8, for 10 pairs
(e.g., matches a picture of Thomas the Train to a toy Thomas the Train)</t>
      </text>
    </comment>
    <comment authorId="0" ref="AY54">
      <text>
        <t xml:space="preserve">======
ID#AAAAwCqRXo4
Steven    (2023-05-23 18:26:46)
Cooperates with hand washing with physical assistance</t>
      </text>
    </comment>
    <comment authorId="0" ref="AY21">
      <text>
        <t xml:space="preserve">======
ID#AAAAwCqRWyk
Steven    (2023-05-23 18:26:46)
Gets lunch with only verbal prompts</t>
      </text>
    </comment>
    <comment authorId="0" ref="U55">
      <text>
        <t xml:space="preserve">======
ID#AAAAwCqRWjU
Steven    (2023-05-23 18:26:46)
Independently plays for 2 minutes without adult interaction</t>
      </text>
    </comment>
    <comment authorId="0" ref="BD54">
      <text>
        <t xml:space="preserve">======
ID#AAAAwCqRXks
Steven    (2023-05-23 18:26:46)
Emits 2-3 words carrier phrases without "understanding" each word
(e.g., It's a cat. Go for a ride?)</t>
      </text>
    </comment>
    <comment authorId="0" ref="Z55">
      <text>
        <t xml:space="preserve">======
ID#AAAAwCN6juI
Steven    (2023-05-23 18:26:45)
Echoes a peer's sounds or words with adult prompts 2 times 
(e.g., What did he say?)</t>
      </text>
    </comment>
    <comment authorId="0" ref="AE55">
      <text>
        <t xml:space="preserve">======
ID#AAAAwCqRWg8
Steven    (2023-05-23 18:26:46)
Maintains a newly acquired imitative behavior after 24 hours without training</t>
      </text>
    </comment>
    <comment authorId="0" ref="B56">
      <text>
        <t xml:space="preserve">======
ID#AAAAwCqRXsE
Steven    (2023-05-23 18:26:46)
Demonstrates response generalization for two different mands 
(e.g., calls a filled cup both cup and drink; calls a dog both dog and Maggie)</t>
      </text>
    </comment>
    <comment authorId="0" ref="F56">
      <text>
        <t xml:space="preserve">======
ID#AAAAwCqRXOI
Steven    (2023-05-23 18:26:46)
Tacts 2 auditory stimuli (e.g., phone ringing, siren, dog barking)</t>
      </text>
    </comment>
    <comment authorId="0" ref="AO55">
      <text>
        <t xml:space="preserve">======
ID#AAAAwCqRXko
Steven    (2023-05-23 18:26:46)
Selects an item from an array of 5, for 5 different fill-in statements
(e.g., You sleep in a…)</t>
      </text>
    </comment>
    <comment authorId="0" ref="AO22">
      <text>
        <t xml:space="preserve">======
ID#AAAAwCqRXIg
Steven    (2023-05-23 18:26:46)
Demonstrates LRFFC array generalizations with 3 examples (e.g., When asked, Which one is an animal? the child selects a cow, then on the next trial selects a horse, etc.), for 25 items</t>
      </text>
    </comment>
    <comment authorId="0" ref="K56">
      <text>
        <t xml:space="preserve">======
ID#AAAAwCqRXD0
Steven    (2023-05-23 18:26:46)
Goes to 3 specified people on command (e.g., Go to Debbie)</t>
      </text>
    </comment>
    <comment authorId="0" ref="AT55">
      <text>
        <t xml:space="preserve">======
ID#AAAAwCqRXuQ
Steven    (2023-05-23 18:26:46)
Correctly responds to 5 in-context fill-ins when they are reversed
(e.g., In your bed you go to…)</t>
      </text>
    </comment>
    <comment authorId="0" ref="AT22">
      <text>
        <t xml:space="preserve">======
ID#AAAAwCqRXso
Steven    (2023-05-23 18:26:46)
Answers 5 different where questions
(e.g., Where are your videos?)</t>
      </text>
    </comment>
    <comment authorId="0" ref="P56">
      <text>
        <t xml:space="preserve">======
ID#AAAAwCqRXNg
Steven    (2023-05-23 18:26:46)
Matches identical pictures that have different backgrounds in a messy array of 8, for 25 pictures</t>
      </text>
    </comment>
    <comment authorId="0" ref="AY55">
      <text>
        <t xml:space="preserve">======
ID#AAAAwCqRWxI
Steven    (2023-05-23 18:26:46)
Goes to and sits at a table with other children with only verbal prompts</t>
      </text>
    </comment>
    <comment authorId="0" ref="U56">
      <text>
        <t xml:space="preserve">======
ID#AAAAwCqRXlo
Steven    (2023-05-23 18:26:46)
Waits while an activity is being set up</t>
      </text>
    </comment>
    <comment authorId="0" ref="AY22">
      <text>
        <t xml:space="preserve">======
ID#AAAAwCqRW7A
Steven    (2023-05-23 18:26:46)
Takes tray or dishes to the sink and puts items in the garbage, with only verbal prompts</t>
      </text>
    </comment>
    <comment authorId="0" ref="BD55">
      <text>
        <t xml:space="preserve">======
ID#AAAAwCqRXdA
Steven    (2023-05-23 18:26:46)
Uses recognizable words more frequently than jargon</t>
      </text>
    </comment>
    <comment authorId="0" ref="Z56">
      <text>
        <t xml:space="preserve">======
ID#AAAAwCqRWtQ
Steven    (2023-05-23 18:26:46)
Mands to peers with adult prompts 5 times
(e.g., Ask Katie for a cookie.)</t>
      </text>
    </comment>
    <comment authorId="0" ref="AE56">
      <text>
        <t xml:space="preserve">======
ID#AAAAwCqRXAo
Steven    (2023-05-23 18:26:46)
Imitates 5 facial expressions
(e.g., kissing, opening mouth, shutting eyes, scrunching nose)</t>
      </text>
    </comment>
    <comment authorId="0" ref="B57">
      <text>
        <t xml:space="preserve">======
ID#AAAAwCqRXAc
Steven    (2023-05-23 18:26:46)
Emits 2 mands to remove undesirable items or activities</t>
      </text>
    </comment>
    <comment authorId="0" ref="F57">
      <text>
        <t xml:space="preserve">======
ID#AAAAwCqRXBQ
Steven    (2023-05-23 18:26:46)
Tacts 3 body parts 
(e.g., nose, eyes, mouth)</t>
      </text>
    </comment>
    <comment authorId="0" ref="AT56">
      <text>
        <t xml:space="preserve">======
ID#AAAAwCqRXwQ
Steven    (2023-05-23 18:26:46)
Completes 5 different in-context fill-ins
(e.g., You sleep in your… while at his bed)</t>
      </text>
    </comment>
    <comment authorId="0" ref="P57">
      <text>
        <t xml:space="preserve">======
ID#AAAAwCqRXq8
Steven    (2023-05-23 18:26:46)
Matches identical objects or pictures in a messy array of 8, for 25 objects</t>
      </text>
    </comment>
    <comment authorId="0" ref="B41">
      <text>
        <t xml:space="preserve">======
ID#AAAAwCqRWjc
Steven    (2023-05-23 18:26:46)
Emits 10 different mands that contain 2 or more words (not including I want) 
(e.g., Go fast. My turn. Pour juice.)</t>
      </text>
    </comment>
    <comment authorId="0" ref="AY56">
      <text>
        <t xml:space="preserve">======
ID#AAAAwCqRW94
Steven    (2023-05-23 18:26:46)
Puts away personal items 
(e.g., coat, backpack, lunch box) with gestural and verbal prompts</t>
      </text>
    </comment>
    <comment authorId="0" ref="U57">
      <text>
        <t xml:space="preserve">======
ID#AAAAwCqRWwk
Steven    (2023-05-23 18:26:46)
Scribbles on a Magna Doodle, white board, or paper</t>
      </text>
    </comment>
    <comment authorId="0" ref="F41">
      <text>
        <t xml:space="preserve">======
ID#AAAAwCqRW6s
Steven    (2023-05-23 18:26:46)
Tacts 10 actions when asked, for example, What am I doing? 
(e.g., jumping, sleeping, eating)</t>
      </text>
    </comment>
    <comment authorId="0" ref="K41">
      <text>
        <t xml:space="preserve">======
ID#AAAAwCqRWls
Steven    (2023-05-23 18:26:46)
Performs 10 specific motor actions on command 
(e.g., Show me clapping. Can you hop?)</t>
      </text>
    </comment>
    <comment authorId="0" ref="AE57">
      <text>
        <t xml:space="preserve">======
ID#AAAAwCqRXGs
Steven    (2023-05-23 18:26:46)
Spontaneously imitates a behavior observed on a TV or video
(e.g., dancing, hopping)</t>
      </text>
    </comment>
    <comment authorId="0" ref="P41">
      <text>
        <t xml:space="preserve">======
ID#AAAAwCqRW-4
Steven    (2023-05-23 18:26:46)
Matched identical objects or pictures in a messy array of 8 containing 3 similar stimuli, for 25 items 
(e.g., matches a dog to a dog in an array that also contains a cat, pig, and a pony)</t>
      </text>
    </comment>
    <comment authorId="0" ref="B58">
      <text>
        <t xml:space="preserve">======
ID#AAAAwCqRXnI
Steven    (2023-05-23 18:26:46)
Mands for other individuals to emit 2 different actions with verbal prompts 
(e.g., go, spin)</t>
      </text>
    </comment>
    <comment authorId="0" ref="U41">
      <text>
        <t xml:space="preserve">======
ID#AAAAwCqRXSU
Steven    (2023-05-23 18:26:46)
Plays with everyday items in creative ways 2 times 
(e.g., uses a bowl as a drum or a box as an imaginary car)</t>
      </text>
    </comment>
    <comment authorId="0" ref="Z41">
      <text>
        <t xml:space="preserve">======
ID#AAAAwCqRXEY
Steven    (2023-05-23 18:26:46)
Engages in sustained social play with peers for 3 minutes without adult prompts or reinforcement
(e.g., cooperatively setting up a play set, water play)</t>
      </text>
    </comment>
    <comment authorId="0" ref="P58">
      <text>
        <t xml:space="preserve">======
ID#AAAAwCqRXa8
Steven    (2023-05-23 18:26:46)
Completes 5 different puzzles containing 6 or more pieces without prompts</t>
      </text>
    </comment>
    <comment authorId="0" ref="AE41">
      <text>
        <t xml:space="preserve">======
ID#AAAAwCqRWm8
Steven    (2023-05-23 18:26:46)
Imitates 10 different three-component sequences of actions when prompted, Do this
(e.g., clapping, jumping, touching toes; pick up doll, place her in a crib, and rock the crib)</t>
      </text>
    </comment>
    <comment authorId="0" ref="B42">
      <text>
        <t xml:space="preserve">======
ID#AAAAwCN6t5M
Steven    (2023-05-23 18:26:45)
Mands for information 2 times using where questions 
(e.g., Where's Elmo?)</t>
      </text>
    </comment>
    <comment authorId="0" ref="AY57">
      <text>
        <t xml:space="preserve">======
ID#AAAAwCN6t54
Steven    (2023-05-23 18:26:45)
Does not attempt to move away from a peer when seated next to him</t>
      </text>
    </comment>
    <comment authorId="0" ref="AJ41">
      <text>
        <t xml:space="preserve">======
ID#AAAAwCqRXy0
Steven    (2023-05-23 18:26:46)
Scores at least 70 on the EESA subtest</t>
      </text>
    </comment>
    <comment authorId="0" ref="F42">
      <text>
        <t xml:space="preserve">======
ID#AAAAwCqRW6c
Steven    (2023-05-23 18:26:46)
Glances at a listener while tacting on 5 occasions</t>
      </text>
    </comment>
    <comment authorId="0" ref="AO41">
      <text>
        <t xml:space="preserve">======
ID#AAAAwCqRXBk
Steven    (2023-05-23 18:26:46)
Selects the correct item from an array of 8, for 25 different LRFFC fill-in statements of any type
(e.g., You sit on a…)</t>
      </text>
    </comment>
    <comment authorId="0" ref="K42">
      <text>
        <t xml:space="preserve">======
ID#AAAAwCqRW6o
Steven    (2023-05-23 18:26:46)
Selects 2 items from an array of 8 for 5 sets of items (noun-noun) 
(e.g., Where's the baby and the bottle?)</t>
      </text>
    </comment>
    <comment authorId="0" ref="AE58">
      <text>
        <t xml:space="preserve">======
ID#AAAAwCqRXXM
Steven    (2023-05-23 18:26:46)
Imitates 5 two-step behaviors 
(e.g., touch head and touch shoulders)</t>
      </text>
    </comment>
    <comment authorId="0" ref="AT41">
      <text>
        <t xml:space="preserve">======
ID#AAAAwCqRW0w
Steven    (2023-05-23 18:26:46)
Completes 25 different fill-in-the-blank phrases (not including songs)
(e.g., You eat… You sleep in a… Shoes and…)</t>
      </text>
    </comment>
    <comment authorId="0" ref="P42">
      <text>
        <t xml:space="preserve">======
ID#AAAAwCqRW3Y
Steven    (2023-05-23 18:26:46)
Successfully assembles 5 parts of 5 connecting toys 
(e.g., Duplos, trains, Mr. Potato Head)</t>
      </text>
    </comment>
    <comment authorId="0" ref="B59">
      <text>
        <t xml:space="preserve">======
ID#AAAAwCqRXCo
Steven    (2023-05-23 18:26:46)
Mands 5 times with 2 words in a phrase or sentence 
(e.g., Drink juice.)</t>
      </text>
    </comment>
    <comment authorId="0" ref="AY41">
      <text>
        <t xml:space="preserve">======
ID#AAAAwCqRXnk
Steven    (2023-05-23 18:26:46)
Transitions between classroom activities with no more than 1 gestural or verbal prompt</t>
      </text>
    </comment>
    <comment authorId="0" ref="U42">
      <text>
        <t xml:space="preserve">======
ID#AAAAwCqRXlU
Steven    (2023-05-23 18:26:46)
Plays with 2 toy sets as designed 
(e.g., hammer and tool bench set, kitchen set)</t>
      </text>
    </comment>
    <comment authorId="0" ref="BD41">
      <text>
        <t xml:space="preserve">======
ID#AAAAwCqRXBs
Steven    (2023-05-23 18:26:46)
Emits 10 different 2-word utterances per day of any type except echoic
(e.g., mand, tact)</t>
      </text>
    </comment>
    <comment authorId="0" ref="Z42">
      <text>
        <t xml:space="preserve">======
ID#AAAAwCqRW18
Steven    (2023-05-23 18:26:46)
Spontaneously echoes a peer's words 2 times</t>
      </text>
    </comment>
    <comment authorId="0" ref="AE42">
      <text>
        <t xml:space="preserve">======
ID#AAAAwCqRWhc
Steven    (2023-05-23 18:26:46)
Repeats a fun behavior previously observed (delayed imitation)
(e.g., squirting water)</t>
      </text>
    </comment>
    <comment authorId="0" ref="B43">
      <text>
        <t xml:space="preserve">======
ID#AAAAwCqRXHc
Steven    (2023-05-23 18:26:46)
Mands with yes and no 4 times 
(e.g., Do you want a ride? Yes.)</t>
      </text>
    </comment>
    <comment authorId="0" ref="F43">
      <text>
        <t xml:space="preserve">======
ID#AAAAwCqRXHI
Steven    (2023-05-23 18:26:46)
Tacts two or more items from 10 different pages in a book when asked, What do you see here?</t>
      </text>
    </comment>
    <comment authorId="0" ref="AO42">
      <text>
        <t xml:space="preserve">======
ID#AAAAwCR5j2A
Steven    (2023-05-23 18:26:45)
Demonstrates 10 known LRFFC responses in the natural environment
(e.g., Get something to draw with.)</t>
      </text>
    </comment>
    <comment authorId="0" ref="K43">
      <text>
        <t xml:space="preserve">======
ID#AAAAwCqRW2I
Steven    (2023-05-23 18:26:46)
Selects an items when given the sound that the item makes for 5 items (e.g., barking: dog, siren: fire truck)</t>
      </text>
    </comment>
    <comment authorId="0" ref="AT42">
      <text>
        <t xml:space="preserve">======
ID#AAAAwCqRXjQ
Steven    (2023-05-23 18:26:46)
Generalizes 10 intraverbal responses to new carrier phrases 
(e.g., We bounce a… Let's bounce a…)</t>
      </text>
    </comment>
    <comment authorId="0" ref="AE59">
      <text>
        <t xml:space="preserve">======
ID#AAAAwCR5j1s
Steven    (2023-05-23 18:26:45)
Imitates 3 play behaviors in the natural environment
(e.g., pushing a car down a ramp)</t>
      </text>
    </comment>
    <comment authorId="0" ref="P43">
      <text>
        <t xml:space="preserve">======
ID#AAAAwCqRW1g
Steven    (2023-05-23 18:26:46)
Selects 3 non-identical, but associated, objects from a bin for 3 play activities
(e.g., grabs several farm animal from a bin containing other toys)</t>
      </text>
    </comment>
    <comment authorId="0" ref="AY42">
      <text>
        <t xml:space="preserve">======
ID#AAAAwCqRXK4
Steven    (2023-05-23 18:26:46)
Sits in a circle group for 2 minutes without disruptive behavior or prompts to remain seated</t>
      </text>
    </comment>
    <comment authorId="0" ref="U43">
      <text>
        <t xml:space="preserve">======
ID#AAAAwCqRWmI
Steven    (2023-05-23 18:26:46)
Strings large beads, laces, or similar fine motor leisure activities for 1 minute</t>
      </text>
    </comment>
    <comment authorId="0" ref="BD42">
      <text>
        <t xml:space="preserve">======
ID#AAAAwCqRW2E
Steven    (2023-05-23 18:26:46)
Echoes 10 different rhythms, intonations, or pitches</t>
      </text>
    </comment>
    <comment authorId="0" ref="Z43">
      <text>
        <t xml:space="preserve">======
ID#AAAAwCqRXFo
Steven    (2023-05-23 18:26:46)
Responds to the mands of peer's with adult prompts 2 times 
(e.g., Give him the car.)</t>
      </text>
    </comment>
    <comment authorId="0" ref="AE43">
      <text>
        <t xml:space="preserve">======
ID#AAAAwCqRW1k
Steven    (2023-05-23 18:26:46)
Imitates other children during daily activities on 2 occasions 
(e.g., lining up, pulling a wagon)</t>
      </text>
    </comment>
    <comment authorId="0" ref="B44">
      <text>
        <t xml:space="preserve">======
ID#AAAAwCqRWw8
Steven    (2023-05-23 18:26:46)
Mands occur with 3 different carrier phrases 
(e.g., I want… It's my… Can I… That's my…)</t>
      </text>
    </comment>
    <comment authorId="0" ref="F44">
      <text>
        <t xml:space="preserve">======
ID#AAAAwCqRXs8
Steven    (2023-05-23 18:26:46)
Tacts noun-verb or verb-noun combinations 
(e.g., dog eating, rolling ball)</t>
      </text>
    </comment>
    <comment authorId="0" ref="AO43">
      <text>
        <t xml:space="preserve">======
ID#AAAAwCqRXFc
Steven    (2023-05-23 18:26:46)
Generalizes 10 known LRFFC responses to 2 new people</t>
      </text>
    </comment>
    <comment authorId="0" ref="K44">
      <text>
        <t xml:space="preserve">======
ID#AAAAwCqRXaU
Steven    (2023-05-23 18:26:46)
Selects the correct item from an array of 8 containing 2 similar stimuli (e.g., same color), for 20 items</t>
      </text>
    </comment>
    <comment authorId="0" ref="AT43">
      <text>
        <t xml:space="preserve">======
ID#AAAAwCqRXbQ
Steven    (2023-05-23 18:26:46)
Completes 5 song fill-ins with 2 or more words 
(e.g., Old McDonald…had a farm)</t>
      </text>
    </comment>
    <comment authorId="0" ref="P44">
      <text>
        <t xml:space="preserve">======
ID#AAAAwCqRXas
Steven    (2023-05-23 18:26:46)
Matches identical objects or pictures to corresponding items in the natural environment for 25 items</t>
      </text>
    </comment>
    <comment authorId="0" ref="B61">
      <text>
        <t xml:space="preserve">======
ID#AAAAwCqRXBc
Steven    (2023-05-23 18:26:46)
Mands for 20 different missing items without prompts (except e.g., What do you need?) 
(e.g., mands for paper when given a crayon)</t>
      </text>
    </comment>
    <comment authorId="0" ref="B28">
      <text>
        <t xml:space="preserve">======
ID#AAAAwCqRXEU
Steven    (2023-05-23 18:26:46)
Spontaneously emits 15 different mands (e.g., Let's play. Open. I want book.)</t>
      </text>
    </comment>
    <comment authorId="0" ref="AY43">
      <text>
        <t xml:space="preserve">======
ID#AAAAwCR5j2E
Steven    (2023-05-23 18:26:45)
Waits while seated at a table, without touching materials, until allowed to do so</t>
      </text>
    </comment>
    <comment authorId="0" ref="F61">
      <text>
        <t xml:space="preserve">======
ID#AAAAwCqRW50
Steven    (2023-05-23 18:26:46)
Tacts 25 items when asked, What's that? 
(e.g., book, shoe, car, dog, hat)</t>
      </text>
    </comment>
    <comment authorId="0" ref="U44">
      <text>
        <t xml:space="preserve">======
ID#AAAAwCqRW5g
Steven    (2023-05-23 18:26:46)
Observes, then imitates other children on play structures
(e.g., going down a slide)</t>
      </text>
    </comment>
    <comment authorId="0" ref="F28">
      <text>
        <t xml:space="preserve">======
ID#AAAAwCqRXhA
Steven    (2023-05-23 18:26:46)
Tacts 50 two-component verb-noun, or noun-verb combinations, tested or from a list of known two-component tacts 
(e.g., washing face, Joe swinging, baby sleeping)</t>
      </text>
    </comment>
    <comment authorId="0" ref="BD43">
      <text>
        <t xml:space="preserve">======
ID#AAAAwCqRXcs
Steven    (2023-05-23 18:26:46)
Adjusts volume of voice on command
(e.g., whispers and uses loud voice)</t>
      </text>
    </comment>
    <comment authorId="0" ref="Z44">
      <text>
        <t xml:space="preserve">======
ID#AAAAwCqRXm0
Steven    (2023-05-23 18:26:46)
Spontaneously imitates a peer's actions with objects 2 times 
(e.g., blowing a pinwheel)</t>
      </text>
    </comment>
    <comment authorId="0" ref="K61">
      <text>
        <t xml:space="preserve">======
ID#AAAAwCqRXbs
Steven    (2023-05-23 18:26:46)
Selects the correct item from a messy array of 6, for 40 different objects or pictures 
(e.g., Find cat. Touch ball)</t>
      </text>
    </comment>
    <comment authorId="0" ref="K28">
      <text>
        <t xml:space="preserve">======
ID#AAAAwCqRWpM
Steven    (2023-05-23 18:26:46)
Follows 25 two-component noun-verb and/or verb-noun instructions 
(e.g., Show me the baby sleeping. Push the swing.)</t>
      </text>
    </comment>
    <comment authorId="0" ref="AE44">
      <text>
        <t xml:space="preserve">======
ID#AAAAwCqRXls
Steven    (2023-05-23 18:26:46)
Acquires 5 new listener skills through transfer of control from imitation to listener
(e.g., the child learns to cast a toy fishing pole by first being shown how, then told how)</t>
      </text>
    </comment>
    <comment authorId="0" ref="P61">
      <text>
        <t xml:space="preserve">======
ID#AAAAwCqRXkw
Steven    (2023-05-23 18:26:46)
Matches identical objects or pictures in a messy array of 6, for 25 items</t>
      </text>
    </comment>
    <comment authorId="0" ref="P28">
      <text>
        <t xml:space="preserve">======
ID#AAAAwCqRXOo
Steven    (2023-05-23 18:26:46)
Matches non-identical objects or non-identical pictures in a messy array of 10, for 25 items 
(e.g., matches a Ford truck to a Toyota truck)</t>
      </text>
    </comment>
    <comment authorId="0" ref="B45">
      <text>
        <t xml:space="preserve">======
ID#AAAAwCqRXKQ
Steven    (2023-05-23 18:26:46)
Mands with a pronoun 2 times 
(e.g., My train. That's yours.)</t>
      </text>
    </comment>
    <comment authorId="0" ref="U61">
      <text>
        <t xml:space="preserve">======
ID#AAAAwCR5j1w
Steven    (2023-05-23 18:26:45)
Searches for a missing or corresponding toy or part of a set for 5 items or sets
(e.g., a puzzle piece, a ball for a drop-in toy, a bottle for a baby doll)</t>
      </text>
    </comment>
    <comment authorId="0" ref="F45">
      <text>
        <t xml:space="preserve">======
ID#AAAAwCqRW6g
Steven    (2023-05-23 18:26:46)
Tacts 2 tactile stimuli 
(e.g., says ball when feeling a ball in a bag)</t>
      </text>
    </comment>
    <comment authorId="0" ref="U28">
      <text>
        <t xml:space="preserve">======
ID#AAAAwCqRWp4
Steven    (2023-05-23 18:26:46)
Independently engages in play on structures and playground equipment for a total of 5 minutes
(e.g., going down a slide, swinging)</t>
      </text>
    </comment>
    <comment authorId="0" ref="Z61">
      <text>
        <t xml:space="preserve">======
ID#AAAAwCqRXJw
Steven    (2023-05-23 18:26:46)
Initiates a physical interaction with a peer 2 times
(e.g., a push in a wagon, hand holding, Ring Around the Rosy)</t>
      </text>
    </comment>
    <comment authorId="0" ref="AO44">
      <text>
        <t xml:space="preserve">======
ID#AAAAwCqRW_Q
Steven    (2023-05-23 18:26:46)
Correctly response to 5 previously acquired LRFFCs when the phrase is reversed
(e.g., shoes and… vs. socks and…)</t>
      </text>
    </comment>
    <comment authorId="0" ref="Z28">
      <text>
        <t xml:space="preserve">======
ID#AAAAwCqRXPU
Steven    (2023-05-23 18:26:46)
Spontaneously responds to the mands from peers 5 times
(e.g., Pull me in the wagon. I want the train.)</t>
      </text>
    </comment>
    <comment authorId="0" ref="K45">
      <text>
        <t xml:space="preserve">======
ID#AAAAwCqRW9M
Steven    (2023-05-23 18:26:46)
Goes to 3 specified locations on command 
(e.g., Go to the kitchen. Show me your bedroom)</t>
      </text>
    </comment>
    <comment authorId="0" ref="AT44">
      <text>
        <t xml:space="preserve">======
ID#AAAAwCqRXjI
Steven    (2023-05-23 18:26:46)
Completes 5 different noun-noun association fill-in-the-blank phrases
(e.g., mommy and…)</t>
      </text>
    </comment>
    <comment authorId="0" ref="AE61">
      <text>
        <t xml:space="preserve">======
ID#AAAAwCqRWks
Steven    (2023-05-23 18:26:46)
Imitates 10 actions that require selecting a specific object from an array
(e.g., selects a drumstick from an array also containing a horn and a bell, and imitates an adult's drumming)</t>
      </text>
    </comment>
    <comment authorId="0" ref="AE28">
      <text>
        <t xml:space="preserve">======
ID#AAAAwCqRXSg
Steven    (2023-05-23 18:26:46)
Spontaneously imitates 5 functional skills in the natural environment
(e.g., eating with a spoon, putting on a coat, removing shoes)</t>
      </text>
    </comment>
    <comment authorId="0" ref="P45">
      <text>
        <t xml:space="preserve">======
ID#AAAAwCqRWnk
Steven    (2023-05-23 18:26:46)
Matches identical objects or pictures to corresponding items in a book for 25 items</t>
      </text>
    </comment>
    <comment authorId="0" ref="B62">
      <text>
        <t xml:space="preserve">======
ID#AAAAwCqRWf4
Steven    (2023-05-23 18:26:45)
Maintains a newly acquired mands for a missing item after 24 hours of no contact with the item</t>
      </text>
    </comment>
    <comment authorId="0" ref="B29">
      <text>
        <t xml:space="preserve">======
ID#AAAAwCqRXs4
Steven    (2023-05-23 18:26:46)
Mands contain 3-word phrases 10 times 
(e.g., That's my horse.)</t>
      </text>
    </comment>
    <comment authorId="0" ref="AY44">
      <text>
        <t xml:space="preserve">======
ID#AAAAwCqRW6Y
Steven    (2023-05-23 18:26:46)
Goes to and sits at a table or work station with only verbal prompts</t>
      </text>
    </comment>
    <comment authorId="0" ref="AJ61">
      <text>
        <t xml:space="preserve">======
ID#AAAAwCqRWp0
Steven    (2023-05-23 18:26:46)
Scores at least 50 on the EESA subtest (at least 20 from Group 2)</t>
      </text>
    </comment>
    <comment authorId="0" ref="F62">
      <text>
        <t xml:space="preserve">======
ID#AAAAwCqRXsc
Steven    (2023-05-23 18:26:46)
Tacts 5 items in a 15 second period (fluency)</t>
      </text>
    </comment>
    <comment authorId="0" ref="AJ28">
      <text>
        <t xml:space="preserve">======
ID#AAAAwCqRWrc
Steven    (2023-05-23 18:26:46)
Scores at least 80 on the EESA subtest</t>
      </text>
    </comment>
    <comment authorId="0" ref="U45">
      <text>
        <t xml:space="preserve">======
ID#AAAAwCR5j2M
Steven    (2023-05-23 18:26:45)
Independently plays on a playground for 2 minutes without adult prompts</t>
      </text>
    </comment>
    <comment authorId="0" ref="F29">
      <text>
        <t xml:space="preserve">======
ID#AAAAwCqRXBE
Steven    (2023-05-23 18:26:46)
Shows response generalization for 5 items (i.e. tacts the same stimulus with two different words: teacher and Katie; cat and Garfield; dog and Maggie)</t>
      </text>
    </comment>
    <comment authorId="0" ref="AO61">
      <text>
        <t xml:space="preserve">======
ID#AAAAwCqRW98
Steven    (2023-05-23 18:26:46)
Selects an animal or object from an array of 3, for 5 different sounds made by the corresponding items 
(e.g., Meow says a… Toot, toot goes the…)</t>
      </text>
    </comment>
    <comment authorId="0" ref="BD44">
      <text>
        <t xml:space="preserve">======
ID#AAAAwCqRWww
Steven    (2023-05-23 18:26:46)
Emits 2-word noun-verb or verb-noun mands or tacts
(e.g., Pour juice. Baby crying.)</t>
      </text>
    </comment>
    <comment authorId="0" ref="AO28">
      <text>
        <t xml:space="preserve">======
ID#AAAAwCqRXkA
Steven    (2023-05-23 18:26:46)
Selects the correct item from an array of 10 (or from a book), for 25  different verb-noun LRFFC what, which, or who questions
(e.g., What do you ride? Which one barks? Who can hop?)</t>
      </text>
    </comment>
    <comment authorId="0" ref="Z45">
      <text>
        <t xml:space="preserve">======
ID#AAAAwCqRXNw
Steven    (2023-05-23 18:26:46)
Spontaneously greets others with a wave or vocal response 1 time</t>
      </text>
    </comment>
    <comment authorId="0" ref="K62">
      <text>
        <t xml:space="preserve">======
ID#AAAAwCqRWto
Steven    (2023-05-23 18:26:46)
Generalizes in a listener task across 3 examples of 25 different items</t>
      </text>
    </comment>
    <comment authorId="0" ref="K29">
      <text>
        <t xml:space="preserve">======
ID#AAAAwCqRWwQ
Steven    (2023-05-23 18:26:46)
Selects 2 targeted items from a scene, book, or natural environment for 20 sets of items (noun-noun) 
(e.g., Where's the elephant and giraffe?)</t>
      </text>
    </comment>
    <comment authorId="0" ref="AT61">
      <text>
        <t xml:space="preserve">======
ID#AAAAwCqRWoo
Steven    (2023-05-23 18:26:46)
Completes 10 different fill-in-the-blank phrases of any type
(e.g., song fill-ins, social games and fun fill-ins, animal or object sounds)</t>
      </text>
    </comment>
    <comment authorId="0" ref="P62">
      <text>
        <t xml:space="preserve">======
ID#AAAAwCqRXDQ
Steven    (2023-05-23 18:26:46)
Places 5 items where they belong or in an appropriate context (e.g., puts a cup in the sink)</t>
      </text>
    </comment>
    <comment authorId="0" ref="AT28">
      <text>
        <t xml:space="preserve">======
ID#AAAAwCqRWoA
Steven    (2023-05-23 18:26:46)
Answers 25 different what questions (e.g., What do you brush?)</t>
      </text>
    </comment>
    <comment authorId="0" ref="AE45">
      <text>
        <t xml:space="preserve">======
ID#AAAAwCqRWjs
Steven    (2023-05-23 18:26:46)
Spontaneously imitates 5 fine motor arts and crafts activities 
(e.g., cutting, pasting, drawing)</t>
      </text>
    </comment>
    <comment authorId="0" ref="P29">
      <text>
        <t xml:space="preserve">======
ID#AAAAwCqRXh0
Steven    (2023-05-23 18:26:46)
Demonstrates spontaneous functional matching-to-sample in the natural environment 2 times 
(e.g., finds a matching shoe)</t>
      </text>
    </comment>
    <comment authorId="0" ref="B46">
      <text>
        <t xml:space="preserve">======
ID#AAAAwCqRXDM
Steven    (2023-05-23 18:26:46)
Mands for information 2 times using what questions 
(e.g., What's that?)</t>
      </text>
    </comment>
    <comment authorId="0" ref="AY61">
      <text>
        <t xml:space="preserve">======
ID#AAAAwCN6t4w
Steven    (2023-05-23 18:26:45)
Sits at a group snack or lunch table without negative behavior for 3 minutes</t>
      </text>
    </comment>
    <comment authorId="0" ref="U62">
      <text>
        <t xml:space="preserve">======
ID#AAAAwCqRXO0
Steven    (2023-05-23 18:26:46)
Plays with sets of toys that have multiple parts for 2 minutes 
(e.g., farm animals, form balls)</t>
      </text>
    </comment>
    <comment authorId="0" ref="AY28">
      <text>
        <t xml:space="preserve">======
ID#AAAAwCN6t5c
Steven    (2023-05-23 18:26:45)
Sits in a small group for 5 minutes without disruptive behavior or attempting to leave the group</t>
      </text>
    </comment>
    <comment authorId="0" ref="U29">
      <text>
        <t xml:space="preserve">======
ID#AAAAwCqRWjI
Steven    (2023-05-23 18:26:46)
Spontaneously kicks a ball forward</t>
      </text>
    </comment>
    <comment authorId="0" ref="BD61">
      <text>
        <t xml:space="preserve">======
ID#AAAAwCqRXaA
Steven    (2023-05-23 18:26:46)
The child's articulation of 10 tacts can be understood by familiar adults who cannot see the item tacted</t>
      </text>
    </comment>
    <comment authorId="0" ref="AO45">
      <text>
        <t xml:space="preserve">======
ID#AAAAwCqRXio
Steven    (2023-05-23 18:26:46)
Selects and item from an array of 6 for 10 fill-in function statements
(e.g., You draw with a…)</t>
      </text>
    </comment>
    <comment authorId="0" ref="BD28">
      <text>
        <t xml:space="preserve">======
ID#AAAAwCqRXD8
Steven    (2023-05-23 18:26:46)
Emits functional prosody (i.e., rhythm, stress intonation) on 5 occasions in one day
(e.g., puts emphasis or stress on certain words at appropriate times such as, It's MINE!)</t>
      </text>
    </comment>
    <comment authorId="0" ref="Z62">
      <text>
        <t xml:space="preserve">======
ID#AAAAwCqRWoQ
Steven    (2023-05-23 18:26:46)
Spontaneously imitates 5 different behaviors of peers</t>
      </text>
    </comment>
    <comment authorId="0" ref="Z29">
      <text>
        <t xml:space="preserve">======
ID#AAAAwCqRXqs
Steven    (2023-05-23 18:26:46)
Tacts items for the benefit of peers with adult prompts, 2 times
(e.g., There's your car.)</t>
      </text>
    </comment>
    <comment authorId="0" ref="AE62">
      <text>
        <t xml:space="preserve">======
ID#AAAAwCqRW_U
Steven    (2023-05-23 18:26:46)
Imitates pulling 5 different items apart
(e.g., Duplos, Kid K'Nex, lids on containers)</t>
      </text>
    </comment>
    <comment authorId="0" ref="AT45">
      <text>
        <t xml:space="preserve">======
ID#AAAAwCqRW3s
Steven    (2023-05-23 18:26:46)
Completes 2 eat and 2 drink classification fill-ins
(e.g., You eat… You drink…)</t>
      </text>
    </comment>
    <comment authorId="0" ref="AE29">
      <text>
        <t xml:space="preserve">======
ID#AAAAwCqRXxE
Steven    (2023-05-23 18:26:46)
Imitates the same behavior going fast or slow for 5 behaviors
(e.g., arms up fast then slow)</t>
      </text>
    </comment>
    <comment authorId="0" ref="P46">
      <text>
        <t xml:space="preserve">======
ID#AAAAwCqRXZ0
Steven    (2023-05-23 18:26:46)
Generalizes to 5 new identical matching tasks without formal training</t>
      </text>
    </comment>
    <comment authorId="0" ref="B63">
      <text>
        <t xml:space="preserve">======
ID#AAAAwCqRXuU
Steven    (2023-05-23 18:26:46)
Generalizes 4 mands to 4 different people</t>
      </text>
    </comment>
    <comment authorId="0" ref="B30">
      <text>
        <t xml:space="preserve">======
ID#AAAAwCqRXNc
Steven    (2023-05-23 18:26:46)
Emits 5 mands in 30 seconds 
(e.g., during a game or fun activity such as water play)</t>
      </text>
    </comment>
    <comment authorId="0" ref="AY45">
      <text>
        <t xml:space="preserve">======
ID#AAAAwCqRXwk
Steven    (2023-05-23 18:26:46)
Goes to a circle group and sits with only verbal prompts</t>
      </text>
    </comment>
    <comment authorId="0" ref="F63">
      <text>
        <t xml:space="preserve">======
ID#AAAAwCqRWx4
Steven    (2023-05-23 18:26:46)
Acquires a new tact in less than 20 training trials</t>
      </text>
    </comment>
    <comment authorId="0" ref="F30">
      <text>
        <t xml:space="preserve">======
ID#AAAAwCqRW_E
Steven    (2023-05-23 18:26:46)
Learns 2 new tacts without direct training (e.g., untrained echoic to tact transfer)</t>
      </text>
    </comment>
    <comment authorId="0" ref="BD45">
      <text>
        <t xml:space="preserve">======
ID#AAAAwCqRW-Y
Steven    (2023-05-23 18:26:46)
Emits 2-word mands for recurrence
(e.g., more tickle)</t>
      </text>
    </comment>
    <comment authorId="0" ref="K63">
      <text>
        <t xml:space="preserve">======
ID#AAAAwCqRXX0
Steven    (2023-05-23 18:26:46)
Discriminates among 6 people, pets, or characters by name 
(e.g., Find Oscar)</t>
      </text>
    </comment>
    <comment authorId="0" ref="AO29">
      <text>
        <t xml:space="preserve">======
ID#AAAAwCqRXRw
Steven    (2023-05-23 18:26:46)
Emits 10 known LRFFC responses in an array of 10 in less than 1 minute (fluency)</t>
      </text>
    </comment>
    <comment authorId="0" ref="K30">
      <text>
        <t xml:space="preserve">======
ID#AAAAwCqRWgo
Steven    (2023-05-23 18:26:46)
Demonstrates 3 specified actions to 3 different people (e.g., Hug Grandma. Give Laura a high-five.)</t>
      </text>
    </comment>
    <comment authorId="0" ref="AT62">
      <text>
        <t xml:space="preserve">======
ID#AAAAwCqRXd4
Steven    (2023-05-23 18:26:46)
Completes 2 different verbal fill-ins involving fun activities
(e.g., Peek-a-… Ready, set…)</t>
      </text>
    </comment>
    <comment authorId="0" ref="AT29">
      <text>
        <t xml:space="preserve">======
ID#AAAAwCqRXgU
Steven    (2023-05-23 18:26:46)
Provides 5 novel responses to previously acquired questions (response generalization)
(e.g., when asked to name an animal, the child answers bear the first time without receiving training on bear)</t>
      </text>
    </comment>
    <comment authorId="0" ref="AE46">
      <text>
        <t xml:space="preserve">======
ID#AAAAwCqRXII
Steven    (2023-05-23 18:26:46)
Imitates 5 pretend play activities 
(e.g., a monster, pouring tea, shooting spider webs)</t>
      </text>
    </comment>
    <comment authorId="0" ref="P63">
      <text>
        <t xml:space="preserve">======
ID#AAAAwCqRXCg
Steven    (2023-05-23 18:26:46)
Matches identical objects or pictures that are different sizes in a messy array of 6, for 10 items 
(e.g., matches a big red ball to a little red ball)</t>
      </text>
    </comment>
    <comment authorId="0" ref="P30">
      <text>
        <t xml:space="preserve">======
ID#AAAAwCqRW2o
Steven    (2023-05-23 18:26:46)
Matches non-identical objects or pictures to corresponding items in the natural environment for 25 items</t>
      </text>
    </comment>
    <comment authorId="0" ref="B47">
      <text>
        <t xml:space="preserve">======
ID#AAAAwCqRW3w
Steven    (2023-05-23 18:26:46)
Mands 5 times with 2 words in a phrase or sentence</t>
      </text>
    </comment>
    <comment authorId="0" ref="AY62">
      <text>
        <t xml:space="preserve">======
ID#AAAAwCqRXNQ
Steven    (2023-05-23 18:26:46)
Demonstrates general compliance for all classroom aides</t>
      </text>
    </comment>
    <comment authorId="0" ref="AY29">
      <text>
        <t xml:space="preserve">======
ID#AAAAwCqRXI0
Steven    (2023-05-23 18:26:46)
Sings songs with the group with only verbal prompts 
(e.g., Head, shoulders, knees and toes)</t>
      </text>
    </comment>
    <comment authorId="0" ref="U63">
      <text>
        <t xml:space="preserve">======
ID#AAAAwCqRWr8
Steven    (2023-05-23 18:26:46)
Splashes with water and plays with objects in a swimming or wading pool</t>
      </text>
    </comment>
    <comment authorId="0" ref="U30">
      <text>
        <t xml:space="preserve">======
ID#AAAAwCqRXrc
Steven    (2023-05-23 18:26:46)
Repeatedly plays with specific components of a play structure 
(e.g., goes down a slide several times, goes back and forth on a rope bridge)</t>
      </text>
    </comment>
    <comment authorId="0" ref="Z63">
      <text>
        <t xml:space="preserve">======
ID#AAAAwCqRXPw
Steven    (2023-05-23 18:26:46)
Engages in physical play with peers (e.g., rolling down a hill) with adult prompts 2 times</t>
      </text>
    </comment>
    <comment authorId="0" ref="AO46">
      <text>
        <t xml:space="preserve">======
ID#AAAAwCqRXEo
Steven    (2023-05-23 18:26:46)
Selects an item from an array of 6 for 5 different spoken associated words (e.g., shoes and…)</t>
      </text>
    </comment>
    <comment authorId="0" ref="BD29">
      <text>
        <t xml:space="preserve">======
ID#AAAAwCqRWmA
Steven    (2023-05-23 18:26:46)
Combines 2 words to make a novel word or phrase
(e.g., Miss Betty)</t>
      </text>
    </comment>
    <comment authorId="0" ref="Z30">
      <text>
        <t xml:space="preserve">======
ID#AAAAwCqRWsk
Steven    (2023-05-23 18:26:46)
Spontaneously mands for help from adults 1 time</t>
      </text>
    </comment>
    <comment authorId="0" ref="AE63">
      <text>
        <t xml:space="preserve">======
ID#AAAAwCqRW1A
Steven    (2023-05-23 18:26:46)
Imitates 5 actions with a specific object selected from an array of 2
(e.g., imitates hugging puppy from an array of a doll and a puppy)</t>
      </text>
    </comment>
    <comment authorId="0" ref="AE30">
      <text>
        <t xml:space="preserve">======
ID#AAAAwCqRXlA
Steven    (2023-05-23 18:26:46)
Imitates 10 two-component actions 
(e.g., pretend pouring and drinking)</t>
      </text>
    </comment>
    <comment authorId="0" ref="B64">
      <text>
        <t xml:space="preserve">======
ID#AAAAwCqRXoU
Steven    (2023-05-23 18:26:46)
Mands for 5 different missing items without prompts (except a verbal prompt)</t>
      </text>
    </comment>
    <comment authorId="0" ref="B31">
      <text>
        <t xml:space="preserve">======
ID#AAAAwCN6juE
Steven    (2023-05-23 18:26:45)
Mands with an adjective 5 times 
(e.g., big chip, red car)</t>
      </text>
    </comment>
    <comment authorId="0" ref="F64">
      <text>
        <t xml:space="preserve">======
ID#AAAAwCqRXJM
Steven    (2023-05-23 18:26:46)
tacts 2 actions when asked, for example, What am I doing? 
(e.g., jumping, clapping)</t>
      </text>
    </comment>
    <comment authorId="0" ref="F31">
      <text>
        <t xml:space="preserve">======
ID#AAAAwCqRW5A
Steven    (2023-05-23 18:26:46)
Spontaneously tacts items in a book, on TV, or in a video 5 times (e.g., Cinderella)</t>
      </text>
    </comment>
    <comment authorId="0" ref="AO30">
      <text>
        <t xml:space="preserve">======
ID#AAAAwCqRXKo
Steven    (2023-05-23 18:26:46)
Generalizes 10 known LRFFC responses to new carrier phrases without training (e.g., Hey! Do you see a…)</t>
      </text>
    </comment>
    <comment authorId="0" ref="K64">
      <text>
        <t xml:space="preserve">======
ID#AAAAwCqRW-M
Steven    (2023-05-23 18:26:46)
Acquires a new listener skill in less than 25 training trials</t>
      </text>
    </comment>
    <comment authorId="0" ref="K31">
      <text>
        <t xml:space="preserve">======
ID#AAAAwCqRWnM
Steven    (2023-05-23 18:26:46)
Appropriately responds to 5 different gestures (e.g., finger to the lips for quiet, palm out for stop)</t>
      </text>
    </comment>
    <comment authorId="0" ref="AT63">
      <text>
        <t xml:space="preserve">======
ID#AAAAwCqRXV0
Steven    (2023-05-23 18:26:46)
Completes 5 different song fill-ins 
(e.g., The wheels on the… Twinkle, twinkle little…)</t>
      </text>
    </comment>
    <comment authorId="0" ref="AE47">
      <text>
        <t xml:space="preserve">======
ID#AAAAwCqRXyM
Steven    (2023-05-23 18:26:46)
Imitates drawing a circle on 2 occasions</t>
      </text>
    </comment>
    <comment authorId="0" ref="P64">
      <text>
        <t xml:space="preserve">======
ID#AAAAwCqRXa0
Steven    (2023-05-23 18:26:46)
Matches identical objects or pictures in a neat array of 3, for 10 items
(e.g., matches a hat to a hat)</t>
      </text>
    </comment>
    <comment authorId="0" ref="AT30">
      <text>
        <t xml:space="preserve">======
ID#AAAAwCqRWko
Steven    (2023-05-23 18:26:46)
When asked What do you eat (or drink)? Provides 2 or more members of each category</t>
      </text>
    </comment>
    <comment authorId="0" ref="P31">
      <text>
        <t xml:space="preserve">======
ID#AAAAwCqRXvE
Steven    (2023-05-23 18:26:46)
Matches non-identical objects or pictures to corresponding items in a book for 25 items</t>
      </text>
    </comment>
    <comment authorId="0" ref="B15">
      <text>
        <t xml:space="preserve">======
ID#AAAAwCqRWnw
Steven    (2023-05-23 18:26:46)
Emits 10 new mands without specific training (e.g., spontaneously says Where kitty go? without formal mand training</t>
      </text>
    </comment>
    <comment authorId="0" ref="AY63">
      <text>
        <t xml:space="preserve">======
ID#AAAAwCqRXx0
Steven    (2023-05-23 18:26:46)
Lines up with other children when physically prompted</t>
      </text>
    </comment>
    <comment authorId="0" ref="AY30">
      <text>
        <t xml:space="preserve">======
ID#AAAAwCqRXFE
Steven    (2023-05-23 18:26:46)
Imitates groups activities with objects
(e.g., tapping sticks together, shaking a maraca)</t>
      </text>
    </comment>
    <comment authorId="0" ref="U64">
      <text>
        <t xml:space="preserve">======
ID#AAAAwCqRWgw
Steven    (2023-05-23 18:26:46)
Engages in sensory play for 2 minutes
(e.g., scoops sand or rice from a tray, plays in shaving cream</t>
      </text>
    </comment>
    <comment authorId="0" ref="U31">
      <text>
        <t xml:space="preserve">======
ID#AAAAwCqRXTQ
Steven    (2023-05-23 18:26:46)
Completes 5 inset puzzles with 5 or more pieces</t>
      </text>
    </comment>
    <comment authorId="0" ref="F15">
      <text>
        <t xml:space="preserve">======
ID#AAAAwCqRXQk
Steven    (2023-05-23 18:26:46)
Tacts 200 nouns and/or verbs (or other parts of speech), tested or from an accumulated list of known tacts</t>
      </text>
    </comment>
    <comment authorId="0" ref="Z64">
      <text>
        <t xml:space="preserve">======
ID#AAAAwCqRXZ4
Steven    (2023-05-23 18:26:46)
Sits with peers in a group activity (e.g., music) without disruptive behavior for 2 minutes</t>
      </text>
    </comment>
    <comment authorId="0" ref="BD30">
      <text>
        <t xml:space="preserve">======
ID#AAAAwCqRXMo
Steven    (2023-05-23 18:26:46)
Emits 2-word mands for negation or refusal 
(e.g., No Barney. No shoes. No more.)</t>
      </text>
    </comment>
    <comment authorId="0" ref="Z31">
      <text>
        <t xml:space="preserve">======
ID#AAAAwCqRXzA
Steven    (2023-05-23 18:26:46)
Responds to the mands of peers to stop a behavior 1 time
(e.g., Stop pushing me.)</t>
      </text>
    </comment>
    <comment authorId="0" ref="K15">
      <text>
        <t xml:space="preserve">======
ID#AAAAwCqRXpw
Steven    (2023-05-23 18:26:46)
Selects the correct item in a book, picture scene, or natural environment when named for 250 items, tested or from an accumulated list of known words</t>
      </text>
    </comment>
    <comment authorId="0" ref="AE64">
      <text>
        <t xml:space="preserve">======
ID#AAAAwCqRXos
Steven    (2023-05-23 18:26:46)
Imitates turning a page in a book</t>
      </text>
    </comment>
    <comment authorId="0" ref="AE31">
      <text>
        <t xml:space="preserve">======
ID#AAAAwCqRWt8
Steven    (2023-05-23 18:26:46)
Spontaneously imitates 5 behaviors in a group activity 
(e.g., sits when other children sit)</t>
      </text>
    </comment>
    <comment authorId="0" ref="B65">
      <text>
        <t xml:space="preserve">======
ID#AAAAwCqRWeg
Steven    (2023-05-23 18:26:45)
Emits 10 different mands without echoic or imitative prompts - object can be present</t>
      </text>
    </comment>
    <comment authorId="0" ref="P15">
      <text>
        <t xml:space="preserve">======
ID#AAAAwCR5j10
Steven    (2023-05-23 18:26:45)
Matches non-identical objects (3D) to pictures (2D) and/or vice versa, in a messy array of 10 containing 3 similar stimuli, for 25 items</t>
      </text>
    </comment>
    <comment authorId="0" ref="B32">
      <text>
        <t xml:space="preserve">======
ID#AAAAwCqRXHk
Steven    (2023-05-23 18:26:46)
Mands for information 25 times using any type of question word</t>
      </text>
    </comment>
    <comment authorId="0" ref="F65">
      <text>
        <t xml:space="preserve">======
ID#AAAAwCN6t5g
Steven    (2023-05-23 18:26:45)
Tacts 4 different people, pets, or characters by their specific name (can include mama and dada)</t>
      </text>
    </comment>
    <comment authorId="0" ref="F32">
      <text>
        <t xml:space="preserve">======
ID#AAAAwCqRXhk
Steven    (2023-05-23 18:26:46)
Acquires a new tact in less than 15 training trials</t>
      </text>
    </comment>
    <comment authorId="0" ref="U15">
      <text>
        <t xml:space="preserve">======
ID#AAAAwCqRW4k
Steven    (2023-05-23 18:26:46)
Assembles toys that have multiple parts for 5 different sets of materials 
(e.g., Mr. Potato Head, Little People sets, Cooties  bugs, Kid K'Nex)</t>
      </text>
    </comment>
    <comment authorId="0" ref="AO31">
      <text>
        <t xml:space="preserve">======
ID#AAAAwCqRXoI
Steven    (2023-05-23 18:26:46)
Selects a person or animal from an array of 8, for 10 different LRFFC who questions
(e.g., Who puts out fires?)</t>
      </text>
    </comment>
    <comment authorId="0" ref="K65">
      <text>
        <t xml:space="preserve">======
ID#AAAAwCqRXq0
Steven    (2023-05-23 18:26:46)
Selects the correct item from a messy array of 5, for 25 different items
(e.g., book, car, dog, shoe)</t>
      </text>
    </comment>
    <comment authorId="0" ref="K32">
      <text>
        <t xml:space="preserve">======
ID#AAAAwCqRXwU
Steven    (2023-05-23 18:26:46)
Acquires 2 new listener responses without formal training 
(e.g., someone asks another person to turn on a light, and the child goes over to the light, and no one knew that she knew the word light)</t>
      </text>
    </comment>
    <comment authorId="0" ref="Z15">
      <text>
        <t xml:space="preserve">======
ID#AAAAwCqRWsE
Steven    (2023-05-23 18:26:46)
Spontaneously mands to peers to participate in games, social play, etc., 2 times
(e.g., Come on you guys. Let's dig a hole.)</t>
      </text>
    </comment>
    <comment authorId="0" ref="AT64">
      <text>
        <t xml:space="preserve">======
ID#AAAAwCqRXyA
Steven    (2023-05-23 18:26:46)
Gives 2 animal names when given the sounds they make
(e.g., Meow says a…)</t>
      </text>
    </comment>
    <comment authorId="0" ref="AE48">
      <text>
        <t xml:space="preserve">======
ID#AAAAwCqRXyQ
Steven    (2023-05-23 18:26:46)
Imitates 5 actions in a 10-second fluency test</t>
      </text>
    </comment>
    <comment authorId="0" ref="AT31">
      <text>
        <t xml:space="preserve">======
ID#AAAAwCqRXrg
Steven    (2023-05-23 18:26:46)
Answers 10 different what questions with a noun as the primary SD
(e.g., What's in the barn?)</t>
      </text>
    </comment>
    <comment authorId="0" ref="P65">
      <text>
        <t xml:space="preserve">======
ID#AAAAwCqRXDk
Steven    (2023-05-23 18:26:46)
Stacks 4 blocks without help</t>
      </text>
    </comment>
    <comment authorId="0" ref="AE15">
      <text>
        <t xml:space="preserve">======
ID#AAAAwCqRXtg
Steven    (2023-05-23 18:26:46)
Imitates (or attempts to with approximations) any novel motor action modeled by an adult with and without objects 
(i.e., a "generalized imitative repertoire")</t>
      </text>
    </comment>
    <comment authorId="0" ref="P32">
      <text>
        <t xml:space="preserve">======
ID#AAAAwCqRW-g
Steven    (2023-05-23 18:26:46)
Matches non-identical objects or pictures in a messy array of 8 containing 2 similar stimuli, for 25 items</t>
      </text>
    </comment>
    <comment authorId="0" ref="B16">
      <text>
        <t xml:space="preserve">======
ID#AAAAwCqRWh8
Steven    (2023-05-23 18:26:46)
Spontaneously mands to novel and unfamiliar people 2 times</t>
      </text>
    </comment>
    <comment authorId="0" ref="AY64">
      <text>
        <t xml:space="preserve">======
ID#AAAAwCqRXTk
Steven    (2023-05-23 18:26:46)
Sits at a snack or lunch table when physically prompted for 1 minute</t>
      </text>
    </comment>
    <comment authorId="0" ref="U65">
      <text>
        <t xml:space="preserve">======
ID#AAAAwCqRXno
Steven    (2023-05-23 18:26:46)
Independently plays with inset puzzles for 1 minute</t>
      </text>
    </comment>
    <comment authorId="0" ref="AY31">
      <text>
        <t xml:space="preserve">======
ID#AAAAwCqRXAQ
Steven    (2023-05-23 18:26:46)
Participates in group movement and song activities with only verbal prompts
(e.g., Ring Around the Rosy, Duck-Duck Goose, Hokey Pokey)</t>
      </text>
    </comment>
    <comment authorId="0" ref="U32">
      <text>
        <t xml:space="preserve">======
ID#AAAAwCqRXi0
Steven    (2023-05-23 18:26:46)
Mands to go to a playground or play structure, or otherwise get access to play items he can't independently obtain
(e.g., mands to be lifted up to monkey bars)</t>
      </text>
    </comment>
    <comment authorId="0" ref="AJ15">
      <text>
        <t xml:space="preserve">======
ID#AAAAwCqRXkI
Steven    (2023-05-23 18:26:46)
Scores at least 90 on the EESA subtest (at least 10 from Groups 4 and 5)</t>
      </text>
    </comment>
    <comment authorId="0" ref="F16">
      <text>
        <t xml:space="preserve">======
ID#AAAAwCqRXBU
Steven    (2023-05-23 18:26:46)
Tacts 2 different shapes (e.g., circle, star)</t>
      </text>
    </comment>
    <comment authorId="0" ref="BD31">
      <text>
        <t xml:space="preserve">======
ID#AAAAwCqRXkE
Steven    (2023-05-23 18:26:46)
Emits 2-word mands or tacts for location 
(e.g., Come here. There's Thomas.)</t>
      </text>
    </comment>
    <comment authorId="0" ref="Z65">
      <text>
        <t xml:space="preserve">======
ID#AAAAwCqRXC0
Steven    (2023-05-23 18:26:46)
Chases peers in play with adult prompts 2 times</t>
      </text>
    </comment>
    <comment authorId="0" ref="AO15">
      <text>
        <t xml:space="preserve">======
ID#AAAAwCqRXZg
Steven    (2023-05-23 18:26:46)
Spontaneously tacts the item on 50% of the LRFFC trials
(e.g., says dog given the verbal statement, Find the animal, and a visual array containing a picture of a dog)</t>
      </text>
    </comment>
    <comment authorId="0" ref="Z32">
      <text>
        <t xml:space="preserve">======
ID#AAAAwCN6t4o
Steven    (2023-05-23 18:26:45)
Responds appropriately to mands from peers for an action 2 times 
(e.g., Push me.)</t>
      </text>
    </comment>
    <comment authorId="0" ref="K16">
      <text>
        <t xml:space="preserve">======
ID#AAAAwCqRXIo
Steven    (2023-05-23 18:26:46)
Generalizes in a noun-verb listener task with a new action for 5 objects 
(e.g., can spin any item)</t>
      </text>
    </comment>
    <comment authorId="0" ref="AE65">
      <text>
        <t xml:space="preserve">======
ID#AAAAwCqRXdQ
Steven    (2023-05-23 18:26:46)
Imitates 5 common gestures 
(e.g., shrugging shoulders, thumbs up, finger to closed lips)</t>
      </text>
    </comment>
    <comment authorId="0" ref="AE32">
      <text>
        <t xml:space="preserve">======
ID#AAAAwCqRXY4
Steven    (2023-05-23 18:26:46)
Imitates a socio-dramatic play activity modeled by peers on 2 occasions</t>
      </text>
    </comment>
    <comment authorId="0" ref="AT15">
      <text>
        <t xml:space="preserve">======
ID#AAAAwCqRXNA
Steven    (2023-05-23 18:26:46)
Answers 25 different who or where questions
(e.g., Who's your friend? Where is your pillow?)</t>
      </text>
    </comment>
    <comment authorId="0" ref="B66">
      <text>
        <t xml:space="preserve">======
ID#AAAAwCqRXYY
Steven    (2023-05-23 18:26:46)
Spontaneously emits 5 mands without an object present and without verbal prompts</t>
      </text>
    </comment>
    <comment authorId="0" ref="P16">
      <text>
        <t xml:space="preserve">======
ID#AAAAwCqRWtU
Steven    (2023-05-23 18:26:46)
Matches 10 different items that are associated with each other 
(e.g., a shoe to a sock)</t>
      </text>
    </comment>
    <comment authorId="0" ref="B33">
      <text>
        <t xml:space="preserve">======
ID#AAAAwCqRXYM
Steven    (2023-05-23 18:26:46)
Acquires 2 mands from tact or echoic only training 
(e.g., sees and tacts a live giraffe, and later mands to go back and see the giraffe)</t>
      </text>
    </comment>
    <comment authorId="0" ref="AY15">
      <text>
        <t xml:space="preserve">======
ID#AAAAwCqRWi0
Steven    (2023-05-23 18:26:46)
Sits in a small group for 10 minutes, attends to the teacher or material for 50% of the period, and responds to 5 of a teacher's SD's</t>
      </text>
    </comment>
    <comment authorId="0" ref="U16">
      <text>
        <t xml:space="preserve">======
ID#AAAAwCqRW9w
Steven    (2023-05-23 18:26:46)
Helps to pick up toys after an activity with adult prompts</t>
      </text>
    </comment>
    <comment authorId="0" ref="F33">
      <text>
        <t xml:space="preserve">======
ID#AAAAwCqRWiE
Steven    (2023-05-23 18:26:46)
Tacts 25 two-component noun-noun relations 
(e.g., paper and pencil; car and truck)</t>
      </text>
    </comment>
    <comment authorId="0" ref="BD15">
      <text>
        <t xml:space="preserve">======
ID#AAAAwCqRXtM
Steven    (2023-05-23 18:26:46)
Has a total speaker vocabulary of 300 words (all verbal operants except echoic)</t>
      </text>
    </comment>
    <comment authorId="0" ref="AO32">
      <text>
        <t xml:space="preserve">======
ID#AAAAwCqRXns
Steven    (2023-05-23 18:26:46)
Selects an item from an array of 8, for 10 different LRFFC which questions
(e.g., Which one can fly?)</t>
      </text>
    </comment>
    <comment authorId="0" ref="Z16">
      <text>
        <t xml:space="preserve">======
ID#AAAAwCqRXrE
Steven    (2023-05-23 18:26:46)
Spontaneously imitates a peer riding on a tricycle, toy car, or other riding toy 2 times</t>
      </text>
    </comment>
    <comment authorId="0" ref="AT65">
      <text>
        <t xml:space="preserve">======
ID#AAAAwCqRXNE
Steven    (2023-05-23 18:26:46)
Provides the sound made by 2 animals or objects 
(e.g., A dog says… A horn goes…)</t>
      </text>
    </comment>
    <comment authorId="0" ref="AT32">
      <text>
        <t xml:space="preserve">======
ID#AAAAwCqRXjo
Steven    (2023-05-23 18:26:46)
Answers 10 different what questions with a verb as the primary SD
(e.g., What do you brush?)</t>
      </text>
    </comment>
    <comment authorId="0" ref="P66">
      <text>
        <t xml:space="preserve">======
ID#AAAAwCqRXA8
Steven    (2023-05-23 18:26:46)
Completes 3 different inset puzzles containing 3-4 pieces without prompts</t>
      </text>
    </comment>
    <comment authorId="0" ref="AE16">
      <text>
        <t xml:space="preserve">======
ID#AAAAwCqRXvI
Steven    (2023-05-23 18:26:46)
Imitates 50 different motor behaviors on command</t>
      </text>
    </comment>
    <comment authorId="0" ref="P33">
      <text>
        <t xml:space="preserve">======
ID#AAAAwCqRWs8
Steven    (2023-05-23 18:26:46)
Matched different colored, but otherwise exactly the same, objects or pictures in a messy array of 8 for 25 items 
(e.g., a red Ford Mustang to a Blue Ford Mustang)</t>
      </text>
    </comment>
    <comment authorId="0" ref="B17">
      <text>
        <t xml:space="preserve">======
ID#AAAAwCqRXiU
Steven    (2023-05-23 18:26:46)
Spontaneously mands for others to emit 20 different actions 
(e.g., Run. Go. Push me.)</t>
      </text>
    </comment>
    <comment authorId="0" ref="AY65">
      <text>
        <t xml:space="preserve">======
ID#AAAAwCqRXvU
Steven    (2023-05-23 18:26:46)
Adjusts to separation from parents
(e.g., does not cry when parents leave)</t>
      </text>
    </comment>
    <comment authorId="0" ref="AY32">
      <text>
        <t xml:space="preserve">======
ID#AAAAwCqRW3A
Steven    (2023-05-23 18:26:46)
Comes inside after recess with only verbal prompts</t>
      </text>
    </comment>
    <comment authorId="0" ref="U66">
      <text>
        <t xml:space="preserve">======
ID#AAAAwCqRWj4
Steven    (2023-05-23 18:26:46)
Carries 2 or more toys while walking</t>
      </text>
    </comment>
    <comment authorId="0" ref="F17">
      <text>
        <t xml:space="preserve">======
ID#AAAAwCqRXDY
Steven    (2023-05-23 18:26:46)
Tacts 2 different colors (e.g., red, blue)</t>
      </text>
    </comment>
    <comment authorId="0" ref="Z66">
      <text>
        <t xml:space="preserve">======
ID#AAAAwCqRXzc
Steven    (2023-05-23 18:26:46)
Looks at a peer when he talks 2 times</t>
      </text>
    </comment>
    <comment authorId="0" ref="BD32">
      <text>
        <t xml:space="preserve">======
ID#AAAAwCqRW7w
Steven    (2023-05-23 18:26:46)
Emits 2-word mands for possession
(e.g., My cookie. That's mine.)</t>
      </text>
    </comment>
    <comment authorId="0" ref="Z33">
      <text>
        <t xml:space="preserve">======
ID#AAAAwCqRXN4
Steven    (2023-05-23 18:26:46)
Responds appropriately to mands from peers for an object 2 times
(e.g., Give me the truck)</t>
      </text>
    </comment>
    <comment authorId="0" ref="AO16">
      <text>
        <t xml:space="preserve">======
ID#AAAAwCqRXJ8
Steven    (2023-05-23 18:26:46)
Spontaneously emits 5 LRFFC responses 
(e.g., gets a broom after hearing, There's dirt on the floor.)</t>
      </text>
    </comment>
    <comment authorId="0" ref="K17">
      <text>
        <t xml:space="preserve">======
ID#AAAAwCqRXU4
Steven    (2023-05-23 18:26:46)
Generalizes in a noun-verb listener task with a new object for 5 different actions 
(e.g., after receiving training on spinning and rolling a pencil, the child correctly spins and rolls a straw on the first trial)</t>
      </text>
    </comment>
    <comment authorId="0" ref="AE66">
      <text>
        <t xml:space="preserve">======
ID#AAAAwCqRW9o
Steven    (2023-05-23 18:26:46)
Imitates blowing 2 times 
(e.g., bubbles, candles, balloons)</t>
      </text>
    </comment>
    <comment authorId="0" ref="AT16">
      <text>
        <t xml:space="preserve">======
ID#AAAAwCqRXyY
Steven    (2023-05-23 18:26:46)
Spontaneously emits 5 intraverbal-mands 
(e.g., Dad says It's hot. and the child says Let's go swimming.)</t>
      </text>
    </comment>
    <comment authorId="0" ref="P17">
      <text>
        <t xml:space="preserve">======
ID#AAAAwCqRW_4
Steven    (2023-05-23 18:26:46)
Colors pictures in a coloring book although doesn't always stay in the lines</t>
      </text>
    </comment>
  </commentList>
  <extLst>
    <ext uri="GoogleSheetsCustomDataVersion2">
      <go:sheetsCustomData xmlns:go="http://customooxmlschemas.google.com/" r:id="rId1" roundtripDataSignature="AMtx7mjQlm0gC2E9y0DRJ120QYNlxfhyHg=="/>
    </ext>
  </extLst>
</comments>
</file>

<file path=xl/comments7.xml><?xml version="1.0" encoding="utf-8"?>
<comments xmlns:r="http://schemas.openxmlformats.org/officeDocument/2006/relationships" xmlns="http://schemas.openxmlformats.org/spreadsheetml/2006/main" xmlns:xr="http://schemas.microsoft.com/office/spreadsheetml/2014/revision">
  <authors>
    <author/>
  </authors>
  <commentList>
    <comment authorId="0" ref="AJ33">
      <text>
        <t xml:space="preserve">======
ID#AAAAwCqRXaM
      (2023-05-23 18:26:46)
Discriminates among most uppercase letters 
(But may confuse some like M and N or P and R)</t>
      </text>
    </comment>
    <comment authorId="0" ref="F67">
      <text>
        <t xml:space="preserve">======
ID#AAAAwCqRWmo
      (2023-05-23 18:26:46)
Tacts 5 categories or classes 
(e.g., animals, drinks, toys)</t>
      </text>
    </comment>
    <comment authorId="0" ref="AO66">
      <text>
        <t xml:space="preserve">======
ID#AAAAwCqRXzE
      (2023-05-23 18:26:46)
Selects 50 items from a book given any type of LRFFC task</t>
      </text>
    </comment>
    <comment authorId="0" ref="K67">
      <text>
        <t xml:space="preserve">======
ID#AAAAwCqRWxc
      (2023-05-23 18:26:46)
Puts 5 specified items where they belong
(e.g., Put the hairbrush away.)</t>
      </text>
    </comment>
    <comment authorId="0" ref="AO33">
      <text>
        <t xml:space="preserve">======
ID#AAAAwCqRWuU
      (2023-05-23 18:26:46)
Selects an item from a book given a when question for 10 items
(e.g., When do you need a towel?)</t>
      </text>
    </comment>
    <comment authorId="0" ref="AT66">
      <text>
        <t xml:space="preserve">======
ID#AAAAwCqRWfI
      (2023-05-23 18:26:45)
Answers 25 what questions involving function
(e.g., What do you do with crayons?)</t>
      </text>
    </comment>
    <comment authorId="0" ref="AT33">
      <text>
        <t xml:space="preserve">======
ID#AAAAwCqRXy4
      (2023-05-23 18:26:46)
Provides 3 pieces of personal information
(e.g., Where do you live? What's your brother's name?)</t>
      </text>
    </comment>
    <comment authorId="0" ref="AY33">
      <text>
        <t xml:space="preserve">======
ID#AAAAwCN6t4Q
      (2023-05-23 18:26:45)
Discriminates and follows two-component group instructions
(e.g., All the boys line up.)</t>
      </text>
    </comment>
    <comment authorId="0" ref="BD33">
      <text>
        <t xml:space="preserve">======
ID#AAAAwCqRXuA
      (2023-05-23 18:26:46)
Adjectives usually precede nouns when appropriate
(e.g., a big boat vs. a boat big)</t>
      </text>
    </comment>
    <comment authorId="0" ref="BI66">
      <text>
        <t xml:space="preserve">======
ID#AAAAwCqRXkQ
      (2023-05-23 18:26:46)
Rote counts to 5 with a verbal starter prompt
(e.g., 1, 2…)</t>
      </text>
    </comment>
    <comment authorId="0" ref="AE67">
      <text>
        <t xml:space="preserve">======
ID#AAAAwCqRW8M
      (2023-05-23 18:26:46)
Independently scribbles on paper, a white board, Magna Doodle, etc.</t>
      </text>
    </comment>
    <comment authorId="0" ref="BI33">
      <text>
        <t xml:space="preserve">======
ID#AAAAwCqRWw0
      (2023-05-23 18:26:46)
Correctly tacts a collection of 1-3 items as "1"  "2"  and  "3"
(e.g., How many are there?)</t>
      </text>
    </comment>
    <comment authorId="0" ref="F68">
      <text>
        <t xml:space="preserve">======
ID#AAAAwCqRWkU
      (2023-05-23 18:26:46)
Tacts 2 people (not family members) by their first names</t>
      </text>
    </comment>
    <comment authorId="0" ref="AO67">
      <text>
        <t xml:space="preserve">======
ID#AAAAwCqRXB4
      (2023-05-23 18:26:46)
Selects 2 members of a class from an array of 10, for 25 classes
(e.g., Find two body parts.)</t>
      </text>
    </comment>
    <comment authorId="0" ref="AO34">
      <text>
        <t xml:space="preserve">======
ID#AAAAwCqRW8w
      (2023-05-23 18:26:46)
Selects all members of a class from an array of 10 when asked for 3 members of 25 classes
(e.g., Find all the clothing.)</t>
      </text>
    </comment>
    <comment authorId="0" ref="AT67">
      <text>
        <t xml:space="preserve">======
ID#AAAAwCqRXJU
      (2023-05-23 18:26:46)
Answers 25 two-component (noun-verb) who questions
(e.g., Who take you to school? Who do you play with?)</t>
      </text>
    </comment>
    <comment authorId="0" ref="AT34">
      <text>
        <t xml:space="preserve">======
ID#AAAAwCqRXgI
      (2023-05-23 18:26:46)
Will say 3 things about a single item for 25 items
(e.g., It's a crayon. It's red. You draw with it.)</t>
      </text>
    </comment>
    <comment authorId="0" ref="AY34">
      <text>
        <t xml:space="preserve">======
ID#AAAAwCqRXe4
      (2023-05-23 18:26:46)
Takes turns and shares items with peers</t>
      </text>
    </comment>
    <comment authorId="0" ref="AE68">
      <text>
        <t xml:space="preserve">======
ID#AAAAwCqRWiM
      (2023-05-23 18:26:46)
Uses a writing instrument to mark on paper, white board, or Magna Doodle when prompted</t>
      </text>
    </comment>
    <comment authorId="0" ref="F69">
      <text>
        <t xml:space="preserve">======
ID#AAAAwCqRWhw
      (2023-05-23 18:26:46)
Acquires 5 new tacts in a week without direct training</t>
      </text>
    </comment>
    <comment authorId="0" ref="AT68">
      <text>
        <t xml:space="preserve">======
ID#AAAAwCqRXzM
      (2023-05-23 18:26:46)
Answers 25 two-component (noun-verb) where questions
(e.g., Where do you find the milk? Where's your wagon?)</t>
      </text>
    </comment>
    <comment authorId="0" ref="AT35">
      <text>
        <t xml:space="preserve">======
ID#AAAAwCqRWpk
      (2023-05-23 18:26:46)
Shows generalization by giving the same answer to 10 questions presented in 3 different ways
(e.g., answers my house to Where do you live? Where is your dog? and Where do you play?)</t>
      </text>
    </comment>
    <comment authorId="0" ref="F70">
      <text>
        <t xml:space="preserve">======
ID#AAAAwCqRXUM
      (2023-05-23 18:26:46)
Tacts 2 olfactory stimuli 
(e.g., cookies, popcorn, flowers)</t>
      </text>
    </comment>
    <comment authorId="0" ref="AT69">
      <text>
        <t xml:space="preserve">======
ID#AAAAwCqRXDU
      (2023-05-23 18:26:46)
Completes 10 two-component (noun-verb) fill-ins
(e.g., For breakfast you eat…  For lunch you eat…)</t>
      </text>
    </comment>
    <comment authorId="0" ref="AT36">
      <text>
        <t xml:space="preserve">======
ID#AAAAwCqRWk4
      (2023-05-23 18:26:46)
Intraverbally responds at least 25 times in a day to the verbal questions or statements from peers</t>
      </text>
    </comment>
    <comment authorId="0" ref="AT37">
      <text>
        <t xml:space="preserve">======
ID#AAAAwCqRW_8
      (2023-05-23 18:26:46)
Answers 5 questions about daily or current events
(e.g., Where are you going with dad?)</t>
      </text>
    </comment>
    <comment authorId="0" ref="AT38">
      <text>
        <t xml:space="preserve">======
ID#AAAAwCqRWqU
      (2023-05-23 18:26:46)
Provides at least 3 members of 25 categories
(e.g., What do you find on a playground?)</t>
      </text>
    </comment>
    <comment authorId="0" ref="AT39">
      <text>
        <t xml:space="preserve">======
ID#AAAAwCqRXlI
      (2023-05-23 18:26:46)
Answers 25 different who, what, or where questions that contain 3 or more elements
(e.g., What color is the fire truck?)</t>
      </text>
    </comment>
    <comment authorId="0" ref="B41">
      <text>
        <t xml:space="preserve">======
ID#AAAAwCqRW4o
      (2023-05-23 18:26:46)
Mands with 10 different adjectives, prepositions, or adverbs
(e.g., My crayon is broken. Don't take it out. Go fast.)</t>
      </text>
    </comment>
    <comment authorId="0" ref="F41">
      <text>
        <t xml:space="preserve">======
ID#AAAAwCqRXpY
      (2023-05-23 18:26:46)
Tacts 4 different adjectives, excluding colors and shapes
(e.g., big, little, long, short)
and 4 adverbs
(e.g., fast, slow, quietly, gently)</t>
      </text>
    </comment>
    <comment authorId="0" ref="K41">
      <text>
        <t xml:space="preserve">======
ID#AAAAwCqRXTw
      (2023-05-23 18:26:46)
Selects items from an array of similar stimuli based on 4 pairs of relative adjectives 
(e.g., big-little, long-short) 
and demonstrates actions based on 4 pairs of relative adverbs 
(e.g., quiet-loud, fast-slow)</t>
      </text>
    </comment>
    <comment authorId="0" ref="P41">
      <text>
        <t xml:space="preserve">======
ID#AAAAwCqRXGY
      (2023-05-23 18:26:46)
Completes 20 different block designs, parquetry, shape puzzles, or similar tasks with at least 8 different pieces</t>
      </text>
    </comment>
    <comment authorId="0" ref="U41">
      <text>
        <t xml:space="preserve">======
ID#AAAAwCqRXbM
      (2023-05-23 18:26:46)
Independently engages in arts and crafts activities for 5 minutes 
(e.g., drawing, coloring, painting, cutting, pasting)</t>
      </text>
    </comment>
    <comment authorId="0" ref="Z41">
      <text>
        <t xml:space="preserve">======
ID#AAAAwCqRXNU
      (2023-05-23 18:26:46)
Intraverbally responds to 5 different questions or statements from peers
(e.g., verbally responds to What do you want to play?)</t>
      </text>
    </comment>
    <comment authorId="0" ref="AE41">
      <text>
        <t xml:space="preserve">======
ID#AAAAwCqRXXc
      (2023-05-23 18:26:46)
Copies 10 letters or numbers legibly</t>
      </text>
    </comment>
    <comment authorId="0" ref="B42">
      <text>
        <t xml:space="preserve">======
ID#AAAAwCqRXHM
      (2023-05-23 18:26:46)
Mands with 2 different adverbs 
(e.g., Slow down.)</t>
      </text>
    </comment>
    <comment authorId="0" ref="AJ41">
      <text>
        <t xml:space="preserve">======
ID#AAAAwCqRXhw
      (2023-05-23 18:26:46)
Tacts 10 uppercase letters on command</t>
      </text>
    </comment>
    <comment authorId="0" ref="F42">
      <text>
        <t xml:space="preserve">======
ID#AAAAwCqRXMQ
      (2023-05-23 18:26:46)
Spontaneously tacts possession of items 2 times 
(e.g., mine, yours)</t>
      </text>
    </comment>
    <comment authorId="0" ref="AO41">
      <text>
        <t xml:space="preserve">======
ID#AAAAwCqRXmQ
      (2023-05-23 18:26:46)
Selects items form a page in a book or in the natural environment based on 3 verbal components (verb, adjective, preposition, pronoun) for 25 WH-question LRFFC tasks
(e.g., Which fruit grows on trees?)</t>
      </text>
    </comment>
    <comment authorId="0" ref="K42">
      <text>
        <t xml:space="preserve">======
ID#AAAAwCqRWs4
      (2023-05-23 18:26:46)
Generalizes a pronoun and a preposition to a new situation
(e.g., uses his correctly with a new friend)</t>
      </text>
    </comment>
    <comment authorId="0" ref="AT41">
      <text>
        <t xml:space="preserve">======
ID#AAAAwCqRXF4
      (2023-05-23 18:26:46)
Answers 2 questions after being read short passages (15+ words) from books, for 25 passages
(e.g., Who blew the house down?)</t>
      </text>
    </comment>
    <comment authorId="0" ref="P42">
      <text>
        <t xml:space="preserve">======
ID#AAAAwCqRW_g
      (2023-05-23 18:26:46)
Imitates a model block structure or similar assembly of objects with at least 6 parts</t>
      </text>
    </comment>
    <comment authorId="0" ref="AY41">
      <text>
        <t xml:space="preserve">======
ID#AAAAwCqRXGA
      (2023-05-23 18:26:46)
Works independently for 5 minutes in a group, and stays on task for 50% of the period</t>
      </text>
    </comment>
    <comment authorId="0" ref="U42">
      <text>
        <t xml:space="preserve">======
ID#AAAAwCqRXog
      (2023-05-23 18:26:46)
Colors items mostly within their boundaries in a coloring book</t>
      </text>
    </comment>
    <comment authorId="0" ref="BD41">
      <text>
        <t xml:space="preserve">======
ID#AAAAwCqRWzY
      (2023-05-23 18:26:46)
Emits 10 different nouns phrases containing at least 3 words, with 2 modifiers (adjectives, prepositions, pronouns)
(e.g., He's my puppet. I want chocolate ice cream.)</t>
      </text>
    </comment>
    <comment authorId="0" ref="Z42">
      <text>
        <t xml:space="preserve">======
ID#AAAAwCqRW8k
      (2023-05-23 18:26:46)
Spontaneously offers a reinforcer (sharing) to a peer 2 times</t>
      </text>
    </comment>
    <comment authorId="0" ref="BI41">
      <text>
        <t xml:space="preserve">======
ID#AAAAwCqRW7Q
      (2023-05-23 18:26:46)
Counts out 1-5 items from a larger set of items with 1 to 1 correspondence
(e.g., Give me 4 cars. Now give me 2 cars.)</t>
      </text>
    </comment>
    <comment authorId="0" ref="AE42">
      <text>
        <t xml:space="preserve">======
ID#AAAAwCqRXgo
      (2023-05-23 18:26:46)
Traces his own name on paper and stays within 1/2 inch of the letters</t>
      </text>
    </comment>
    <comment authorId="0" ref="B43">
      <text>
        <t xml:space="preserve">======
ID#AAAAwCqRW8c
      (2023-05-23 18:26:46)
Mands with 2 different prepositions 
(e.g., Put it in the house.)</t>
      </text>
    </comment>
    <comment authorId="0" ref="AJ42">
      <text>
        <t xml:space="preserve">======
ID#AAAAwCqRXj0
      (2023-05-23 18:26:46)
Looks at the written words, rather than just the pictures when stories are being read to him</t>
      </text>
    </comment>
    <comment authorId="0" ref="F43">
      <text>
        <t xml:space="preserve">======
ID#AAAAwCqRXqE
      (2023-05-23 18:26:46)
Spontaneously tacts with 2 different adverbs</t>
      </text>
    </comment>
    <comment authorId="0" ref="AO42">
      <text>
        <t xml:space="preserve">======
ID#AAAAwCqRXn0
      (2023-05-23 18:26:46)
Selects an item in the natural environment that contains 3 similar stimuli when given an LRFFC question for 25 tasks
(e.g., Get something to sweep with. Find something to make this stick)</t>
      </text>
    </comment>
    <comment authorId="0" ref="K43">
      <text>
        <t xml:space="preserve">======
ID#AAAAwCqRWfQ
      (2023-05-23 18:26:45)
Identifies 10 items based on a verb, pronoun, and noun 
(e.g., Brush his hair.)</t>
      </text>
    </comment>
    <comment authorId="0" ref="AT42">
      <text>
        <t xml:space="preserve">======
ID#AAAAwCqRWuM
      (2023-05-23 18:26:46)
Describes 2 attributes about himself
(e.g., I have brown hair. I have blue eyes.)</t>
      </text>
    </comment>
    <comment authorId="0" ref="P43">
      <text>
        <t xml:space="preserve">======
ID#AAAAwCqRXRQ
      (2023-05-23 18:26:46)
Place 3 sets of items in order by size (seriation)</t>
      </text>
    </comment>
    <comment authorId="0" ref="AY42">
      <text>
        <t xml:space="preserve">======
ID#AAAAwCqRW8Y
      (2023-05-23 18:26:46)
Mands to use the toilet and has minimal accidents</t>
      </text>
    </comment>
    <comment authorId="0" ref="U43">
      <text>
        <t xml:space="preserve">======
ID#AAAAwCqRWkw
      (2023-05-23 18:26:46)
Shows a completed project to an adult or peer 
(e.g., an art project)</t>
      </text>
    </comment>
    <comment authorId="0" ref="BD42">
      <text>
        <t xml:space="preserve">======
ID#AAAAwCqRWyU
      (2023-05-23 18:26:46)
Emits pronouns to modify nouns
(e.g., My shoes. Your cup.)</t>
      </text>
    </comment>
    <comment authorId="0" ref="Z43">
      <text>
        <t xml:space="preserve">======
ID#AAAAwCqRXPo
      (2023-05-23 18:26:46)
Gives directions to a peer in a social play activity 2 times</t>
      </text>
    </comment>
    <comment authorId="0" ref="BI42">
      <text>
        <t xml:space="preserve">======
ID#AAAAwCqRXXQ
      (2023-05-23 18:26:46)
Demonstrates enumeration in counting (final emphasis on correct number) for numbers 1-3</t>
      </text>
    </comment>
    <comment authorId="0" ref="AE43">
      <text>
        <t xml:space="preserve">======
ID#AAAAwCqRXm8
      (2023-05-23 18:26:46)
Independently draws a person with 4 recognizable body parts</t>
      </text>
    </comment>
    <comment authorId="0" ref="B44">
      <text>
        <t xml:space="preserve">======
ID#AAAAwCN6t5Y
      (2023-05-23 18:26:45)
Mands with 2 different adjectives 
(e.g., I want the red gummy bear.)</t>
      </text>
    </comment>
    <comment authorId="0" ref="AJ43">
      <text>
        <t xml:space="preserve">======
ID#AAAAwCqRW3E
      (2023-05-23 18:26:46)
Discriminates as a listener his own name from an array of 3 names written</t>
      </text>
    </comment>
    <comment authorId="0" ref="F44">
      <text>
        <t xml:space="preserve">======
ID#AAAAwCqRW-w
      (2023-05-23 18:26:46)
Spontaneously tacts with 2 different adjectives</t>
      </text>
    </comment>
    <comment authorId="0" ref="AO43">
      <text>
        <t xml:space="preserve">======
ID#AAAAwCqRWm0
      (2023-05-23 18:26:46)
Selects a location from an array of 10 given 2 items from that location for 10 location
(e.g., You buy meat and bread at the… store)</t>
      </text>
    </comment>
    <comment authorId="0" ref="K44">
      <text>
        <t xml:space="preserve">======
ID#AAAAwCqRXQw
      (2023-05-23 18:26:46)
Performs 10 actions based on a subject, preposition, and noun 
(e.g., Put the horse in the barn.)</t>
      </text>
    </comment>
    <comment authorId="0" ref="AT43">
      <text>
        <t xml:space="preserve">======
ID#AAAAwCqRW0U
      (2023-05-23 18:26:46)
Engages in 5 different conversations that contain at least 3 intraverbal exchanges on a single topic</t>
      </text>
    </comment>
    <comment authorId="0" ref="P44">
      <text>
        <t xml:space="preserve">======
ID#AAAAwCqRXAk
      (2023-05-23 18:26:46)
Sets a table for two people with 6 dishes and utensils</t>
      </text>
    </comment>
    <comment authorId="0" ref="AY43">
      <text>
        <t xml:space="preserve">======
ID#AAAAwCqRXzY
      (2023-05-23 18:26:46)
Responds to group questions without a direct prompt
(e.g., What happened to Simba?)</t>
      </text>
    </comment>
    <comment authorId="0" ref="U44">
      <text>
        <t xml:space="preserve">======
ID#AAAAwCqRW-I
      (2023-05-23 18:26:46)
Independently draws recognizable items</t>
      </text>
    </comment>
    <comment authorId="0" ref="BD43">
      <text>
        <t xml:space="preserve">======
ID#AAAAwCqRXR8
      (2023-05-23 18:26:46)
Emits contractions in a mand, tact, or intraverbal context
(e.g., can't, don't, won't)</t>
      </text>
    </comment>
    <comment authorId="0" ref="Z44">
      <text>
        <t xml:space="preserve">======
ID#AAAAwCqRWi4
      (2023-05-23 18:26:46)
follows directions given by a peer in a social play activity 2 times</t>
      </text>
    </comment>
    <comment authorId="0" ref="BI43">
      <text>
        <t xml:space="preserve">======
ID#AAAAwCqRXes
      (2023-05-23 18:26:46)
Identifies as a listener the number of items
(e.g., Which picture has 2 cars?)</t>
      </text>
    </comment>
    <comment authorId="0" ref="AE44">
      <text>
        <t xml:space="preserve">======
ID#AAAAwCqRWmM
      (2023-05-23 18:26:46)
Independently combines shapes to make a picture</t>
      </text>
    </comment>
    <comment authorId="0" ref="B45">
      <text>
        <t xml:space="preserve">======
ID#AAAAwCqRW4U
      (2023-05-23 18:26:46)
Mands for others to attend to some aspect of the environment 2 times 
(e.g., Look, it's a truck.)</t>
      </text>
    </comment>
    <comment authorId="0" ref="AJ44">
      <text>
        <t xml:space="preserve">======
ID#AAAAwCqRXTo
      (2023-05-23 18:26:46)
Pretends to read a book</t>
      </text>
    </comment>
    <comment authorId="0" ref="F45">
      <text>
        <t xml:space="preserve">======
ID#AAAAwCqRWpo
      (2023-05-23 18:26:46)
Tacts 2 pairs or relative adjectives
(e.g., big and little; long and short)</t>
      </text>
    </comment>
    <comment authorId="0" ref="AO44">
      <text>
        <t xml:space="preserve">======
ID#AAAAwCqRXFI
      (2023-05-23 18:26:46)
Selects 2 different items from an array of 10 given 2 different classes or functions for 25 sets
(e.g., Can you find a fruit and a meat?)</t>
      </text>
    </comment>
    <comment authorId="0" ref="K45">
      <text>
        <t xml:space="preserve">======
ID#AAAAwCqRXDE
      (2023-05-23 18:26:46)
Identifies 10 items based on a subject, adjective, and noun
(e.g., Show me the girl's red hair.)</t>
      </text>
    </comment>
    <comment authorId="0" ref="AT44">
      <text>
        <t xml:space="preserve">======
ID#AAAAwCqRXrM
      (2023-05-23 18:26:46)
Completes a story sequence for 5 stories 
(e.g., Then what happened to the three little pigs?)</t>
      </text>
    </comment>
    <comment authorId="0" ref="P45">
      <text>
        <t xml:space="preserve">======
ID#AAAAwCqRXpA
      (2023-05-23 18:26:46)
Uses scissors to cut out 5 different patterns or items without physical prompts</t>
      </text>
    </comment>
    <comment authorId="0" ref="AY44">
      <text>
        <t xml:space="preserve">======
ID#AAAAwCqRWiI
      (2023-05-23 18:26:46)
Independently transitions between classroom activities with only group verbal prompts</t>
      </text>
    </comment>
    <comment authorId="0" ref="U45">
      <text>
        <t xml:space="preserve">======
ID#AAAAwCqRXoA
      (2023-05-23 18:26:46)
Waits for a turn at an activity
(e.g., waits for another child to get off a swing, or a turn at an activity table)</t>
      </text>
    </comment>
    <comment authorId="0" ref="BD44">
      <text>
        <t xml:space="preserve">======
ID#AAAAwCqRXtI
      (2023-05-23 18:26:46)
Emits adjectives to modify nouns
(e.g., blue train, chocolate cookie)</t>
      </text>
    </comment>
    <comment authorId="0" ref="Z45">
      <text>
        <t xml:space="preserve">======
ID#AAAAwCqRXKY
      (2023-05-23 18:26:46)
Demonstrates any reciprocal verbal exchanges with a peer 2 times</t>
      </text>
    </comment>
    <comment authorId="0" ref="BI44">
      <text>
        <t xml:space="preserve">======
ID#AAAAwCqRWis
      (2023-05-23 18:26:46)
Counts out up to 3 items given the verbal prompt How many? And the related set of items</t>
      </text>
    </comment>
    <comment authorId="0" ref="AE45">
      <text>
        <t xml:space="preserve">======
ID#AAAAwCqRXM4
      (2023-05-23 18:26:46)
Copies 4 numbers or letters</t>
      </text>
    </comment>
    <comment authorId="0" ref="B46">
      <text>
        <t xml:space="preserve">======
ID#AAAAwCqRW_I
      (2023-05-23 18:26:46)
Mands for others to attend to his own nonverbal behavior 2 times 
(e.g., watch me)</t>
      </text>
    </comment>
    <comment authorId="0" ref="AJ45">
      <text>
        <t xml:space="preserve">======
ID#AAAAwCqRXic
      (2023-05-23 18:26:46)
Mands for what written words say
(e.g., What word is that?)</t>
      </text>
    </comment>
    <comment authorId="0" ref="F46">
      <text>
        <t xml:space="preserve">======
ID#AAAAwCR5j2Y
      (2023-05-23 18:26:45)
Spontaneously tacts the behavior or others 2 times 
(e.g., He's crying)</t>
      </text>
    </comment>
    <comment authorId="0" ref="AO45">
      <text>
        <t xml:space="preserve">======
ID#AAAAwCqRXys
      (2023-05-23 18:26:46)
Selects 10 community helpers from a book when asked what they do
(e.g., Who helps you when you are sick?)</t>
      </text>
    </comment>
    <comment authorId="0" ref="K46">
      <text>
        <t xml:space="preserve">======
ID#AAAAwCqRXP4
      (2023-05-23 18:26:46)
Demonstrates 3 pretend emotions on command 
(e.g., Show me a sad face. Make a happy face.)</t>
      </text>
    </comment>
    <comment authorId="0" ref="AT45">
      <text>
        <t xml:space="preserve">======
ID#AAAAwCqRXRs
      (2023-05-23 18:26:46)
Answers 2 time questions with general responses
(e.g., What time do you go to bed? …at night-time)</t>
      </text>
    </comment>
    <comment authorId="0" ref="AY45">
      <text>
        <t xml:space="preserve">======
ID#AAAAwCqRXAE
      (2023-05-23 18:26:46)
Gets necessary materials to complete an activity when verbally prompted 
(e.g., Get some glue.)</t>
      </text>
    </comment>
    <comment authorId="0" ref="U46">
      <text>
        <t xml:space="preserve">======
ID#AAAAwCqRWgU
      (2023-05-23 18:26:45)
Uses arts and crafts materials as intended
(e.g., cuts with scissors, uses glue)</t>
      </text>
    </comment>
    <comment authorId="0" ref="BD45">
      <text>
        <t xml:space="preserve">======
ID#AAAAwCqRXyc
      (2023-05-23 18:26:46)
Emits prepositional phrases, but may not discriminate between prepositional pairs
(e.g., on the table vs. under the table)</t>
      </text>
    </comment>
    <comment authorId="0" ref="Z46">
      <text>
        <t xml:space="preserve">======
ID#AAAAwCqRXx4
      (2023-05-23 18:26:46)
Spontaneously uses please and thank you with an adult or peer 2 times</t>
      </text>
    </comment>
    <comment authorId="0" ref="BI45">
      <text>
        <t xml:space="preserve">======
ID#AAAAwCqRW1E
      (2023-05-23 18:26:46)
Provides age when asked</t>
      </text>
    </comment>
    <comment authorId="0" ref="B47">
      <text>
        <t xml:space="preserve">======
ID#AAAAwCqRXsU
      (2023-05-23 18:26:46)
Spontaneously mands to use the bathroom 2 times</t>
      </text>
    </comment>
    <comment authorId="0" ref="AJ46">
      <text>
        <t xml:space="preserve">======
ID#AAAAwCqRXcA
      (2023-05-23 18:26:46)
Recites (or sings) the whole alphabet with only a verbal prompt to do so</t>
      </text>
    </comment>
    <comment authorId="0" ref="F47">
      <text>
        <t xml:space="preserve">======
ID#AAAAwCqRXj4
      (2023-05-23 18:26:46)
Tacts people by gender using 4 different terms 
(girl, boy, man, woman)</t>
      </text>
    </comment>
    <comment authorId="0" ref="AO46">
      <text>
        <t xml:space="preserve">======
ID#AAAAwCqRXe8
      (2023-05-23 18:26:46)
Selects an item from an array of 10 given an adverb and any LRFFC question for 25 items
(e.g., Which animal runs fast?)</t>
      </text>
    </comment>
    <comment authorId="0" ref="AT46">
      <text>
        <t xml:space="preserve">======
ID#AAAAwCqRW1M
      (2023-05-23 18:26:46)
Correctly answers the question How old are you?</t>
      </text>
    </comment>
    <comment authorId="0" ref="BD46">
      <text>
        <t xml:space="preserve">======
ID#AAAAwCqRW9g
      (2023-05-23 18:26:46)
Speaks in 3-5 word sentences</t>
      </text>
    </comment>
    <comment authorId="0" ref="B15">
      <text>
        <t xml:space="preserve">======
ID#AAAAwCqRXMY
      (2023-05-23 18:26:46)
Mands for others to attend to his own intraverbal behavior 5 times
(e.g., Listen to me… I'll tell you… Here's what happened… I'm telling the story…)</t>
      </text>
    </comment>
    <comment authorId="0" ref="F15">
      <text>
        <t xml:space="preserve">======
ID#AAAAwCqRXjA
      (2023-05-23 18:26:46)
Has a total tact vocabulary of 1000 words (nouns, verbs, adjectives, adverbs, etc.)</t>
      </text>
    </comment>
    <comment authorId="0" ref="AO47">
      <text>
        <t xml:space="preserve">======
ID#AAAAwCqRW6U
      (2023-05-23 18:26:46)
Selects an item from an array of 10 given a pronoun and any LRFFC question for 25 items
(e.g., Which toys are his?)</t>
      </text>
    </comment>
    <comment authorId="0" ref="K15">
      <text>
        <t xml:space="preserve">======
ID#AAAAwCqRW20
      (2023-05-23 18:26:46)
Has a total listener repertoire of 1200 words (nouns, verbs, adjectives, etc.)</t>
      </text>
    </comment>
    <comment authorId="0" ref="AT47">
      <text>
        <t xml:space="preserve">======
ID#AAAAwCqRXTA
      (2023-05-23 18:26:46)
Answers a question about a single sentence just read, for 10 sentences</t>
      </text>
    </comment>
    <comment authorId="0" ref="P15">
      <text>
        <t xml:space="preserve">======
ID#AAAAwCqRWlE
      (2023-05-23 18:26:46)
Continues 20 three-step patterns, sequences, or seriation tasks 
(e.g., star, triangle, heart, star, triangle…)</t>
      </text>
    </comment>
    <comment authorId="0" ref="U15">
      <text>
        <t xml:space="preserve">======
ID#AAAAwCqRWgI
      (2023-05-23 18:26:45)
Independently draws or writes in pre-academic activity books for 5 minutes (e.g., dot-to-dot, matching games, tracing letters and numbers)</t>
      </text>
    </comment>
    <comment authorId="0" ref="Z15">
      <text>
        <t xml:space="preserve">======
ID#AAAAwCqRWuA
      (2023-05-23 18:26:46)
Engages in 4 verbal exchanges on 1 topic with peers for 5 topics
(e.g., the children go back and forth talking about making a creek in a sandbox)</t>
      </text>
    </comment>
    <comment authorId="0" ref="AE15">
      <text>
        <t xml:space="preserve">======
ID#AAAAwCqRWoM
      (2023-05-23 18:26:46)
Copies all 26 uppercase and lowercase letters legibly</t>
      </text>
    </comment>
    <comment authorId="0" ref="B16">
      <text>
        <t xml:space="preserve">======
ID#AAAAwCqRXhM
      (2023-05-23 18:26:46)
Mands for information 5 times using how questions</t>
      </text>
    </comment>
    <comment authorId="0" ref="AJ15">
      <text>
        <t xml:space="preserve">======
ID#AAAAwCqRWss
      (2023-05-23 18:26:46)
Matches 5 words to the corresponding pictures or items in an array of 5, and vice versa
(e.g., matches the written word bird to a picture of a bird)</t>
      </text>
    </comment>
    <comment authorId="0" ref="F16">
      <text>
        <t xml:space="preserve">======
ID#AAAAwCqRXzI
      (2023-05-23 18:26:46)
Spontaneously emits untrained tacts in sentences containing at least 5 words, 5 times</t>
      </text>
    </comment>
    <comment authorId="0" ref="AO48">
      <text>
        <t xml:space="preserve">======
ID#AAAAwCqRXmY
      (2023-05-23 18:26:46)
Selects an item from an array of 10 given a preposition and any LRFFC question for 25 items
(e.g., What's above a roof?)</t>
      </text>
    </comment>
    <comment authorId="0" ref="AO15">
      <text>
        <t xml:space="preserve">======
ID#AAAAwCqRWqQ
      (2023-05-23 18:26:46)
Demonstrates 1000 different LRFFC responses</t>
      </text>
    </comment>
    <comment authorId="0" ref="K16">
      <text>
        <t xml:space="preserve">======
ID#AAAAwCqRW0A
      (2023-05-23 18:26:46)
Generalizes 5 adverbs to new verbs 
(e.g., says, Lava moves slow when first encountering lava)</t>
      </text>
    </comment>
    <comment authorId="0" ref="AT48">
      <text>
        <t xml:space="preserve">======
ID#AAAAwCqRXPA
      (2023-05-23 18:26:46)
Answers 25 intraverbal questions involving adjectives
(e.g., Can you tell me a big animal?)</t>
      </text>
    </comment>
    <comment authorId="0" ref="AT15">
      <text>
        <t xml:space="preserve">======
ID#AAAAwCqRXHU
      (2023-05-23 18:26:46)
Answers 4 different rotating WH questions about a single topic 
for 10 topics
(e.g., Who takes you to school? Where do you go to school? What do you take to school?)</t>
      </text>
    </comment>
    <comment authorId="0" ref="P16">
      <text>
        <t xml:space="preserve">======
ID#AAAAwCqRXi8
      (2023-05-23 18:26:46)
Constructs 5 felt (or similar material) scenes with 5 parts 
(e.g., farm, party)</t>
      </text>
    </comment>
    <comment authorId="0" ref="AY15">
      <text>
        <t xml:space="preserve">======
ID#AAAAwCR5j2c
      (2023-05-23 18:26:45)
Sits in a 20-minute group session involving 5 children without disruptive behaviors, and answers 5 intraverbal questions</t>
      </text>
    </comment>
    <comment authorId="0" ref="U16">
      <text>
        <t xml:space="preserve">======
ID#AAAAwCqRXbg
      (2023-05-23 18:26:46)
Will independently solve problems encountered in play
(e.g., pulling on a toy that is stuck)</t>
      </text>
    </comment>
    <comment authorId="0" ref="BD15">
      <text>
        <t xml:space="preserve">======
ID#AAAAwCqRXuY
      (2023-05-23 18:26:46)
Combines nouns and verb phrases to produce 10 different syntactically correct clauses or sentences containing at least 5 words
(e.g., The dog licked my face.)</t>
      </text>
    </comment>
    <comment authorId="0" ref="Z16">
      <text>
        <t xml:space="preserve">======
ID#AAAAwCqRW8o
      (2023-05-23 18:26:46)
Negotiates time with a reinforcer with a peer 2 times</t>
      </text>
    </comment>
    <comment authorId="0" ref="BI15">
      <text>
        <t xml:space="preserve">======
ID#AAAAwCqRW14
      (2023-05-23 18:26:46)
Correctly matches a written number to a quantity and a quantity to a written number for the numbers 1-5
(e.g., matches the number 3 to a picture of 3 trucks)</t>
      </text>
    </comment>
    <comment authorId="0" ref="AE16">
      <text>
        <t xml:space="preserve">======
ID#AAAAwCqRXmU
      (2023-05-23 18:26:46)
Copies 5 simple words legibly</t>
      </text>
    </comment>
    <comment authorId="0" ref="B17">
      <text>
        <t xml:space="preserve">======
ID#AAAAwCqRXX8
      (2023-05-23 18:26:46)
Mands for information 5 times using why questions</t>
      </text>
    </comment>
    <comment authorId="0" ref="AJ16">
      <text>
        <t xml:space="preserve">======
ID#AAAAwCqRWkI
      (2023-05-23 18:26:46)
Selects the correct written word from an array of 3 words, for 5 different words</t>
      </text>
    </comment>
    <comment authorId="0" ref="F17">
      <text>
        <t xml:space="preserve">======
ID#AAAAwCqRXRY
      (2023-05-23 18:26:46)
Spontaneously tacts 2 different social circumstances
(e.g., They are busy. They are arguing.)</t>
      </text>
    </comment>
    <comment authorId="0" ref="AO49">
      <text>
        <t xml:space="preserve">======
ID#AAAAwCqRXto
      (2023-05-23 18:26:46)
Selects an item from a book after being read a short passage and given an LRFFC question for 25 items
(e.g., What's above a roof?)</t>
      </text>
    </comment>
    <comment authorId="0" ref="AO16">
      <text>
        <t xml:space="preserve">======
ID#AAAAwCqRW6k
      (2023-05-23 18:26:46)
Selects items from a page in a book or in the natural environment based on 4 verbal components (verb, adjective, preposition, pronoun) 
for 25 LRFFC tasks
(e.g., Whose bed did Goldilocks sleep in?)</t>
      </text>
    </comment>
    <comment authorId="0" ref="K17">
      <text>
        <t xml:space="preserve">======
ID#AAAAwCqRXrk
      (2023-05-23 18:26:46)
Generalizes 5 adjectives to new nouns
(e.g., says, Sticky fly stuff when first encounters a fly trap)</t>
      </text>
    </comment>
    <comment authorId="0" ref="AT49">
      <text>
        <t xml:space="preserve">======
ID#AAAAwCqRW-A
      (2023-05-23 18:26:46)
Describes 5 locations not in view
(e.g., Tell me about your bedroom.)</t>
      </text>
    </comment>
    <comment authorId="0" ref="AT16">
      <text>
        <t xml:space="preserve">======
ID#AAAAwCqRWfg
      (2023-05-23 18:26:45)
Suggests a possible solution when presented with a problem</t>
      </text>
    </comment>
    <comment authorId="0" ref="P17">
      <text>
        <t xml:space="preserve">======
ID#AAAAwCqRXec
      (2023-05-23 18:26:46)
Places 3 pictures in the correct sequential order for 5 sets</t>
      </text>
    </comment>
    <comment authorId="0" ref="AY16">
      <text>
        <t xml:space="preserve">======
ID#AAAAwCqRXyU
      (2023-05-23 18:26:46)
Sits in a school assembly for 20 minutes without disruptive behavior</t>
      </text>
    </comment>
    <comment authorId="0" ref="U17">
      <text>
        <t xml:space="preserve">======
ID#AAAAwCqRW9s
      (2023-05-23 18:26:46)
Plays computer or video games and properly operates the equipment</t>
      </text>
    </comment>
    <comment authorId="0" ref="BD16">
      <text>
        <t xml:space="preserve">======
ID#AAAAwCqRW_k
      (2023-05-23 18:26:46)
Emits words that  describe the certainty of other words
(e.g., I think… I'm sure… maybe)</t>
      </text>
    </comment>
    <comment authorId="0" ref="Z17">
      <text>
        <t xml:space="preserve">======
ID#AAAAwCqRWz8
      (2023-05-23 18:26:46)
Spontaneously provides sympathy to a peer when hurt 2 times</t>
      </text>
    </comment>
    <comment authorId="0" ref="BI16">
      <text>
        <t xml:space="preserve">======
ID#AAAAwCqRWeQ
      (2023-05-23 18:26:45)
Correctly identifies 3 different coins, and intraverbally states what to do with money</t>
      </text>
    </comment>
    <comment authorId="0" ref="AE17">
      <text>
        <t xml:space="preserve">======
ID#AAAAwCqRXmA
      (2023-05-23 18:26:46)
Legibly writes 10 letters  or numbers when dictated</t>
      </text>
    </comment>
    <comment authorId="0" ref="B18">
      <text>
        <t xml:space="preserve">======
ID#AAAAwCqRW-E
      (2023-05-23 18:26:46)
Mands for attention to a private event 2 times 
(e.g., My stomach hurts.)</t>
      </text>
    </comment>
    <comment authorId="0" ref="AJ17">
      <text>
        <t xml:space="preserve">======
ID#AAAAwCqRXKA
      (2023-05-23 18:26:46)
Spells his own name without prompts</t>
      </text>
    </comment>
    <comment authorId="0" ref="F18">
      <text>
        <t xml:space="preserve">======
ID#AAAAwCqRXzg
      (2023-05-23 18:26:46)
Tacts 5 social, community, or group events 
(e.g., parade, party, emergency)</t>
      </text>
    </comment>
    <comment authorId="0" ref="AO17">
      <text>
        <t xml:space="preserve">======
ID#AAAAwCqRXF0
      (2023-05-23 18:26:46)
Selects an item from an array of 10 when asked Which one is not? in an LRFFC format, for 25 functions, features, or classes
(e.g., Which one is not a musical instrument?)</t>
      </text>
    </comment>
    <comment authorId="0" ref="K18">
      <text>
        <t xml:space="preserve">======
ID#AAAAwCqRWno
      (2023-05-23 18:26:46)
Correctly responds to 10 singular vs. plural tasks
(e.g., Touch the dog vs. Touch the dogs.)</t>
      </text>
    </comment>
    <comment authorId="0" ref="AT50">
      <text>
        <t xml:space="preserve">======
ID#AAAAwCqRW0I
      (2023-05-23 18:26:46)
Answers 25 questions with yes or no
(e.g., Is a shoe good to eat?)</t>
      </text>
    </comment>
    <comment authorId="0" ref="AT17">
      <text>
        <t xml:space="preserve">======
ID#AAAAwCqRXp8
      (2023-05-23 18:26:46)
Summarizes 5 different stories with at least 10 words</t>
      </text>
    </comment>
    <comment authorId="0" ref="P18">
      <text>
        <t xml:space="preserve">======
ID#AAAAwCqRW64
      (2023-05-23 18:26:46)
Completes an A-B pattern for 5 different picture patterns</t>
      </text>
    </comment>
    <comment authorId="0" ref="AY17">
      <text>
        <t xml:space="preserve">======
ID#AAAAwCR5j28
      (2023-05-23 18:26:45)
Completes 2 worksheets independently without prompts at a table with 3 other children</t>
      </text>
    </comment>
    <comment authorId="0" ref="U18">
      <text>
        <t xml:space="preserve">======
ID#AAAAwCqRWmU
      (2023-05-23 18:26:46)
Will engage in a non-preferred activity to earn a preferred activity</t>
      </text>
    </comment>
    <comment authorId="0" ref="BD17">
      <text>
        <t xml:space="preserve">======
ID#AAAAwCN6t50
      (2023-05-23 18:26:45)
Uses demonstratives in a sentence
(e.g., this, that, these, those)</t>
      </text>
    </comment>
    <comment authorId="0" ref="Z18">
      <text>
        <t xml:space="preserve">======
ID#AAAAwCqRWnU
      (2023-05-23 18:26:46)
Narrates the activity of a peer with at least 2 tacts, 2 times</t>
      </text>
    </comment>
    <comment authorId="0" ref="BI17">
      <text>
        <t xml:space="preserve">======
ID#AAAAwCqRXGQ
      (2023-05-23 18:26:46)
Intraverbally responds to what number is next for numbers 1-9</t>
      </text>
    </comment>
    <comment authorId="0" ref="AE18">
      <text>
        <t xml:space="preserve">======
ID#AAAAwCqRXcw
      (2023-05-23 18:26:46)
Draws recognizable pictures of 3 different items</t>
      </text>
    </comment>
    <comment authorId="0" ref="B52">
      <text>
        <t xml:space="preserve">======
ID#AAAAwCqRWsQ
      (2023-05-23 18:26:46)
Politely mands to stop an undesirable activity or remove any aversive MO under 5 different circumstances 
(e.g., Please stop pushing me. No thank you. Excuse me, can you more?)</t>
      </text>
    </comment>
    <comment authorId="0" ref="B19">
      <text>
        <t xml:space="preserve">======
ID#AAAAwCqRXJA
      (2023-05-23 18:26:46)
Mands for information about future events 2 times 
(e.g., When are we going to the party?)</t>
      </text>
    </comment>
    <comment authorId="0" ref="AJ18">
      <text>
        <t xml:space="preserve">======
ID#AAAAwCqRXSs
      (2023-05-23 18:26:46)
Discriminates as a listener between numbers and letters
(e.g., Which one is a letter?)</t>
      </text>
    </comment>
    <comment authorId="0" ref="F52">
      <text>
        <t xml:space="preserve">======
ID#AAAAwCqRXJQ
      (2023-05-23 18:26:46)
Tacts 4 different prepositions 
(e.g., in, out, on, under)
and 4 pronouns 
(e.g., I, you, me, mine)</t>
      </text>
    </comment>
    <comment authorId="0" ref="F19">
      <text>
        <t xml:space="preserve">======
ID#AAAAwCqRXtA
      (2023-05-23 18:26:46)
Tacts with 2 different negation words 5 times
(e.g., That's not a cat.)</t>
      </text>
    </comment>
    <comment authorId="0" ref="K52">
      <text>
        <t xml:space="preserve">======
ID#AAAAwCqRXGg
      (2023-05-23 18:26:46)
Follows 2 instructions involving 6 different prepositions
(e.g., Stand behind the chair.)
and 4 different pronouns
(e.g., Touch my ear.)</t>
      </text>
    </comment>
    <comment authorId="0" ref="AO18">
      <text>
        <t xml:space="preserve">======
ID#AAAAwCqRWxk
      (2023-05-23 18:26:46)
Selects an item from an array of 10 when asked Which one can't…? in an LRFFC format for 10 items
(e.g., Which one can't fly?)</t>
      </text>
    </comment>
    <comment authorId="0" ref="K19">
      <text>
        <t xml:space="preserve">======
ID#AAAAwCqRXOQ
      (2023-05-23 18:26:46)
Discriminates 5 attributes of peers in a small group 
(e.g., Who is wearing blue shoes? Who has red hair? Who is wearing glasses?)</t>
      </text>
    </comment>
    <comment authorId="0" ref="AT18">
      <text>
        <t xml:space="preserve">======
ID#AAAAwCqRW28
      (2023-05-23 18:26:46)
Describes 5 events that will happen in the future</t>
      </text>
    </comment>
    <comment authorId="0" ref="P52">
      <text>
        <t xml:space="preserve">======
ID#AAAAwCqRWgQ
      (2023-05-23 18:26:45)
Demonstrates generalized non-identical matching in a messy array of 10 with 3 similar stimuli, for 25 items 
(i.e., matches new items on the first trial)</t>
      </text>
    </comment>
    <comment authorId="0" ref="P19">
      <text>
        <t xml:space="preserve">======
ID#AAAAwCqRWoY
      (2023-05-23 18:26:46)
Completes an A-B pattern for 5 different color or shape patterns</t>
      </text>
    </comment>
    <comment authorId="0" ref="U52">
      <text>
        <t xml:space="preserve">======
ID#AAAAwCqRWiw
      (2023-05-23 18:26:46)
Repeats a gross motor behavior to obtain a better effect for 2 activities 
(e.g., throwing a ball in a basket, swinging a bat at a T-ball, foot stomping to launch a rocket, etc.)</t>
      </text>
    </comment>
    <comment authorId="0" ref="AY18">
      <text>
        <t xml:space="preserve">======
ID#AAAAwCqRXAg
      (2023-05-23 18:26:46)
Raises hand to indicate he knows the answer to a question during a group activity</t>
      </text>
    </comment>
    <comment authorId="0" ref="U19">
      <text>
        <t xml:space="preserve">======
ID#AAAAwCqRWk0
      (2023-05-23 18:26:46)
Spontaneously assists in daily activities 
(e.g., setting the table, planting seeds in a garden, sorting socks)</t>
      </text>
    </comment>
    <comment authorId="0" ref="BD18">
      <text>
        <t xml:space="preserve">======
ID#AAAAwCqRXTs
      (2023-05-23 18:26:46)
Uses quantification in a sentence
(e.g., always, never, sometimes)</t>
      </text>
    </comment>
    <comment authorId="0" ref="Z52">
      <text>
        <t xml:space="preserve">======
ID#AAAAwCqRWwA
      (2023-05-23 18:26:46)
Spontaneously mands to peers with a WH question 5 times
(e.g., Where are you going? What's that? Who are you being?)</t>
      </text>
    </comment>
    <comment authorId="0" ref="Z19">
      <text>
        <t xml:space="preserve">======
ID#AAAAwCqRXhU
      (2023-05-23 18:26:46)
Attends to a peer telling a story for 10 seconds, 2 times</t>
      </text>
    </comment>
    <comment authorId="0" ref="BI18">
      <text>
        <t xml:space="preserve">======
ID#AAAAwCqRXF8
      (2023-05-23 18:26:46)
Correctly identifies and tacts morning-time and night-time</t>
      </text>
    </comment>
    <comment authorId="0" ref="AE52">
      <text>
        <t xml:space="preserve">======
ID#AAAAwCqRXOw
      (2023-05-23 18:26:46)
Independently traces within 1/4 inch of the lines of 5 different geometrical shapes
(e.g., circle, square, triangle, rectangle, star)</t>
      </text>
    </comment>
    <comment authorId="0" ref="B53">
      <text>
        <t xml:space="preserve">======
ID#AAAAwCqRW08
      (2023-05-23 18:26:46)
Mands for others to participate in an activity 2 times 
(e.g., Come play. Help dig.)</t>
      </text>
    </comment>
    <comment authorId="0" ref="B20">
      <text>
        <t xml:space="preserve">======
ID#AAAAwCqRXeY
      (2023-05-23 18:26:46)
Mands contain 5-word phrases or sentences 10 times</t>
      </text>
    </comment>
    <comment authorId="0" ref="AJ52">
      <text>
        <t xml:space="preserve">======
ID#AAAAwCqRXFM
      (2023-05-23 18:26:46)
Selects the correct uppercase letter from an array of 5 letters, for 10 different letters</t>
      </text>
    </comment>
    <comment authorId="0" ref="F53">
      <text>
        <t xml:space="preserve">======
ID#AAAAwCqRXmc
      (2023-05-23 18:26:46)
Generalizes feature, function, and class tacting to 10 new members of each set
(e.g., after training cow, bird, and monkey as animals, the child tacts a bear as an animal on the first trial)</t>
      </text>
    </comment>
    <comment authorId="0" ref="AJ19">
      <text>
        <t xml:space="preserve">======
ID#AAAAwCqRXh4
      (2023-05-23 18:26:46)
Matches 10 lowercase letters to uppercase letters</t>
      </text>
    </comment>
    <comment authorId="0" ref="F20">
      <text>
        <t xml:space="preserve">======
ID#AAAAwCqRXxA
      (2023-05-23 18:26:46)
Tacts 5 community helpers
(e.g., policeman, fireman, nurse, doctor, garbage man)</t>
      </text>
    </comment>
    <comment authorId="0" ref="AO52">
      <text>
        <t xml:space="preserve">======
ID#AAAAwCN6t5A
      (2023-05-23 18:26:45)
Selects an item from a book based on 2 verbal components: either a feature, function, or class for 25 items
(e.g., Do you see a brown animal? 
Can you find some clothing with buttons?)</t>
      </text>
    </comment>
    <comment authorId="0" ref="AO19">
      <text>
        <t xml:space="preserve">======
ID#AAAAwCqRXNo
      (2023-05-23 18:26:46)
Selects an item relating to future events, for 5 events
(e.g., What's happening tomorrow?)</t>
      </text>
    </comment>
    <comment authorId="0" ref="K53">
      <text>
        <t xml:space="preserve">======
ID#AAAAwCqRXC4
      (2023-05-23 18:26:46)
Demonstrates actions modified by 2 different adverbs 
(e.g., Walk slow. Walk fast.)</t>
      </text>
    </comment>
    <comment authorId="0" ref="K20">
      <text>
        <t xml:space="preserve">======
ID#AAAAwCqRXZA
      (2023-05-23 18:26:46)
Discriminates among items given negation words for 10 tasks 
(e.g., Which one is not a food?)</t>
      </text>
    </comment>
    <comment authorId="0" ref="AT52">
      <text>
        <t xml:space="preserve">======
ID#AAAAwCqRWhU
      (2023-05-23 18:26:46)
Demonstrates 300 different intraverbal responses</t>
      </text>
    </comment>
    <comment authorId="0" ref="P53">
      <text>
        <t xml:space="preserve">======
ID#AAAAwCqRXag
      (2023-05-23 18:26:46)
Matches a 3D block design with 4 blocks
(e.g., a house, tower)</t>
      </text>
    </comment>
    <comment authorId="0" ref="AT19">
      <text>
        <t xml:space="preserve">======
ID#AAAAwCqRXYQ
      (2023-05-23 18:26:46)
Describes 5 events that happened in the past</t>
      </text>
    </comment>
    <comment authorId="0" ref="AY52">
      <text>
        <t xml:space="preserve">======
ID#AAAAwCqRXcM
      (2023-05-23 18:26:46)
Responds to 5 different group instructions or questions without direct verbal prompts in a group of 3 or more children
(e.g., Everybody stand up. Does anyone have a red shirt on?)</t>
      </text>
    </comment>
    <comment authorId="0" ref="U53">
      <text>
        <t xml:space="preserve">======
ID#AAAAwCqRXd8
      (2023-05-23 18:26:46)
Accepts direction from a peer when playing in the same area</t>
      </text>
    </comment>
    <comment authorId="0" ref="AY19">
      <text>
        <t xml:space="preserve">======
ID#AAAAwCqRXR0
      (2023-05-23 18:26:46)
Keeps hands to self in a group setting</t>
      </text>
    </comment>
    <comment authorId="0" ref="U20">
      <text>
        <t xml:space="preserve">======
ID#AAAAwCN6t6A
      (2023-05-23 18:26:45)
Demonstrates a willingness to try physical activities that are more challenging
(e.g., ride a bike with training wheels, in-line skates, hitting a golf ball with a club)</t>
      </text>
    </comment>
    <comment authorId="0" ref="BD52">
      <text>
        <t xml:space="preserve">======
ID#AAAAwCqRWeI
      (2023-05-23 18:26:45)
Emits verb inflections by combining 10 root verbs with affixes for regular past tense
(e.g., played)
and 10 root verbs with affixes for future tense
(e.g., will play)</t>
      </text>
    </comment>
    <comment authorId="0" ref="BD19">
      <text>
        <t xml:space="preserve">======
ID#AAAAwCqRXnE
      (2023-05-23 18:26:46)
Pronouns agree with number
(e.g., the boy splashed himself vs. the boy splashed themselves)</t>
      </text>
    </comment>
    <comment authorId="0" ref="Z53">
      <text>
        <t xml:space="preserve">======
ID#AAAAwCqRXCY
      (2023-05-23 18:26:46)
Engages in at least 3 verbal exchanges with a peer</t>
      </text>
    </comment>
    <comment authorId="0" ref="Z20">
      <text>
        <t xml:space="preserve">======
ID#AAAAwCqRXKM
      (2023-05-23 18:26:46)
Demonstrates coping behavior when a peer takes a reinforcer 2 times</t>
      </text>
    </comment>
    <comment authorId="0" ref="BI52">
      <text>
        <t xml:space="preserve">======
ID#AAAAwCqRXhY
      (2023-05-23 18:26:46)
Tacts the numbers 1-5</t>
      </text>
    </comment>
    <comment authorId="0" ref="BI19">
      <text>
        <t xml:space="preserve">======
ID#AAAAwCqRXLc
      (2023-05-23 18:26:46)
Correctly identifies the ordinal terms "first" and "last"</t>
      </text>
    </comment>
    <comment authorId="0" ref="AE53">
      <text>
        <t xml:space="preserve">======
ID#AAAAwCqRXME
      (2023-05-23 18:26:46)
Copies 5 different lines and shapes together</t>
      </text>
    </comment>
    <comment authorId="0" ref="B54">
      <text>
        <t xml:space="preserve">======
ID#AAAAwCqRXLQ
      (2023-05-23 18:26:46)
Demonstrates MO generalization by asking for 2 different reinforcers with the same words 
(e.g., when wanting attention saying, let's draw, and when waiting to get out of work saying let's draw)</t>
      </text>
    </comment>
    <comment authorId="0" ref="AJ53">
      <text>
        <t xml:space="preserve">======
ID#AAAAwCqRWzA
      (2023-05-23 18:26:46)
Matches to sample all uppercase letters</t>
      </text>
    </comment>
    <comment authorId="0" ref="F54">
      <text>
        <t xml:space="preserve">======
ID#AAAAwCqRWyo
      (2023-05-23 18:26:46)
Spontaneously tacts the function, feature, or class of an item for 5 items 
(e.g., That goes in the swimming pool.)</t>
      </text>
    </comment>
    <comment authorId="0" ref="AJ20">
      <text>
        <t xml:space="preserve">======
ID#AAAAwCqRWio
      (2023-05-23 18:26:46)
Tacts most uppercase letters 
(But may confuse those that look similar like M and N or P and R)</t>
      </text>
    </comment>
    <comment authorId="0" ref="F21">
      <text>
        <t xml:space="preserve">======
ID#AAAAwCqRXV8
      (2023-05-23 18:26:46)
Tacts using 5 frequently used gestures that have a verbal function
(e.g., pinching their nose for a bad smell, finger over the lips for quiet, thumbs up for a good job, a fake yawn for being tired</t>
      </text>
    </comment>
    <comment authorId="0" ref="AO53">
      <text>
        <t xml:space="preserve">======
ID#AAAAwCqRW4I
      (2023-05-23 18:26:46)
Selects an item from an array of 10 given any adjective (not color or shape) and a feature for 25 LRFFC tasks
(e.g., It's soft and has ears… rabbit)</t>
      </text>
    </comment>
    <comment authorId="0" ref="AO20">
      <text>
        <t xml:space="preserve">======
ID#AAAAwCqRXwA
      (2023-05-23 18:26:46)
Selects an item from an array of 10 relating to past events, for 5 events 
(e.g., Where did you go yesterday?)</t>
      </text>
    </comment>
    <comment authorId="0" ref="K54">
      <text>
        <t xml:space="preserve">======
ID#AAAAwCqRWxo
      (2023-05-23 18:26:46)
Discriminates between males and females given a pronoun
(e.g., he and she)</t>
      </text>
    </comment>
    <comment authorId="0" ref="AT53">
      <text>
        <t xml:space="preserve">======
ID#AAAAwCqRWps
      (2023-05-23 18:26:46)
Provides at least 25 3+ word responses to questions
(e.g., when asked What do you like to play? The child responds I like to play with cars?)</t>
      </text>
    </comment>
    <comment authorId="0" ref="P54">
      <text>
        <t xml:space="preserve">======
ID#AAAAwCqRWp8
      (2023-05-23 18:26:46)
Completes a 6-component block design with a 2D sample and 3D blocks for 8 designs</t>
      </text>
    </comment>
    <comment authorId="0" ref="AT20">
      <text>
        <t xml:space="preserve">======
ID#AAAAwCqRWd0
      (2023-05-23 18:26:45)
Shows response generalization by describing the same 10 objects, events, pets, people, etc. in 3 different ways
(e.g., in reference to a pet dog Toby, the child says at different times, a dog, an animal, Toby)</t>
      </text>
    </comment>
    <comment authorId="0" ref="AY53">
      <text>
        <t xml:space="preserve">======
ID#AAAAwCqRXok
      (2023-05-23 18:26:46)
Stays on task for 1 minute during an arts and crafts activity when an adult leaves the table</t>
      </text>
    </comment>
    <comment authorId="0" ref="U54">
      <text>
        <t xml:space="preserve">======
ID#AAAAwCqRWzE
      (2023-05-23 18:26:46)
Independently sits and looks at a book for 5 minutes</t>
      </text>
    </comment>
    <comment authorId="0" ref="AY20">
      <text>
        <t xml:space="preserve">======
ID#AAAAwCqRWuc
      (2023-05-23 18:26:46)
Sits back down when his turn is over without prompts</t>
      </text>
    </comment>
    <comment authorId="0" ref="BD53">
      <text>
        <t xml:space="preserve">======
ID#AAAAwCqRWhk
      (2023-05-23 18:26:46)
Emits resent participle inflection with "verb-ing"
(e.g., running, playing, swimming)</t>
      </text>
    </comment>
    <comment authorId="0" ref="Z54">
      <text>
        <t xml:space="preserve">======
ID#AAAAwCqRWsU
      (2023-05-23 18:26:46)
Has a "best friend"
(i.e., will repeatedly play with a specific child)</t>
      </text>
    </comment>
    <comment authorId="0" ref="BD20">
      <text>
        <t xml:space="preserve">======
ID#AAAAwCqRWhQ
      (2023-05-23 18:26:46)
Pronouns agree with gender
(e.g., the boy splashed himself vs. the boy splashed herself)</t>
      </text>
    </comment>
    <comment authorId="0" ref="Z21">
      <text>
        <t xml:space="preserve">======
ID#AAAAwCqRXPE
      (2023-05-23 18:26:46)
Engages in a verbal exchange with two or more peers in one setting 2 times</t>
      </text>
    </comment>
    <comment authorId="0" ref="BI53">
      <text>
        <t xml:space="preserve">======
ID#AAAAwCqRXIU
      (2023-05-23 18:26:46)
Counts 2 items with 1:1 correspondence</t>
      </text>
    </comment>
    <comment authorId="0" ref="AE54">
      <text>
        <t xml:space="preserve">======
ID#AAAAwCqRWyg
      (2023-05-23 18:26:46)
Draws a line on paper from point A to point B within 1 inch of the center of a 6 inch curved path</t>
      </text>
    </comment>
    <comment authorId="0" ref="BI20">
      <text>
        <t xml:space="preserve">======
ID#AAAAwCqRWg0
      (2023-05-23 18:26:46)
Completes a sequence or pattern containing 2 elements 
(e.g., red-green; red-green…)</t>
      </text>
    </comment>
    <comment authorId="0" ref="B55">
      <text>
        <t xml:space="preserve">======
ID#AAAAwCqRXAs
      (2023-05-23 18:26:46)
Says please and thank you with indirect adult verbal prompts
(e.g., What do you say?)</t>
      </text>
    </comment>
    <comment authorId="0" ref="AJ54">
      <text>
        <t xml:space="preserve">======
ID#AAAAwCqRWic
      (2023-05-23 18:26:46)
Tacts pictures in books while an adult reads the story</t>
      </text>
    </comment>
    <comment authorId="0" ref="AJ21">
      <text>
        <t xml:space="preserve">======
ID#AAAAwCqRWzU
      (2023-05-23 18:26:46)
Indicates if 2 word rhyme or not for 10 different rhymes
(e.g., cat and hat vs. cat and book)</t>
      </text>
    </comment>
    <comment authorId="0" ref="F55">
      <text>
        <t xml:space="preserve">======
ID#AAAAwCqRWfk
      (2023-05-23 18:26:45)
Tacts people with 2 different pronouns 
(e.g., Who has the hat on? …you do)</t>
      </text>
    </comment>
    <comment authorId="0" ref="F22">
      <text>
        <t xml:space="preserve">======
ID#AAAAwCqRXcQ
      (2023-05-23 18:26:46)
Tacts 3 emotional states of self or others 
(e.g., sad, happy, mad)</t>
      </text>
    </comment>
    <comment authorId="0" ref="AO54">
      <text>
        <t xml:space="preserve">======
ID#AAAAwCqRWok
      (2023-05-23 18:26:46)
Selects an item from an array for 10 given an adjective (not color or shape) and a function for 25 LRFFC tasks
(e.g., it's hot and you eat it… spaghetti)</t>
      </text>
    </comment>
    <comment authorId="0" ref="K55">
      <text>
        <t xml:space="preserve">======
ID#AAAAwCqRW4c
      (2023-05-23 18:26:46)
Discriminates between the genders for girl and boy and man and woman
(e.g., Where's the girl?)</t>
      </text>
    </comment>
    <comment authorId="0" ref="AT54">
      <text>
        <t xml:space="preserve">======
ID#AAAAwCqRW4g
      (2023-05-23 18:26:46)
Provides an answer to 3 emotion questions
(e.g., What makes you sad? What makes you happy?)</t>
      </text>
    </comment>
    <comment authorId="0" ref="AT21">
      <text>
        <t xml:space="preserve">======
ID#AAAAwCqRXk4
      (2023-05-23 18:26:46)
Answers 25 intraverbal questions involving adverbs
(e.g., What animal moves slow?)</t>
      </text>
    </comment>
    <comment authorId="0" ref="P55">
      <text>
        <t xml:space="preserve">======
ID#AAAAwCqRXgg
      (2023-05-23 18:26:46)
Matches non-identical items with a 5-second delay to the comparison in a messy array of 6
(e.g., show the child a tiger, then remove the tiger, wait 5 seconds, and present the array)</t>
      </text>
    </comment>
    <comment authorId="0" ref="AY54">
      <text>
        <t xml:space="preserve">======
ID#AAAAwCqRXnQ
      (2023-05-23 18:26:46)
Puts away toys and material when prompted to do so</t>
      </text>
    </comment>
    <comment authorId="0" ref="U55">
      <text>
        <t xml:space="preserve">======
ID#AAAAwCqRXWc
      (2023-05-23 18:26:46)
Colors in a picture in a coloring book or on paper</t>
      </text>
    </comment>
    <comment authorId="0" ref="AY21">
      <text>
        <t xml:space="preserve">======
ID#AAAAwCqRW2g
      (2023-05-23 18:26:46)
Verbally interacts with peers 3 times in a table-top group activity</t>
      </text>
    </comment>
    <comment authorId="0" ref="BD54">
      <text>
        <t xml:space="preserve">======
ID#AAAAwCqRXrA
      (2023-05-23 18:26:46)
Emits some irregular past tense verbs appropriately
(e.g., dug, ran, built)</t>
      </text>
    </comment>
    <comment authorId="0" ref="BD21">
      <text>
        <t xml:space="preserve">======
ID#AAAAwCqRXcY
      (2023-05-23 18:26:46)
Demonstrates a MLU of 5 morphemes
(e.g., She pushed him down.)</t>
      </text>
    </comment>
    <comment authorId="0" ref="Z55">
      <text>
        <t xml:space="preserve">======
ID#AAAAwCqRWgg
      (2023-05-23 18:26:45)
Spontaneously mands using who evoked by an unknown person 2 times</t>
      </text>
    </comment>
    <comment authorId="0" ref="Z22">
      <text>
        <t xml:space="preserve">======
ID#AAAAwCqRWwo
      (2023-05-23 18:26:46)
Engages in at least 3 verbal exchanges with a peer 2 times</t>
      </text>
    </comment>
    <comment authorId="0" ref="BI54">
      <text>
        <t xml:space="preserve">======
ID#AAAAwCqRXAw
      (2023-05-23 18:26:46)
Distinguishes between 1, 2, and 3 items as a listener
(e.g., Can you find 3 flowers?)</t>
      </text>
    </comment>
    <comment authorId="0" ref="BI21">
      <text>
        <t xml:space="preserve">======
ID#AAAAwCqRXHA
      (2023-05-23 18:26:46)
Performs an action a specified number of times up to 5
(e.g., Clap 3 times)</t>
      </text>
    </comment>
    <comment authorId="0" ref="AE55">
      <text>
        <t xml:space="preserve">======
ID#AAAAwCqRXJs
      (2023-05-23 18:26:46)
Copies 3 different shapes when given a sample</t>
      </text>
    </comment>
    <comment authorId="0" ref="B56">
      <text>
        <t xml:space="preserve">======
ID#AAAAwCqRXf0
      (2023-05-23 18:26:46)
Mands for others to perform a two-step action 2 times 
(e.g., Come here and watch me.)</t>
      </text>
    </comment>
    <comment authorId="0" ref="AJ55">
      <text>
        <t xml:space="preserve">======
ID#AAAAwCqRXSY
      (2023-05-23 18:26:46)
Has a favorite book, and can provide the name of it by seeing the pictures on the cover</t>
      </text>
    </comment>
    <comment authorId="0" ref="F56">
      <text>
        <t xml:space="preserve">======
ID#AAAAwCqRXTc
      (2023-05-23 18:26:46)
Tacts 2 prepositional relations
(e.g., Where is Oscar? …in the garbage can)</t>
      </text>
    </comment>
    <comment authorId="0" ref="AO55">
      <text>
        <t xml:space="preserve">======
ID#AAAAwCqRXao
      (2023-05-23 18:26:46)
Selects an item from an array of 10 given a feature and a class for 25 LRFFC tasks
(e.g., Where's a vehicle with wheels? Where's a vehicle with wings?)</t>
      </text>
    </comment>
    <comment authorId="0" ref="K56">
      <text>
        <t xml:space="preserve">======
ID#AAAAwCqRWgs
      (2023-05-23 18:26:46)
Selects items from an array of similar stimuli based on an adjective
(e.g., Touch the little bird.)</t>
      </text>
    </comment>
    <comment authorId="0" ref="AT55">
      <text>
        <t xml:space="preserve">======
ID#AAAAwCqRWv0
      (2023-05-23 18:26:46)
Provides 2 features of 10 items when given their names
(e.g., What's on a fire truck?)</t>
      </text>
    </comment>
    <comment authorId="0" ref="P56">
      <text>
        <t xml:space="preserve">======
ID#AAAAwCqRXug
      (2023-05-23 18:26:46)
Sorts 5 related items from 3 different categories with a sample 
(e.g., pulls all the vehicles out of a bin of toys)</t>
      </text>
    </comment>
    <comment authorId="0" ref="AT22">
      <text>
        <t xml:space="preserve">======
ID#AAAAwCqRXe0
      (2023-05-23 18:26:46)
Provides last name when asked</t>
      </text>
    </comment>
    <comment authorId="0" ref="AY55">
      <text>
        <t xml:space="preserve">======
ID#AAAAwCqRXmE
      (2023-05-23 18:26:46)
Uses classroom materials as designed
(e.g., glue, scissors, crayons, paper)</t>
      </text>
    </comment>
    <comment authorId="0" ref="U56">
      <text>
        <t xml:space="preserve">======
ID#AAAAwCqRXbI
      (2023-05-23 18:26:46)
Brings an assembly activity to completion
(e.g., builds a structure out of blocks, strings beads to make a necklace and wears it)</t>
      </text>
    </comment>
    <comment authorId="0" ref="AY22">
      <text>
        <t xml:space="preserve">======
ID#AAAAwCqRXLk
      (2023-05-23 18:26:46)
Meets some of his own self-care needs without prompts
(e.g., wipes nose, puts on coat)</t>
      </text>
    </comment>
    <comment authorId="0" ref="BD55">
      <text>
        <t xml:space="preserve">======
ID#AAAAwCqRWek
      (2023-05-23 18:26:45)
Emits conjunctions to combine words and phrases
(e.g., and, or, but)</t>
      </text>
    </comment>
    <comment authorId="0" ref="BD22">
      <text>
        <t xml:space="preserve">======
ID#AAAAwCqRXE8
      (2023-05-23 18:26:46)
Emits different noun and verb phrases connected by conjunctions
(e.g., and, or, but, yet)</t>
      </text>
    </comment>
    <comment authorId="0" ref="Z56">
      <text>
        <t xml:space="preserve">======
ID#AAAAwCqRWxM
      (2023-05-23 18:26:46)
Spontaneously mands using what related to the behavior of a peer 2 times</t>
      </text>
    </comment>
    <comment authorId="0" ref="BI55">
      <text>
        <t xml:space="preserve">======
ID#AAAAwCR5j2k
      (2023-05-23 18:26:45)
Holds up corresponding fingers for numbers 1-5
(e.g., Show me 2 fingers)</t>
      </text>
    </comment>
    <comment authorId="0" ref="AE56">
      <text>
        <t xml:space="preserve">======
ID#AAAAwCqRXfA
      (2023-05-23 18:26:46)
Traces 3 different shapes and stays within 1 inch of the lines</t>
      </text>
    </comment>
    <comment authorId="0" ref="B57">
      <text>
        <t xml:space="preserve">======
ID#AAAAwCqRXtc
      (2023-05-23 18:26:46)
Mands to remove an aversive item or activity 2 times 
(e.g., Let go. Give it back.)</t>
      </text>
    </comment>
    <comment authorId="0" ref="AJ56">
      <text>
        <t xml:space="preserve">======
ID#AAAAwCqRXMM
      (2023-05-23 18:26:46)
Recites 5 letters from the alphabet with a starting prompt 
(e.g., A B…)</t>
      </text>
    </comment>
    <comment authorId="0" ref="F57">
      <text>
        <t xml:space="preserve">======
ID#AAAAwCqRWh0
      (2023-05-23 18:26:46)
Tacts the class and function of 10 items 
(e.g., show the child a cookie and say, What do you do with this? And then say to him, A cookie is a type of…)</t>
      </text>
    </comment>
    <comment authorId="0" ref="AO56">
      <text>
        <t xml:space="preserve">======
ID#AAAAwCqRWus
      (2023-05-23 18:26:46)
Selects an item from an array of 10 given a function and a class for 25 LRFFC tasks
(e.g., Find something to color on from the art cabinet.)</t>
      </text>
    </comment>
    <comment authorId="0" ref="K57">
      <text>
        <t xml:space="preserve">======
ID#AAAAwCqRWws
      (2023-05-23 18:26:46)
Goes to 5 different locations and retrieves specific objects 
(e.g., Go to the kitchen and get a cup.)</t>
      </text>
    </comment>
    <comment authorId="0" ref="AT56">
      <text>
        <t xml:space="preserve">======
ID#AAAAwCqRXFQ
      (2023-05-23 18:26:46)
Provides the name of 25 items when given a specific feature
(e.g., What has wheels?)</t>
      </text>
    </comment>
    <comment authorId="0" ref="AT23">
      <text>
        <t xml:space="preserve">======
ID#AAAAwCqRWqE
      (2023-05-23 18:26:46)
Answers 5 different how questions
(e.g., How do you fix the hole?)</t>
      </text>
    </comment>
    <comment authorId="0" ref="AY56">
      <text>
        <t xml:space="preserve">======
ID#AAAAwCqRWzI
      (2023-05-23 18:26:46)
Raises hand to take a turn in a group setting 
(e.g., Who wants to pick a song?)</t>
      </text>
    </comment>
    <comment authorId="0" ref="AY23">
      <text>
        <t xml:space="preserve">======
ID#AAAAwCqRWo0
      (2023-05-23 18:26:46)
Focuses on a task despite disruptions in the room</t>
      </text>
    </comment>
    <comment authorId="0" ref="BD56">
      <text>
        <t xml:space="preserve">======
ID#AAAAwCqRW5Q
      (2023-05-23 18:26:46)
Uses is and am appropriately with verbs
(e.g., I am eating. The dog is barking.)</t>
      </text>
    </comment>
    <comment authorId="0" ref="Z57">
      <text>
        <t xml:space="preserve">======
ID#AAAAwCqRXfU
      (2023-05-23 18:26:46)
Spontaneously mands using where for the location of a missing peer 2 times</t>
      </text>
    </comment>
    <comment authorId="0" ref="BI56">
      <text>
        <t xml:space="preserve">======
ID#AAAAwCqRWs0
      (2023-05-23 18:26:46)
Distinguishes between 1 and 2 items as a tact
(e.g., How many shoes do you have?)</t>
      </text>
    </comment>
    <comment authorId="0" ref="AE57">
      <text>
        <t xml:space="preserve">======
ID#AAAAwCqRXeM
      (2023-05-23 18:26:46)
Imitates drawing a square and triangle</t>
      </text>
    </comment>
    <comment authorId="0" ref="AJ57">
      <text>
        <t xml:space="preserve">======
ID#AAAAwCqRXFA
      (2023-05-23 18:26:46)
Completes an ABC inset puzzle without prompts</t>
      </text>
    </comment>
    <comment authorId="0" ref="F58">
      <text>
        <t xml:space="preserve">======
ID#AAAAwCqRXlQ
      (2023-05-23 18:26:46)
Tacts what's wrong or missing from 10 pictures or objects
(e.g., a face without a nose)</t>
      </text>
    </comment>
    <comment authorId="0" ref="AO57">
      <text>
        <t xml:space="preserve">======
ID#AAAAwCqRXFw
      (2023-05-23 18:26:46)
Selects an item from an array of 10 given a shape and class for 25 items
(e.g., a round food)</t>
      </text>
    </comment>
    <comment authorId="0" ref="K58">
      <text>
        <t xml:space="preserve">======
ID#AAAAwCqRXkg
      (2023-05-23 18:26:46)
Follows instructions to take an item to 5 different location 
(e.g., Take the tray to the sink.)</t>
      </text>
    </comment>
    <comment authorId="0" ref="AT57">
      <text>
        <t xml:space="preserve">======
ID#AAAAwCqRWpI
      (2023-05-23 18:26:46)
Provides 10 categories when given several members
(e.g., a horse, cow, and pig are all…)</t>
      </text>
    </comment>
    <comment authorId="0" ref="AT24">
      <text>
        <t xml:space="preserve">======
ID#AAAAwCqRWkg
      (2023-05-23 18:26:46)
Takes turns adding to a story started by others
(e.g., And then he saw a boat…)</t>
      </text>
    </comment>
    <comment authorId="0" ref="Z58">
      <text>
        <t xml:space="preserve">======
ID#AAAAwCqRXXE
      (2023-05-23 18:26:46)
Spontaneously imitates a peer's behavior in a pretend play activity 2 times</t>
      </text>
    </comment>
    <comment authorId="0" ref="AE58">
      <text>
        <t xml:space="preserve">======
ID#AAAAwCqRWqY
      (2023-05-23 18:26:46)
Demonstrates a proper grip on a writing instrument</t>
      </text>
    </comment>
    <comment authorId="0" ref="F59">
      <text>
        <t xml:space="preserve">======
ID#AAAAwCqRW6E
      (2023-05-23 18:26:46)
Tacts the class of 25 items 
(e.g., an adult points to a dog and says A dog is an…)</t>
      </text>
    </comment>
    <comment authorId="0" ref="AO58">
      <text>
        <t xml:space="preserve">======
ID#AAAAwCqRXT8
      (2023-05-23 18:26:46)
Selects an item from an array of 10 given a color and class for 25 items
(e.g., a yellow animal)</t>
      </text>
    </comment>
    <comment authorId="0" ref="AT58">
      <text>
        <t xml:space="preserve">======
ID#AAAAwCqRXo8
      (2023-05-23 18:26:46)
Answers 25 multiple choice questions 
(e.g., Does a fish live in the water or in trees?)</t>
      </text>
    </comment>
    <comment authorId="0" ref="AT25">
      <text>
        <t xml:space="preserve">======
ID#AAAAwCqRWhA
      (2023-05-23 18:26:46)
Answers 25 different questions that contain 4 or more parts of speech
(e.g., What tool do you need to pound nails?)</t>
      </text>
    </comment>
    <comment authorId="0" ref="AT59">
      <text>
        <t xml:space="preserve">======
ID#AAAAwCqRWhI
      (2023-05-23 18:26:46)
Provides at least 3 members of 10 classes 
(e.g., What do you see on a playground?)</t>
      </text>
    </comment>
    <comment authorId="0" ref="AT26">
      <text>
        <t xml:space="preserve">======
ID#AAAAwCqRWmY
      (2023-05-23 18:26:46)
Answers 10 questions about community helpers
(e.g., What does a doctor do?)</t>
      </text>
    </comment>
    <comment authorId="0" ref="B61">
      <text>
        <t xml:space="preserve">======
ID#AAAAwCqRXrs
      (2023-05-23 18:26:46)
Spontaneously mands for different verbal information using a WH question or question word 5 times 
(e.g., What's your name? Where do I go?)</t>
      </text>
    </comment>
    <comment authorId="0" ref="B28">
      <text>
        <t xml:space="preserve">======
ID#AAAAwCqRXgM
      (2023-05-23 18:26:46)
Gives directions, instructions, or explanations as to how to do something or how to participate in an activity 5 times 
(e.g., You put the glue on first, then stick it. You sit here while I get a book.)</t>
      </text>
    </comment>
    <comment authorId="0" ref="F61">
      <text>
        <t xml:space="preserve">======
ID#AAAAwCqRWxU
      (2023-05-23 18:26:46)
Tacts the color, shape, and function of 5 objects when each object and question is presented in a mixed order
(e.g., What color is the refrigerator? What shape is the valentine? What do you do with the ball?)</t>
      </text>
    </comment>
    <comment authorId="0" ref="F28">
      <text>
        <t xml:space="preserve">======
ID#AAAAwCqRWtc
      (2023-05-23 18:26:46)
Tacts with complete sentences containing 4 or more words, 20 times</t>
      </text>
    </comment>
    <comment authorId="0" ref="K61">
      <text>
        <t xml:space="preserve">======
ID#AAAAwCqRXO4
      (2023-05-23 18:26:46)
Selects items by color and shape from an array of 6 similar stimuli, for 4 colors and 4 shapes 
(e.g., Find the red car. Find the square cracker.)</t>
      </text>
    </comment>
    <comment authorId="0" ref="K28">
      <text>
        <t xml:space="preserve">======
ID#AAAAwCqRXdc
      (2023-05-23 18:26:46)
Follows 3-step directions for 10 different directions 
(e.g., Get your coat, hang it up, and sit down.)</t>
      </text>
    </comment>
    <comment authorId="0" ref="P61">
      <text>
        <t xml:space="preserve">======
ID#AAAAwCqRW60
      (2023-05-23 18:26:46)
Spontaneously matches any part of an arts and crafts activity to another person's sample 2 times 
(e.g., a peer colors a balloon red and the child copies the peer's red color for his balloon)</t>
      </text>
    </comment>
    <comment authorId="0" ref="P28">
      <text>
        <t xml:space="preserve">======
ID#AAAAwCqRXIQ
      (2023-05-23 18:26:46)
Sorts 5 items from 5 different categories without a model
(e.g., animals, clothing, furniture)</t>
      </text>
    </comment>
    <comment authorId="0" ref="U61">
      <text>
        <t xml:space="preserve">======
ID#AAAAwCqRW-k
      (2023-05-23 18:26:46)
Spontaneously engages in pretend or imaginary play on 5 occasions 
(e.g., dressing up, a pretend party, with stuffed animals, pretends to cook</t>
      </text>
    </comment>
    <comment authorId="0" ref="U28">
      <text>
        <t xml:space="preserve">======
ID#AAAAwCqRXOU
      (2023-05-23 18:26:46)
Independently engages in sustained play activities for 10 minutes without adult prompts or reinforcement
(e.g., playing with an Etch-a-sketch, playing dress-up)</t>
      </text>
    </comment>
    <comment authorId="0" ref="Z61">
      <text>
        <t xml:space="preserve">======
ID#AAAAwCqRXfw
      (2023-05-23 18:26:46)
Spontaneously cooperates with a peer to accomplish a specific outcome 5 times
(e.g., one child holds a bucket while the other pours the water)</t>
      </text>
    </comment>
    <comment authorId="0" ref="Z28">
      <text>
        <t xml:space="preserve">======
ID#AAAAwCqRXqA
      (2023-05-23 18:26:46)
Engages in pretend social play activities with peers for 5 minutes without adult prompts or reinforcement
(e.g., dress up play, acting out videos, playing house)</t>
      </text>
    </comment>
    <comment authorId="0" ref="AE61">
      <text>
        <t xml:space="preserve">======
ID#AAAAwCqRXDc
      (2023-05-23 18:26:46)
Imitates 5 different writing actions modeled by an adult using a writing instrument and writing surface</t>
      </text>
    </comment>
    <comment authorId="0" ref="AE28">
      <text>
        <t xml:space="preserve">======
ID#AAAAwCqRXxo
      (2023-05-23 18:26:46)
Correctly spells and legibly writes his own name without copying</t>
      </text>
    </comment>
    <comment authorId="0" ref="B62">
      <text>
        <t xml:space="preserve">======
ID#AAAAwCqRW5M
      (2023-05-23 18:26:46)
Mands for a specific quantity or reinforcers 2 times
(e.g., two gummy bears)</t>
      </text>
    </comment>
    <comment authorId="0" ref="B29">
      <text>
        <t xml:space="preserve">======
ID#AAAAwCqRXoY
      (2023-05-23 18:26:46)
Spontaneously mands with 3 different major parts of speech (e.g., noun-verb-adjective) in one sentence 2 times
(e.g., Push the big bike fast.)</t>
      </text>
    </comment>
    <comment authorId="0" ref="AJ61">
      <text>
        <t xml:space="preserve">======
ID#AAAAwCR5j20
      (2023-05-23 18:26:45)
Attends to a book when a story is being read to him for 75% of the time during a 3 minute observation</t>
      </text>
    </comment>
    <comment authorId="0" ref="F62">
      <text>
        <t xml:space="preserve">======
ID#AAAAwCqRXgE
      (2023-05-23 18:26:46)
Generalization occurs to new examples of an item or action on the first trial, for 5 items</t>
      </text>
    </comment>
    <comment authorId="0" ref="AJ28">
      <text>
        <t xml:space="preserve">======
ID#AAAAwCqRXTU
      (2023-05-23 18:26:46)
Reads his own name</t>
      </text>
    </comment>
    <comment authorId="0" ref="F29">
      <text>
        <t xml:space="preserve">======
ID#AAAAwCqRXnw
      (2023-05-23 18:26:46)
Tacts 5 subject-verb-noun combinations in a complete sentence
(e.g., The girl is pulling the wagon.)</t>
      </text>
    </comment>
    <comment authorId="0" ref="AO61">
      <text>
        <t xml:space="preserve">======
ID#AAAAwCqRXXU
      (2023-05-23 18:26:46)
Selects the correct item from an array of 10 that contains 3 similar stimuli for 25 different WH question LRFFC tasks</t>
      </text>
    </comment>
    <comment authorId="0" ref="K62">
      <text>
        <t xml:space="preserve">======
ID#AAAAwCqRXvg
      (2023-05-23 18:26:46)
Selects two different colors or shapes from an array of 8 for 10 pairs
(e.g., Give me red and blue.)</t>
      </text>
    </comment>
    <comment authorId="0" ref="AO28">
      <text>
        <t xml:space="preserve">======
ID#AAAAwCqRXCU
      (2023-05-23 18:26:46)
Selects the correct item from a book or the natural environment given 4 different rotating LRFFC questions about a single topic, for 25 different topics
(e.g., Where does the cow live? What does the cow eat? Who milks the cow?)</t>
      </text>
    </comment>
    <comment authorId="0" ref="K29">
      <text>
        <t xml:space="preserve">======
ID#AAAAwCqRWlU
      (2023-05-23 18:26:46)
Correctly responds to 10 tasks involving "one" vs. "two" vs. "all" of something</t>
      </text>
    </comment>
    <comment authorId="0" ref="AT61">
      <text>
        <t xml:space="preserve">======
ID#AAAAwCqRXxk
      (2023-05-23 18:26:46)
Spontaneously emits 20 intraverbal comments 
(e.g., dad says I'm going to the car, and the child spontaneously says I want to go for a ride!)</t>
      </text>
    </comment>
    <comment authorId="0" ref="AT28">
      <text>
        <t xml:space="preserve">======
ID#AAAAwCqRXwo
      (2023-05-23 18:26:46)
Describes 25 different events, videos, stories, etc. with 8+ words (e.g., Tell me what happened… The big monster scared everybody and they all ran into the house.)</t>
      </text>
    </comment>
    <comment authorId="0" ref="P62">
      <text>
        <t xml:space="preserve">======
ID#AAAAwCR5j2w
      (2023-05-23 18:26:45)
Matches a picture of a location to a non-identical picture of the same location for 10 locations
(e.g., matches one playground to another non-identical playground)</t>
      </text>
    </comment>
    <comment authorId="0" ref="P29">
      <text>
        <t xml:space="preserve">======
ID#AAAAwCqRXuc
      (2023-05-23 18:26:46)
Plays a short "concentration" or memory game with identical pictures</t>
      </text>
    </comment>
    <comment authorId="0" ref="AY61">
      <text>
        <t xml:space="preserve">======
ID#AAAAwCqRWhE
      (2023-05-23 18:26:46)
Uses the toilet and washes hands with only verbal prompts</t>
      </text>
    </comment>
    <comment authorId="0" ref="AY28">
      <text>
        <t xml:space="preserve">======
ID#AAAAwCqRWrE
      (2023-05-23 18:26:46)
Acquires 2 new behaviors in a 15-minute group-teaching format involving 5 or more children</t>
      </text>
    </comment>
    <comment authorId="0" ref="U62">
      <text>
        <t xml:space="preserve">======
ID#AAAAwCqRWgk
      (2023-05-23 18:26:46)
Sings, hums, or recites a few words to familiar songs while engaged in an activity</t>
      </text>
    </comment>
    <comment authorId="0" ref="U29">
      <text>
        <t xml:space="preserve">======
ID#AAAAwCqRW8s
      (2023-05-23 18:26:46)
Independently gets, sets up, completes, and (with prompts) puts away an activity</t>
      </text>
    </comment>
    <comment authorId="0" ref="BD61">
      <text>
        <t xml:space="preserve">======
ID#AAAAwCqRXnM
      (2023-05-23 18:26:46)
Emits noun inflections by combining 10 root nouns with suffixes for plurals 
(e.g., dog vs. dogs)
and 10 root nouns with suffixes for possession
(e.g., dog's collar vs. cat's collar)</t>
      </text>
    </comment>
    <comment authorId="0" ref="Z62">
      <text>
        <t xml:space="preserve">======
ID#AAAAwCqRXsI
      (2023-05-23 18:26:46)
Mands to peers with a WH question 2 times 
(e.g., Where the shovel? What's your name?)</t>
      </text>
    </comment>
    <comment authorId="0" ref="BD28">
      <text>
        <t xml:space="preserve">======
ID#AAAAwCqRWk8
      (2023-05-23 18:26:46)
Emits 10 different verb phrases containing at least 3 words, with 2 modifiers (adverbs, prepositions, pronouns)
(e.g., Push me hard. Go up the steps.)</t>
      </text>
    </comment>
    <comment authorId="0" ref="Z29">
      <text>
        <t xml:space="preserve">======
ID#AAAAwCqRXIA
      (2023-05-23 18:26:46)
Asks questions about the interests of peers 1 time</t>
      </text>
    </comment>
    <comment authorId="0" ref="BI61">
      <text>
        <t xml:space="preserve">======
ID#AAAAwCqRWeU
      (2023-05-23 18:26:45)
Identifies as a listener the numbers 1-5 in an array of 5 different numbers</t>
      </text>
    </comment>
    <comment authorId="0" ref="AE62">
      <text>
        <t xml:space="preserve">======
ID#AAAAwCqRXtw
      (2023-05-23 18:26:46)
Imitates diagonal and curved movements with a crayon, marker, or pencil</t>
      </text>
    </comment>
    <comment authorId="0" ref="BI28">
      <text>
        <t xml:space="preserve">======
ID#AAAAwCqRXDw
      (2023-05-23 18:26:46)
Identifies as a listener 8 different comparisons involving measurement
(e.g., Show me more or less, big or little, long or short, full or empty, loud or quiet)</t>
      </text>
    </comment>
    <comment authorId="0" ref="AE29">
      <text>
        <t xml:space="preserve">======
ID#AAAAwCqRXjE
      (2023-05-23 18:26:46)
Copies 10 uppercase and 10 lowercase letters legibly on lined paper</t>
      </text>
    </comment>
    <comment authorId="0" ref="B63">
      <text>
        <t xml:space="preserve">======
ID#AAAAwCqRWq8
      (2023-05-23 18:26:46)
Mands contain 3-word phrases 10 times 
(e.g., Can I see?)</t>
      </text>
    </comment>
    <comment authorId="0" ref="B30">
      <text>
        <t xml:space="preserve">======
ID#AAAAwCqRWf8
      (2023-05-23 18:26:45)
Mands for instructions for completing a task 2 times 
(e.g., Where does it go? How do I do it?)</t>
      </text>
    </comment>
    <comment authorId="0" ref="AJ62">
      <text>
        <t xml:space="preserve">======
ID#AAAAwCqRXcE
      (2023-05-23 18:26:46)
Touches pictures in books that correspond to the story
(e.g., Where's the big bad wolf?)</t>
      </text>
    </comment>
    <comment authorId="0" ref="F63">
      <text>
        <t xml:space="preserve">======
ID#AAAAwCqRXVw
      (2023-05-23 18:26:46)
Tacts 2 specific features or parts of 25 items or people
(e.g., wheels or doors on a car)</t>
      </text>
    </comment>
    <comment authorId="0" ref="AJ29">
      <text>
        <t xml:space="preserve">======
ID#AAAAwCqRXK0
      (2023-05-23 18:26:46)
Demonstrates LD and tact generalization for 3 different variations of the uppercase letters</t>
      </text>
    </comment>
    <comment authorId="0" ref="F30">
      <text>
        <t xml:space="preserve">======
ID#AAAAwCqRXX4
      (2023-05-23 18:26:46)
Tacts 5 preposition-noun combinations in a complete sentence
(e.g., The dog's in the house.)</t>
      </text>
    </comment>
    <comment authorId="0" ref="AO62">
      <text>
        <t xml:space="preserve">======
ID#AAAAwCqRXv8
      (2023-05-23 18:26:46)
Selects a picture from an array of 10 given a general time question for 5 items
(e.g., when asked, What time do you go to bed? The child selects a picture of nighttime)</t>
      </text>
    </comment>
    <comment authorId="0" ref="K63">
      <text>
        <t xml:space="preserve">======
ID#AAAAwCqRXds
      (2023-05-23 18:26:46)
Discriminates between self and others given a pronoun 
(e.g., your, my)</t>
      </text>
    </comment>
    <comment authorId="0" ref="AO29">
      <text>
        <t xml:space="preserve">======
ID#AAAAwCqRXTg
      (2023-05-23 18:26:46)
Selects an item from an array of 10 when asked What is missing? from a picture for 25 items
(e.g., a car without wheels, an airplane without wings)</t>
      </text>
    </comment>
    <comment authorId="0" ref="K30">
      <text>
        <t xml:space="preserve">======
ID#AAAAwCqRXCA
      (2023-05-23 18:26:46)
Discriminates among 6 community helpers by category 
(e.g., nurse, doctor, mailman, bus driver)</t>
      </text>
    </comment>
    <comment authorId="0" ref="AT62">
      <text>
        <t xml:space="preserve">======
ID#AAAAwCqRWgM
      (2023-05-23 18:26:45)
Answers I don't know to questions that the child cannot answer</t>
      </text>
    </comment>
    <comment authorId="0" ref="P63">
      <text>
        <t xml:space="preserve">======
ID#AAAAwCqRXy8
      (2023-05-23 18:26:46)
Uses glue to make things stick together without physical prompts 2 times</t>
      </text>
    </comment>
    <comment authorId="0" ref="AT29">
      <text>
        <t xml:space="preserve">======
ID#AAAAwCqRWig
      (2023-05-23 18:26:46)
Answers 10 when questions
(e.g., When do you take a bath?)</t>
      </text>
    </comment>
    <comment authorId="0" ref="P30">
      <text>
        <t xml:space="preserve">======
ID#AAAAwCqRXIc
      (2023-05-23 18:26:46)
Completes 10 different seriation tasks
(i.e., part-to-whole, small-to-large, etc.)</t>
      </text>
    </comment>
    <comment authorId="0" ref="AY62">
      <text>
        <t xml:space="preserve">======
ID#AAAAwCqRXJ0
      (2023-05-23 18:26:46)
Comes to the front of the group with 1 verbal prompt</t>
      </text>
    </comment>
    <comment authorId="0" ref="AY29">
      <text>
        <t xml:space="preserve">======
ID#AAAAwCqRXMg
      (2023-05-23 18:26:46)
Assists in picking up after an activity with only 1 verbal prompt</t>
      </text>
    </comment>
    <comment authorId="0" ref="U63">
      <text>
        <t xml:space="preserve">======
ID#AAAAwCqRWnA
      (2023-05-23 18:26:46)
Will get toys and play independently for 2 minutes</t>
      </text>
    </comment>
    <comment authorId="0" ref="U30">
      <text>
        <t xml:space="preserve">======
ID#AAAAwCqRWtg
      (2023-05-23 18:26:46)
Will pretend to write a note</t>
      </text>
    </comment>
    <comment authorId="0" ref="BD62">
      <text>
        <t xml:space="preserve">======
ID#AAAAwCqRW-0
      (2023-05-23 18:26:46)
Uses irregular plurals correctly 
(e.g., foot-feet, mouse-mice, tooth-teeth)</t>
      </text>
    </comment>
    <comment authorId="0" ref="BD29">
      <text>
        <t xml:space="preserve">======
ID#AAAAwCqRXoM
      (2023-05-23 18:26:46)
Emits adverbs to modify verbs 
(e.g., Go fast. It's slow.)</t>
      </text>
    </comment>
    <comment authorId="0" ref="Z63">
      <text>
        <t xml:space="preserve">======
ID#AAAAwCqRWfE
      (2023-05-23 18:26:45)
Accepts an invitation to join a social play activity with a peer 2 times</t>
      </text>
    </comment>
    <comment authorId="0" ref="Z30">
      <text>
        <t xml:space="preserve">======
ID#AAAAwCN6jt8
      (2023-05-23 18:26:45)
Laughs or smiles at the jokes or humor of peers 2 times</t>
      </text>
    </comment>
    <comment authorId="0" ref="BI62">
      <text>
        <t xml:space="preserve">======
ID#AAAAwCqRXr0
      (2023-05-23 18:26:46)
Matches to sample the numbers 1-10
(e.g., puts the number 4 with the number 4)</t>
      </text>
    </comment>
    <comment authorId="0" ref="AE63">
      <text>
        <t xml:space="preserve">======
ID#AAAAwCqRXbU
      (2023-05-23 18:26:46)
Imitates small and large circular movements with a  crayon, marker, or pencil</t>
      </text>
    </comment>
    <comment authorId="0" ref="BI29">
      <text>
        <t xml:space="preserve">======
ID#AAAAwCqRWts
      (2023-05-23 18:26:46)
Identifies an item as longer or shorter than a comparison item</t>
      </text>
    </comment>
    <comment authorId="0" ref="AE30">
      <text>
        <t xml:space="preserve">======
ID#AAAAwCqRXk0
      (2023-05-23 18:26:46)
Copies numbers 1-10 legibly on lined paper</t>
      </text>
    </comment>
    <comment authorId="0" ref="B64">
      <text>
        <t xml:space="preserve">======
ID#AAAAwCqRW3U
      (2023-05-23 18:26:46)
The child emits 100 or more different mands in a one week period</t>
      </text>
    </comment>
    <comment authorId="0" ref="B31">
      <text>
        <t xml:space="preserve">======
ID#AAAAwCqRXco
      (2023-05-23 18:26:46)
Mands for others to deliver a specific object to another person 2 times 
(e.g., Give it to Sarah.)</t>
      </text>
    </comment>
    <comment authorId="0" ref="AJ63">
      <text>
        <t xml:space="preserve">======
ID#AAAAwCqRWoc
      (2023-05-23 18:26:46)
Mands to be read stories from books</t>
      </text>
    </comment>
    <comment authorId="0" ref="F64">
      <text>
        <t xml:space="preserve">======
ID#AAAAwCqRXZQ
      (2023-05-23 18:26:46)
Tacts the function of 25 items 
(e.g., Show the child a crayon and ask What do you do with this?)</t>
      </text>
    </comment>
    <comment authorId="0" ref="AJ30">
      <text>
        <t xml:space="preserve">======
ID#AAAAwCqRXDI
      (2023-05-23 18:26:46)
Intraverbally recalls 3 stories that have been read to him</t>
      </text>
    </comment>
    <comment authorId="0" ref="F31">
      <text>
        <t xml:space="preserve">======
ID#AAAAwCqRXdU
      (2023-05-23 18:26:46)
Tacts verb-adverb combinations in a complete sentence
(e.g., He is singing loud.)</t>
      </text>
    </comment>
    <comment authorId="0" ref="AO63">
      <text>
        <t xml:space="preserve">======
ID#AAAAwCqRWkE
      (2023-05-23 18:26:46)
Selects a picture for the next step in a sequence for 10 sequences
(e.g., First you turn on the water in the tub, then you…)</t>
      </text>
    </comment>
    <comment authorId="0" ref="AO30">
      <text>
        <t xml:space="preserve">======
ID#AAAAwCqRXWs
      (2023-05-23 18:26:46)
Selects an item when asked to find something that is different in an array of 5 for 25 items
(e.g., 4 spoons and 1 fork)</t>
      </text>
    </comment>
    <comment authorId="0" ref="K64">
      <text>
        <t xml:space="preserve">======
ID#AAAAwCqRXHg
      (2023-05-23 18:26:46)
Discriminates between 2 different prepositions
(e.g., in, on, under)</t>
      </text>
    </comment>
    <comment authorId="0" ref="K31">
      <text>
        <t xml:space="preserve">======
ID#AAAAwCqRW0o
      (2023-05-23 18:26:46)
Performs 10 actions based on a subject, adjective, and verb
(e.g., Show me the big bear dancing.)</t>
      </text>
    </comment>
    <comment authorId="0" ref="AT63">
      <text>
        <t xml:space="preserve">======
ID#AAAAwCqRWpw
      (2023-05-23 18:26:46)
Demonstrates 5 new intraverbals with just tact training
(e.g., tact of computer…Daddy has a computer.)</t>
      </text>
    </comment>
    <comment authorId="0" ref="P64">
      <text>
        <t xml:space="preserve">======
ID#AAAAwCqRXwc
      (2023-05-23 18:26:46)
Completes a 4-component block design with a 2D sample and 3D blocks for 4 designs</t>
      </text>
    </comment>
    <comment authorId="0" ref="AT30">
      <text>
        <t xml:space="preserve">======
ID#AAAAwCqRXMA
      (2023-05-23 18:26:46)
Provides 25 answers to sequence questions
(e.g., What do you do after you get to school?)</t>
      </text>
    </comment>
    <comment authorId="0" ref="P31">
      <text>
        <t xml:space="preserve">======
ID#AAAAwCqRXnc
      (2023-05-23 18:26:46)
Matches 25 items that are associated with each other in a messy array of 6 with 3 similar stimuli</t>
      </text>
    </comment>
    <comment authorId="0" ref="AY63">
      <text>
        <t xml:space="preserve">======
ID#AAAAwCN6t58
      (2023-05-23 18:26:45)
Works independently on a task or activity for 1 minute without prompts or reinforcement</t>
      </text>
    </comment>
    <comment authorId="0" ref="AY30">
      <text>
        <t xml:space="preserve">======
ID#AAAAwCqRXZM
      (2023-05-23 18:26:46)
Mands for a specific activity in a group setting
(e.g., Let's play tag!)</t>
      </text>
    </comment>
    <comment authorId="0" ref="U64">
      <text>
        <t xml:space="preserve">======
ID#AAAAwCqRXA0
      (2023-05-23 18:26:46)
Demonstrates 1 to 1 correspondence in play activities 
(e.g., places plastic eggs in an egg carton, a doll in a bed with a bottle)</t>
      </text>
    </comment>
    <comment authorId="0" ref="U31">
      <text>
        <t xml:space="preserve">======
ID#AAAAwCqRW9c
      (2023-05-23 18:26:46)
Follows safety rules 
(e.g., does not throw objects at other children or climb too high on a play structure)</t>
      </text>
    </comment>
    <comment authorId="0" ref="BD63">
      <text>
        <t xml:space="preserve">======
ID#AAAAwCN6juA
      (2023-05-23 18:26:45)
Uses "s" and "es" plural markers
(e.g., books or glasses)</t>
      </text>
    </comment>
    <comment authorId="0" ref="Z64">
      <text>
        <t xml:space="preserve">======
ID#AAAAwCqRXPY
      (2023-05-23 18:26:46)
Waits for a turn with a reinforcer without negative behavior 2 times</t>
      </text>
    </comment>
    <comment authorId="0" ref="BD30">
      <text>
        <t xml:space="preserve">======
ID#AAAAwCqRXqk
      (2023-05-23 18:26:46)
Emits adjective inflections with the comparative suffixes "er" and "est"
(e.g., good, better, best)</t>
      </text>
    </comment>
    <comment authorId="0" ref="Z31">
      <text>
        <t xml:space="preserve">======
ID#AAAAwCqRWrM
      (2023-05-23 18:26:46)
Takes turns and shares reinforcers with peers without prompts 2 times</t>
      </text>
    </comment>
    <comment authorId="0" ref="BI63">
      <text>
        <t xml:space="preserve">======
ID#AAAAwCqRXTE
      (2023-05-23 18:26:46)
Distinguishes between 1 and 2 items as a mand
(e.g., I want 2 cookies.)</t>
      </text>
    </comment>
    <comment authorId="0" ref="AE64">
      <text>
        <t xml:space="preserve">======
ID#AAAAwCqRXVM
      (2023-05-23 18:26:46)
Imitates up and down vertical movements with a crayon, marker, or pencil</t>
      </text>
    </comment>
    <comment authorId="0" ref="BI30">
      <text>
        <t xml:space="preserve">======
ID#AAAAwCqRWsw
      (2023-05-23 18:26:46)
Identifies an item as bigger or smaller than a comparison item</t>
      </text>
    </comment>
    <comment authorId="0" ref="AE31">
      <text>
        <t xml:space="preserve">======
ID#AAAAwCqRW3c
      (2023-05-23 18:26:46)
Colors in pictures in coloring books and mostly stays within the lines</t>
      </text>
    </comment>
    <comment authorId="0" ref="B65">
      <text>
        <t xml:space="preserve">======
ID#AAAAwCqRW1s
      (2023-05-23 18:26:46)
Spontaneously mands for attention 5 times
(e.g., Teacher! Hey! Excuse me.)</t>
      </text>
    </comment>
    <comment authorId="0" ref="B32">
      <text>
        <t xml:space="preserve">======
ID#AAAAwCqRXM0
      (2023-05-23 18:26:46)
Mands for sympathy or other emotional support 2 times 
(e.g., He's mean.)</t>
      </text>
    </comment>
    <comment authorId="0" ref="AJ64">
      <text>
        <t xml:space="preserve">======
ID#AAAAwCqRW-o
      (2023-05-23 18:26:46)
Turns pages and looks at books for 30 seconds</t>
      </text>
    </comment>
    <comment authorId="0" ref="F65">
      <text>
        <t xml:space="preserve">======
ID#AAAAwCqRXYU
      (2023-05-23 18:26:46)
Tacts 25 items and/or activities with yes and no 
(e.g., Are these your shoes? Is her name Becky?)</t>
      </text>
    </comment>
    <comment authorId="0" ref="AJ31">
      <text>
        <t xml:space="preserve">======
ID#AAAAwCqRWlI
      (2023-05-23 18:26:46)
Provides the letter name given 5 sounds, and 5 sounds given a letter name</t>
      </text>
    </comment>
    <comment authorId="0" ref="F32">
      <text>
        <t xml:space="preserve">======
ID#AAAAwCqRWpU
      (2023-05-23 18:26:46)
Tacts 5 adjective-verb combinations in a complete sentence 
(e.g., That is a big dog.)</t>
      </text>
    </comment>
    <comment authorId="0" ref="AO64">
      <text>
        <t xml:space="preserve">======
ID#AAAAwCqRXVU
      (2023-05-23 18:26:46)
Demonstrates 200 different LRFFC responses</t>
      </text>
    </comment>
    <comment authorId="0" ref="K65">
      <text>
        <t xml:space="preserve">======
ID#AAAAwCqRXt8
      (2023-05-23 18:26:46)
Discriminates among 4 shapes in an array of 4 different shapes</t>
      </text>
    </comment>
    <comment authorId="0" ref="AO31">
      <text>
        <t xml:space="preserve">======
ID#AAAAwCqRWhs
      (2023-05-23 18:26:46)
Selects an item from an array of 10 given a preposition after a verb for 25 verb-preposition combinations
(e.g., eat with, eat at, write with, write on)</t>
      </text>
    </comment>
    <comment authorId="0" ref="K32">
      <text>
        <t xml:space="preserve">======
ID#AAAAwCqRXHs
      (2023-05-23 18:26:46)
Performs 10 actions based on a subject, verb, and adverb
(e.g., Show me the frog jumping high.)</t>
      </text>
    </comment>
    <comment authorId="0" ref="AT64">
      <text>
        <t xml:space="preserve">======
ID#AAAAwCqRXxs
      (2023-05-23 18:26:46)
Demonstrates 10 untrained intraverbals
(e.g., retells what happened in a video without any specific training)</t>
      </text>
    </comment>
    <comment authorId="0" ref="P65">
      <text>
        <t xml:space="preserve">======
ID#AAAAwCqRXyI
      (2023-05-23 18:26:46)
Completes 5 different interlocking puzzles with 10 pieces</t>
      </text>
    </comment>
    <comment authorId="0" ref="AT31">
      <text>
        <t xml:space="preserve">======
ID#AAAAwCqRW2U
      (2023-05-23 18:26:46)
Answers 25 intraverbal questions involving pronouns 
(e.g., Who has a brown dog?)</t>
      </text>
    </comment>
    <comment authorId="0" ref="P32">
      <text>
        <t xml:space="preserve">======
ID#AAAAwCqRXMs
      (2023-05-23 18:26:46)
Successfully completes a human figure puzzles with at least 6 parts</t>
      </text>
    </comment>
    <comment authorId="0" ref="AY64">
      <text>
        <t xml:space="preserve">======
ID#AAAAwCqRXbY
      (2023-05-23 18:26:46)
Responds to 1 group instruction without additional prompts
(e.g., Everybody stand up.)</t>
      </text>
    </comment>
    <comment authorId="0" ref="U65">
      <text>
        <t xml:space="preserve">======
ID#AAAAwCqRXr4
      (2023-05-23 18:26:46)
Navigates a riding toy around obstacles 
(e.g., moving a tricycle or big wheel around a pole)</t>
      </text>
    </comment>
    <comment authorId="0" ref="AY31">
      <text>
        <t xml:space="preserve">======
ID#AAAAwCqRXKE
      (2023-05-23 18:26:46)
Leads 2 different group activities involving 3 other children
(e.g., red-light/green-light game)</t>
      </text>
    </comment>
    <comment authorId="0" ref="U32">
      <text>
        <t xml:space="preserve">======
ID#AAAAwCqRW_Y
      (2023-05-23 18:26:46)
Demonstrates an appropriate response when an activity is interrupted or stopped 
(e.g., the child will stop playing when told to do so by an adult)</t>
      </text>
    </comment>
    <comment authorId="0" ref="BD64">
      <text>
        <t xml:space="preserve">======
ID#AAAAwCqRXlk
      (2023-05-23 18:26:46)
Phrases emitted by the child in one day contain several different "small" words that were not directly taught, but seem appropriate for the context
(e.g., it, that, a, the, an, too, or, but)</t>
      </text>
    </comment>
    <comment authorId="0" ref="Z65">
      <text>
        <t xml:space="preserve">======
ID#AAAAwCqRXt0
      (2023-05-23 18:26:46)
Appropriately mands to peers to stop an undesirable behavior 2 times</t>
      </text>
    </comment>
    <comment authorId="0" ref="BD31">
      <text>
        <t xml:space="preserve">======
ID#AAAAwCqRXDo
      (2023-05-23 18:26:46)
Verbs agree with the subjects in number
(e.g., Joey is home vs. Joey are home)</t>
      </text>
    </comment>
    <comment authorId="0" ref="Z32">
      <text>
        <t xml:space="preserve">======
ID#AAAAwCqRXH8
      (2023-05-23 18:26:46)
Spontaneously mands for a new or unfamiliar child's name 1 time</t>
      </text>
    </comment>
    <comment authorId="0" ref="BI64">
      <text>
        <t xml:space="preserve">======
ID#AAAAwCqRW5k
      (2023-05-23 18:26:46)
Distinguishes between 1 and 2 items as a listener
(e.g., Where are 2 boats?)</t>
      </text>
    </comment>
    <comment authorId="0" ref="AE65">
      <text>
        <t xml:space="preserve">======
ID#AAAAwCqRXuE
      (2023-05-23 18:26:46)
Imitates back and forth horizontal movements with a crayon, marker, or pencil</t>
      </text>
    </comment>
    <comment authorId="0" ref="BI31">
      <text>
        <t xml:space="preserve">======
ID#AAAAwCqRXKg
      (2023-05-23 18:26:46)
Identifies a container as full or empty</t>
      </text>
    </comment>
    <comment authorId="0" ref="AE32">
      <text>
        <t xml:space="preserve">======
ID#AAAAwCqRXKw
      (2023-05-23 18:26:46)
Legibly copies his own name on lined paper</t>
      </text>
    </comment>
    <comment authorId="0" ref="B66">
      <text>
        <t xml:space="preserve">======
ID#AAAAwCqRWlk
      (2023-05-23 18:26:46)
Mands to peers 5 times</t>
      </text>
    </comment>
    <comment authorId="0" ref="F66">
      <text>
        <t xml:space="preserve">======
ID#AAAAwCqRXJg
      (2023-05-23 18:26:46)
Tacts 5 locations 
(e.g., Kitchen, bedroom, playground, grandma's house)</t>
      </text>
    </comment>
    <comment authorId="0" ref="AJ32">
      <text>
        <t xml:space="preserve">======
ID#AAAAwCqRWlg
      (2023-05-23 18:26:46)
Matches 5 word cards to the same word written on paper</t>
      </text>
    </comment>
    <comment authorId="0" ref="F33">
      <text>
        <t xml:space="preserve">======
ID#AAAAwCqRW7Y
      (2023-05-23 18:26:46)
Tacts people by relationship using 4 different terms 
(e.g., sister, brother, grandmother, uncle)</t>
      </text>
    </comment>
    <comment authorId="0" ref="AO65">
      <text>
        <t xml:space="preserve">======
ID#AAAAwCqRWpE
      (2023-05-23 18:26:46)
Selects 50 items from the natural environment or in a functional activity (e.g., setting the table) given any type of LRFFC task</t>
      </text>
    </comment>
    <comment authorId="0" ref="AO32">
      <text>
        <t xml:space="preserve">======
ID#AAAAwCqRXvY
      (2023-05-23 18:26:46)
Selects an item from a book given a how question for 10 items
(e.g., How do you get to school?)</t>
      </text>
    </comment>
    <comment authorId="0" ref="K66">
      <text>
        <t xml:space="preserve">======
ID#AAAAwCqRW24
      (2023-05-23 18:26:46)
Discriminates among 4 colors in an array of 4 different colored objects</t>
      </text>
    </comment>
    <comment authorId="0" ref="AT65">
      <text>
        <t xml:space="preserve">======
ID#AAAAwCqRW_c
      (2023-05-23 18:26:46)
Answers 25 what questions when given the function
(e.g., What gets you clean?)</t>
      </text>
    </comment>
    <comment authorId="0" ref="AT32">
      <text>
        <t xml:space="preserve">======
ID#AAAAwCqRXLU
      (2023-05-23 18:26:46)
Answers 25 intraverbal questions involving prepositions
(e.g., What's under your bed?)</t>
      </text>
    </comment>
    <comment authorId="0" ref="AY65">
      <text>
        <t xml:space="preserve">======
ID#AAAAwCqRXis
      (2023-05-23 18:26:46)
Sits or stands at an arts and crafts activity table for 5 minutes without disruptive behavior</t>
      </text>
    </comment>
    <comment authorId="0" ref="AY32">
      <text>
        <t xml:space="preserve">======
ID#AAAAwCqRWjA
      (2023-05-23 18:26:46)
Follows safety rules in a classroom
(e.g., No running. No pushing.)</t>
      </text>
    </comment>
    <comment authorId="0" ref="BD65">
      <text>
        <t xml:space="preserve">======
ID#AAAAwCN6juM
      (2023-05-23 18:26:45)
Emits auxiliary (helping) verbs in a tact or mand carrier phrase
(e.g., do, have, will, can, was)</t>
      </text>
    </comment>
    <comment authorId="0" ref="BD32">
      <text>
        <t xml:space="preserve">======
ID#AAAAwCqRXVA
      (2023-05-23 18:26:46)
Verbs agree with the subjects in person
(e.g., he was laughing vs. he were laughing)</t>
      </text>
    </comment>
    <comment authorId="0" ref="Z66">
      <text>
        <t xml:space="preserve">======
ID#AAAAwCqRWug
      (2023-05-23 18:26:46)
Participates in cooperation activities with adult prompts 2 times
(e.g., parachute holding)</t>
      </text>
    </comment>
    <comment authorId="0" ref="Z33">
      <text>
        <t xml:space="preserve">======
ID#AAAAwCqRWjo
      (2023-05-23 18:26:46)
Participates in a social play game directed by a peer 2 times
(e.g., red light/green light)</t>
      </text>
    </comment>
    <comment authorId="0" ref="BI65">
      <text>
        <t xml:space="preserve">======
ID#AAAAwCqRXEA
      (2023-05-23 18:26:46)
Arranges objects by size
(e.g., small, medium, and large blocks)</t>
      </text>
    </comment>
    <comment authorId="0" ref="BI32">
      <text>
        <t xml:space="preserve">======
ID#AAAAwCqRXb0
      (2023-05-23 18:26:46)
Identifies a collection of items as more or less than a comparison group</t>
      </text>
    </comment>
    <comment authorId="0" ref="AE66">
      <text>
        <t xml:space="preserve">======
ID#AAAAwCqRWlQ
      (2023-05-23 18:26:46)
Demonstrates right and left hand dominance</t>
      </text>
    </comment>
  </commentList>
  <extLst>
    <ext uri="GoogleSheetsCustomDataVersion2">
      <go:sheetsCustomData xmlns:go="http://customooxmlschemas.google.com/" r:id="rId1" roundtripDataSignature="AMtx7milFBKWCn3I9Mrvmxfp34zcdgydFQ=="/>
    </ext>
  </extLst>
</comments>
</file>

<file path=xl/sharedStrings.xml><?xml version="1.0" encoding="utf-8"?>
<sst xmlns="http://schemas.openxmlformats.org/spreadsheetml/2006/main" count="1812" uniqueCount="610">
  <si>
    <t>Instructions</t>
  </si>
  <si>
    <t>VB-MAPP written by Mark Sundberg (of course!)</t>
  </si>
  <si>
    <r>
      <rPr>
        <rFont val="Gill Sans"/>
        <b/>
        <color rgb="FF7F7F7F"/>
        <sz val="11.0"/>
      </rPr>
      <t xml:space="preserve">This program created by Steven Celmer M.A., BCBA     </t>
    </r>
    <r>
      <rPr>
        <rFont val="Gill Sans MT"/>
        <b/>
        <i/>
        <color rgb="FF7F7F7F"/>
        <sz val="11.0"/>
      </rPr>
      <t>[</t>
    </r>
    <r>
      <rPr>
        <rFont val="Gill Sans MT"/>
        <b/>
        <i/>
        <color rgb="FF7F7F7F"/>
        <sz val="11.0"/>
        <u/>
      </rPr>
      <t>website</t>
    </r>
    <r>
      <rPr>
        <rFont val="Gill Sans MT"/>
        <b/>
        <i/>
        <color rgb="FF7F7F7F"/>
        <sz val="11.0"/>
      </rPr>
      <t>]</t>
    </r>
  </si>
  <si>
    <r>
      <rPr>
        <rFont val="Noto Sans Symbols"/>
        <color rgb="FF000000"/>
        <sz val="8.0"/>
      </rPr>
      <t xml:space="preserve">l </t>
    </r>
    <r>
      <rPr>
        <rFont val="Calibri"/>
        <color theme="1"/>
        <sz val="11.0"/>
      </rPr>
      <t xml:space="preserve">On the </t>
    </r>
    <r>
      <rPr>
        <rFont val="Calibri"/>
        <b/>
        <color theme="1"/>
        <sz val="11.0"/>
      </rPr>
      <t>Milestones</t>
    </r>
    <r>
      <rPr>
        <rFont val="Calibri"/>
        <color theme="1"/>
        <sz val="11.0"/>
      </rPr>
      <t xml:space="preserve"> form, enter the child's name and date of birth, and it will copy to the others.  Enter the </t>
    </r>
    <r>
      <rPr>
        <rFont val="Calibri"/>
        <i/>
        <color theme="1"/>
        <sz val="11.0"/>
      </rPr>
      <t>Date</t>
    </r>
    <r>
      <rPr>
        <rFont val="Calibri"/>
        <color theme="1"/>
        <sz val="11.0"/>
      </rPr>
      <t xml:space="preserve"> and </t>
    </r>
    <r>
      <rPr>
        <rFont val="Calibri"/>
        <i/>
        <color theme="1"/>
        <sz val="11.0"/>
      </rPr>
      <t>Tester</t>
    </r>
    <r>
      <rPr>
        <rFont val="Calibri"/>
        <color theme="1"/>
        <sz val="11.0"/>
      </rPr>
      <t xml:space="preserve"> on each form individually.</t>
    </r>
  </si>
  <si>
    <r>
      <rPr>
        <rFont val="Wingdings"/>
        <color rgb="FF000000"/>
        <sz val="8.0"/>
      </rPr>
      <t xml:space="preserve">l </t>
    </r>
    <r>
      <rPr>
        <rFont val="Calibri"/>
        <color theme="1"/>
        <sz val="11.0"/>
      </rPr>
      <t>Then, to color in the forms, simply enter in the number of the assessment (1, 2, 3, or 4) into the selected boxes, and they will automatically</t>
    </r>
  </si>
  <si>
    <r>
      <rPr>
        <rFont val="Calibri"/>
        <color theme="1"/>
        <sz val="11.0"/>
      </rPr>
      <t xml:space="preserve">       change to the appropriate testing color.  </t>
    </r>
    <r>
      <rPr>
        <rFont val="Calibri"/>
        <i/>
        <color theme="1"/>
        <sz val="11.0"/>
      </rPr>
      <t>(HINT: Simply type in the appropriate number in one box, and then copy/paste into the other boxes)</t>
    </r>
  </si>
  <si>
    <r>
      <rPr>
        <rFont val="Wingdings"/>
        <color rgb="FF000000"/>
        <sz val="8.0"/>
      </rPr>
      <t xml:space="preserve">l </t>
    </r>
    <r>
      <rPr>
        <rFont val="Calibri"/>
        <color theme="1"/>
        <sz val="11.0"/>
      </rPr>
      <t xml:space="preserve">For the task analysis forms, the number of the assessment (1, 2, 3, or 4) should be entered in the cell </t>
    </r>
    <r>
      <rPr>
        <rFont val="Calibri"/>
        <b/>
        <color theme="1"/>
        <sz val="11.0"/>
        <u/>
      </rPr>
      <t>to the left</t>
    </r>
    <r>
      <rPr>
        <rFont val="Calibri"/>
        <color theme="1"/>
        <sz val="11.0"/>
      </rPr>
      <t xml:space="preserve"> of the desired box</t>
    </r>
  </si>
  <si>
    <t>VB-MAPP Milestones Master Scoring Form</t>
  </si>
  <si>
    <r>
      <rPr>
        <rFont val="Wingdings"/>
        <color rgb="FF000000"/>
        <sz val="8.0"/>
      </rPr>
      <t xml:space="preserve">l </t>
    </r>
    <r>
      <rPr>
        <rFont val="Calibri"/>
        <i/>
        <color theme="1"/>
        <sz val="11.0"/>
      </rPr>
      <t xml:space="preserve">Note: For Excel 2003 and earlier users, only </t>
    </r>
    <r>
      <rPr>
        <rFont val="Calibri"/>
        <b/>
        <i/>
        <color theme="1"/>
        <sz val="11.0"/>
        <u/>
      </rPr>
      <t>three</t>
    </r>
    <r>
      <rPr>
        <rFont val="Calibri"/>
        <i/>
        <color theme="1"/>
        <sz val="11.0"/>
      </rPr>
      <t xml:space="preserve"> assessments on the Milestones and Task Analyses forms will automatically color in </t>
    </r>
  </si>
  <si>
    <t xml:space="preserve">       due to the constraints of the program</t>
  </si>
  <si>
    <t>Key:</t>
  </si>
  <si>
    <r>
      <rPr>
        <rFont val="Wingdings"/>
        <color rgb="FF000000"/>
        <sz val="8.0"/>
      </rPr>
      <t xml:space="preserve">l </t>
    </r>
    <r>
      <rPr>
        <rFont val="Calibri"/>
        <color theme="1"/>
        <sz val="11.0"/>
      </rPr>
      <t>To read the forms, simply move your mouse over each item, and the protocol information for that item will appear</t>
    </r>
  </si>
  <si>
    <t>Score</t>
  </si>
  <si>
    <t>VB-MAPP Transition Scoring Form</t>
  </si>
  <si>
    <t>Date</t>
  </si>
  <si>
    <t>Color</t>
  </si>
  <si>
    <t>Tester</t>
  </si>
  <si>
    <t>Child's name:</t>
  </si>
  <si>
    <t>TEST NAME- GOLF</t>
  </si>
  <si>
    <t>1st test:</t>
  </si>
  <si>
    <t>VB-MAPP Barriers Scoring Form</t>
  </si>
  <si>
    <t>AW</t>
  </si>
  <si>
    <t>Date of birth:</t>
  </si>
  <si>
    <t>2nd test:</t>
  </si>
  <si>
    <t>Age at testing:</t>
  </si>
  <si>
    <t>3yrs</t>
  </si>
  <si>
    <r>
      <rPr>
        <rFont val="Wingdings"/>
        <color rgb="FF000000"/>
        <sz val="8.0"/>
      </rPr>
      <t xml:space="preserve">l </t>
    </r>
    <r>
      <rPr>
        <rFont val="Calibri"/>
        <color theme="1"/>
        <sz val="11.0"/>
      </rPr>
      <t xml:space="preserve">With these VB-MAPP forms, there is also an added </t>
    </r>
    <r>
      <rPr>
        <rFont val="Calibri"/>
        <b/>
        <color theme="1"/>
        <sz val="11.0"/>
      </rPr>
      <t>Present Level of Performance</t>
    </r>
    <r>
      <rPr>
        <rFont val="Calibri"/>
        <color theme="1"/>
        <sz val="11.0"/>
      </rPr>
      <t xml:space="preserve"> form that is not part of the original assessment.</t>
    </r>
  </si>
  <si>
    <r>
      <rPr>
        <rFont val="Calibri"/>
        <color theme="1"/>
        <sz val="11.0"/>
      </rPr>
      <t xml:space="preserve">       It is </t>
    </r>
    <r>
      <rPr>
        <rFont val="Calibri"/>
        <b/>
        <color theme="1"/>
        <sz val="11.0"/>
      </rPr>
      <t>not</t>
    </r>
    <r>
      <rPr>
        <rFont val="Calibri"/>
        <color theme="1"/>
        <sz val="11.0"/>
      </rPr>
      <t xml:space="preserve"> designed to be a substitute for the other VB-MAPP forms, but rather, it is designed to gather only the </t>
    </r>
    <r>
      <rPr>
        <rFont val="Calibri"/>
        <b/>
        <color theme="1"/>
        <sz val="11.0"/>
      </rPr>
      <t xml:space="preserve">most recent </t>
    </r>
    <r>
      <rPr>
        <rFont val="Calibri"/>
        <color theme="1"/>
        <sz val="11.0"/>
      </rPr>
      <t xml:space="preserve">data </t>
    </r>
  </si>
  <si>
    <r>
      <rPr>
        <rFont val="Calibri"/>
        <color theme="1"/>
        <sz val="11.0"/>
      </rPr>
      <t xml:space="preserve">       </t>
    </r>
    <r>
      <rPr>
        <rFont val="Calibri"/>
        <i/>
        <color theme="1"/>
        <sz val="11.0"/>
      </rPr>
      <t>(thus "present level")</t>
    </r>
    <r>
      <rPr>
        <rFont val="Calibri"/>
        <color theme="1"/>
        <sz val="11.0"/>
      </rPr>
      <t xml:space="preserve"> from each of the main VB-MAPP forms.</t>
    </r>
  </si>
  <si>
    <r>
      <rPr>
        <rFont val="Noto Sans Symbols"/>
        <color rgb="FF000000"/>
        <sz val="8.0"/>
      </rPr>
      <t xml:space="preserve">l </t>
    </r>
    <r>
      <rPr>
        <rFont val="Calibri"/>
        <color theme="1"/>
        <sz val="11.0"/>
      </rPr>
      <t>It can be used as an aid in making placement decisions.  And because it is more concise, it may help in presenting VB-MAPP information</t>
    </r>
  </si>
  <si>
    <t>3rd test:</t>
  </si>
  <si>
    <t xml:space="preserve">       to individuals unfamiliar with the assessment.</t>
  </si>
  <si>
    <t>4th test:</t>
  </si>
  <si>
    <r>
      <rPr>
        <rFont val="Gill Sans MT"/>
        <b/>
        <color rgb="FF1E4778"/>
        <sz val="18.0"/>
      </rPr>
      <t>L</t>
    </r>
    <r>
      <rPr>
        <rFont val="Gill Sans MT"/>
        <b/>
        <color rgb="FF1E4778"/>
        <sz val="12.0"/>
      </rPr>
      <t xml:space="preserve">EVEL </t>
    </r>
    <r>
      <rPr>
        <rFont val="Gill Sans MT"/>
        <b/>
        <color rgb="FF1E4778"/>
        <sz val="18.0"/>
      </rPr>
      <t>3</t>
    </r>
  </si>
  <si>
    <t xml:space="preserve">General Level can </t>
  </si>
  <si>
    <t>be determined here</t>
  </si>
  <si>
    <t>Mand</t>
  </si>
  <si>
    <t>Tact</t>
  </si>
  <si>
    <t>Listener</t>
  </si>
  <si>
    <t>VP/MTS</t>
  </si>
  <si>
    <t>Play</t>
  </si>
  <si>
    <t>Social</t>
  </si>
  <si>
    <t>Reading</t>
  </si>
  <si>
    <t>Writing</t>
  </si>
  <si>
    <t>LRFFC</t>
  </si>
  <si>
    <t>IV</t>
  </si>
  <si>
    <t>Group</t>
  </si>
  <si>
    <t>Linguistics</t>
  </si>
  <si>
    <t>Math</t>
  </si>
  <si>
    <t xml:space="preserve">A Summary of the </t>
  </si>
  <si>
    <t>Transition form is shown</t>
  </si>
  <si>
    <t>A Summary of the</t>
  </si>
  <si>
    <t>with bars to illustrate</t>
  </si>
  <si>
    <t>subtest is provided</t>
  </si>
  <si>
    <t>the relative differences</t>
  </si>
  <si>
    <t>between the scales</t>
  </si>
  <si>
    <t>Only significant Barriers</t>
  </si>
  <si>
    <t xml:space="preserve">that received a score of 3 or </t>
  </si>
  <si>
    <t>more will be checked</t>
  </si>
  <si>
    <r>
      <rPr>
        <rFont val="Gill Sans MT"/>
        <b/>
        <color rgb="FF00B050"/>
        <sz val="18.0"/>
      </rPr>
      <t>L</t>
    </r>
    <r>
      <rPr>
        <rFont val="Gill Sans MT"/>
        <b/>
        <color rgb="FF00B050"/>
        <sz val="12.0"/>
      </rPr>
      <t xml:space="preserve">EVEL </t>
    </r>
    <r>
      <rPr>
        <rFont val="Gill Sans MT"/>
        <b/>
        <color rgb="FF00B050"/>
        <sz val="18.0"/>
      </rPr>
      <t>2</t>
    </r>
  </si>
  <si>
    <t>Imitation</t>
  </si>
  <si>
    <t>Echoic</t>
  </si>
  <si>
    <r>
      <rPr>
        <rFont val="Gill Sans MT"/>
        <b/>
        <color rgb="FFFF3300"/>
        <sz val="18.0"/>
      </rPr>
      <t>L</t>
    </r>
    <r>
      <rPr>
        <rFont val="Gill Sans MT"/>
        <b/>
        <color rgb="FFFF3300"/>
        <sz val="12.0"/>
      </rPr>
      <t xml:space="preserve">EVEL </t>
    </r>
    <r>
      <rPr>
        <rFont val="Gill Sans MT"/>
        <b/>
        <color rgb="FFFF3300"/>
        <sz val="18.0"/>
      </rPr>
      <t>1</t>
    </r>
  </si>
  <si>
    <t>Vocal</t>
  </si>
  <si>
    <r>
      <rPr>
        <rFont val="Gill Sans"/>
        <b/>
        <color rgb="FFFFFFFF"/>
        <sz val="22.0"/>
      </rPr>
      <t xml:space="preserve">VB-MAPP Intraverbal Assessment </t>
    </r>
    <r>
      <rPr>
        <rFont val="Gill Sans MT"/>
        <b/>
        <color rgb="FFFFFFFF"/>
        <sz val="18.0"/>
      </rPr>
      <t>(v.6.0)</t>
    </r>
  </si>
  <si>
    <r>
      <rPr>
        <rFont val="Calibri"/>
        <b/>
        <color theme="1"/>
        <sz val="12.0"/>
        <u/>
      </rPr>
      <t>Group 1</t>
    </r>
    <r>
      <rPr>
        <rFont val="Calibri"/>
        <b/>
        <color theme="1"/>
        <sz val="12.0"/>
      </rPr>
      <t>: Animal sounds &amp; song fill-ins</t>
    </r>
  </si>
  <si>
    <t>Write the exact response given by the child</t>
  </si>
  <si>
    <t>1st</t>
  </si>
  <si>
    <t>2nd</t>
  </si>
  <si>
    <t>3rd</t>
  </si>
  <si>
    <t>4th</t>
  </si>
  <si>
    <t>A kitty says…</t>
  </si>
  <si>
    <t>Twinkle, twinkle, little…</t>
  </si>
  <si>
    <t>Ready, set…</t>
  </si>
  <si>
    <t>The wheels on the bus go…</t>
  </si>
  <si>
    <t>Rock-a-bye…</t>
  </si>
  <si>
    <t>A dog says…</t>
  </si>
  <si>
    <t>Peek-a…</t>
  </si>
  <si>
    <t>The itsy bitsy…</t>
  </si>
  <si>
    <t>Head, shoulders, knees, and…</t>
  </si>
  <si>
    <t>Happy birthday to…</t>
  </si>
  <si>
    <t xml:space="preserve">Other: </t>
  </si>
  <si>
    <t xml:space="preserve">Total points (10 points maximum): </t>
  </si>
  <si>
    <r>
      <rPr>
        <rFont val="Calibri"/>
        <b/>
        <color theme="1"/>
        <sz val="12.0"/>
        <u/>
      </rPr>
      <t>Group 2</t>
    </r>
    <r>
      <rPr>
        <rFont val="Calibri"/>
        <b/>
        <color theme="1"/>
        <sz val="12.0"/>
      </rPr>
      <t>: Name, fill-ins, associations</t>
    </r>
  </si>
  <si>
    <t>What is your name?</t>
  </si>
  <si>
    <t>You brush your…</t>
  </si>
  <si>
    <t>Shoes and…</t>
  </si>
  <si>
    <t>You ride a…</t>
  </si>
  <si>
    <t>You flush the…</t>
  </si>
  <si>
    <t>You sleep in a…</t>
  </si>
  <si>
    <t>You eat…</t>
  </si>
  <si>
    <t>One, two…</t>
  </si>
  <si>
    <t>You wash your…</t>
  </si>
  <si>
    <t>You sit on a…</t>
  </si>
  <si>
    <t>Other:</t>
  </si>
  <si>
    <r>
      <rPr>
        <rFont val="Calibri"/>
        <b/>
        <color theme="1"/>
        <sz val="12.0"/>
        <u/>
      </rPr>
      <t>Group 3</t>
    </r>
    <r>
      <rPr>
        <rFont val="Calibri"/>
        <b/>
        <color theme="1"/>
        <sz val="12.0"/>
      </rPr>
      <t xml:space="preserve">: Simple </t>
    </r>
    <r>
      <rPr>
        <rFont val="Calibri"/>
        <b/>
        <i/>
        <color theme="1"/>
        <sz val="12.0"/>
      </rPr>
      <t>what</t>
    </r>
    <r>
      <rPr>
        <rFont val="Calibri"/>
        <b/>
        <color theme="1"/>
        <sz val="12.0"/>
      </rPr>
      <t xml:space="preserve"> questions</t>
    </r>
  </si>
  <si>
    <t>What can you drink?</t>
  </si>
  <si>
    <t>What can fly?</t>
  </si>
  <si>
    <t>What are some numbers?</t>
  </si>
  <si>
    <t>What can you sing?</t>
  </si>
  <si>
    <t>What's your favorite movie?</t>
  </si>
  <si>
    <t>What are some colors?</t>
  </si>
  <si>
    <t>What do you read?</t>
  </si>
  <si>
    <t>What is outside?</t>
  </si>
  <si>
    <t>What's in a kitchen?</t>
  </si>
  <si>
    <t>What are some animals?</t>
  </si>
  <si>
    <r>
      <rPr>
        <rFont val="Calibri"/>
        <b/>
        <color theme="1"/>
        <sz val="12.0"/>
        <u/>
      </rPr>
      <t>Group 4</t>
    </r>
    <r>
      <rPr>
        <rFont val="Calibri"/>
        <b/>
        <color theme="1"/>
        <sz val="12.0"/>
      </rPr>
      <t xml:space="preserve">: Simple </t>
    </r>
    <r>
      <rPr>
        <rFont val="Calibri"/>
        <b/>
        <i/>
        <color theme="1"/>
        <sz val="12.0"/>
      </rPr>
      <t>who, where, &amp; age</t>
    </r>
  </si>
  <si>
    <t>Who is your teacher?</t>
  </si>
  <si>
    <t>Where do you wash your hands?</t>
  </si>
  <si>
    <t>Who builds a web?</t>
  </si>
  <si>
    <t>Where is the refrigerator?</t>
  </si>
  <si>
    <t>Who drives a car?</t>
  </si>
  <si>
    <t>Where do you take a bath?</t>
  </si>
  <si>
    <t>How old are you?</t>
  </si>
  <si>
    <t>Where are the trees?</t>
  </si>
  <si>
    <t>Who do you see on TV?</t>
  </si>
  <si>
    <t>Why do you use a Band-Aid?</t>
  </si>
  <si>
    <r>
      <rPr>
        <rFont val="Calibri"/>
        <b/>
        <color theme="1"/>
        <sz val="12.0"/>
        <u/>
      </rPr>
      <t>Group 5</t>
    </r>
    <r>
      <rPr>
        <rFont val="Calibri"/>
        <b/>
        <color theme="1"/>
        <sz val="12.0"/>
      </rPr>
      <t>: Categories, function, features</t>
    </r>
  </si>
  <si>
    <t>What shape are wheels?</t>
  </si>
  <si>
    <t>What grows outside?</t>
  </si>
  <si>
    <t>What can sting you?</t>
  </si>
  <si>
    <t>What do you do with a sock?</t>
  </si>
  <si>
    <t>What can you push?</t>
  </si>
  <si>
    <t>What do you do with a straw?</t>
  </si>
  <si>
    <t>What do you write on?</t>
  </si>
  <si>
    <t>Can you name some body parts?</t>
  </si>
  <si>
    <t>What's something that's sharp?</t>
  </si>
  <si>
    <t>What do you wear on your head?</t>
  </si>
  <si>
    <r>
      <rPr>
        <rFont val="Calibri"/>
        <b/>
        <color theme="1"/>
        <sz val="12.0"/>
        <u/>
      </rPr>
      <t>Group 6</t>
    </r>
    <r>
      <rPr>
        <rFont val="Calibri"/>
        <b/>
        <color theme="1"/>
        <sz val="12.0"/>
      </rPr>
      <t>: Adjectives, prepositions, adverbs</t>
    </r>
  </si>
  <si>
    <t>What color is my shirt?</t>
  </si>
  <si>
    <t>What do you eat with?</t>
  </si>
  <si>
    <t>What's up in the sky?</t>
  </si>
  <si>
    <t>What's above a house?</t>
  </si>
  <si>
    <t>What do you smell with?</t>
  </si>
  <si>
    <t>What are some hot things?</t>
  </si>
  <si>
    <t>What grows on your head?</t>
  </si>
  <si>
    <t>What is under a boat?</t>
  </si>
  <si>
    <t>What animal has stripes?</t>
  </si>
  <si>
    <t>What color is your shirt?</t>
  </si>
  <si>
    <r>
      <rPr>
        <rFont val="Calibri"/>
        <b/>
        <color theme="1"/>
        <sz val="12.0"/>
        <u/>
      </rPr>
      <t>Group 7</t>
    </r>
    <r>
      <rPr>
        <rFont val="Calibri"/>
        <b/>
        <color theme="1"/>
        <sz val="12.0"/>
      </rPr>
      <t>: Multiple-part questions</t>
    </r>
  </si>
  <si>
    <t>What makes you sad?</t>
  </si>
  <si>
    <t>Name some clothing.</t>
  </si>
  <si>
    <t>Tell me something that is not food.</t>
  </si>
  <si>
    <t>What helps a flower grow?</t>
  </si>
  <si>
    <t>When do we set a table?</t>
  </si>
  <si>
    <t>What do you do with money?</t>
  </si>
  <si>
    <t>Why do people wear glasses?</t>
  </si>
  <si>
    <t>Where do you put your dirty clothes?</t>
  </si>
  <si>
    <t>What is something you can't wear?</t>
  </si>
  <si>
    <t>What's something that is sticky?</t>
  </si>
  <si>
    <r>
      <rPr>
        <rFont val="Calibri"/>
        <b/>
        <color theme="1"/>
        <sz val="12.0"/>
        <u/>
      </rPr>
      <t>Group 8</t>
    </r>
    <r>
      <rPr>
        <rFont val="Calibri"/>
        <b/>
        <color theme="1"/>
        <sz val="12.0"/>
      </rPr>
      <t>: Multiple-part questions</t>
    </r>
  </si>
  <si>
    <t>What's in a balloon?</t>
  </si>
  <si>
    <t>What do you take to a birthday party?</t>
  </si>
  <si>
    <t>Where do you go if you're sick?</t>
  </si>
  <si>
    <t>Why do you wear a coat?</t>
  </si>
  <si>
    <t>What do you do before bed?</t>
  </si>
  <si>
    <t>What's your last name?</t>
  </si>
  <si>
    <t>What do you put in a sandwich?</t>
  </si>
  <si>
    <t>What musical instrument has strings?</t>
  </si>
  <si>
    <t>What do you do with an umbrella?</t>
  </si>
  <si>
    <t>Why do adults need to get gas?</t>
  </si>
  <si>
    <t>Early Echoic Skills Assessment (EESA)</t>
  </si>
  <si>
    <t>Barbara E. Esch, Ph.D., BCBA, CCC-SLP</t>
  </si>
  <si>
    <r>
      <rPr>
        <rFont val="Gill Sans"/>
        <b/>
        <color rgb="FFFF0000"/>
        <sz val="11.0"/>
      </rPr>
      <t xml:space="preserve">Scoring Groups 1-3:  </t>
    </r>
    <r>
      <rPr>
        <rFont val="Gill Sans MT"/>
        <b val="0"/>
        <color rgb="FFFF0000"/>
        <sz val="11.0"/>
      </rPr>
      <t>For each item, score the best response of up to 3 trials</t>
    </r>
  </si>
  <si>
    <t>ASSESSMENT</t>
  </si>
  <si>
    <t>X</t>
  </si>
  <si>
    <t>= correct sounds and correct number of syllables (1 point)</t>
  </si>
  <si>
    <t xml:space="preserve">TOTAL   </t>
  </si>
  <si>
    <t>/</t>
  </si>
  <si>
    <t>= recognizable response, but incorrect or missing consonants or extra syllables (½ point)</t>
  </si>
  <si>
    <t xml:space="preserve">RAW SCORE:   </t>
  </si>
  <si>
    <t>Blank</t>
  </si>
  <si>
    <t>= no response, incorrect vowels, or missing syllables (0 points)</t>
  </si>
  <si>
    <t xml:space="preserve">(Groups 1-5)  </t>
  </si>
  <si>
    <t>Group 1: Simple and reduplicated syllables</t>
  </si>
  <si>
    <t>Targets: vowels, diphthongs, consonants p, b, m, n, h, w</t>
  </si>
  <si>
    <t>Probe: t</t>
  </si>
  <si>
    <t xml:space="preserve"> ah</t>
  </si>
  <si>
    <t xml:space="preserve"> bye bye</t>
  </si>
  <si>
    <t xml:space="preserve"> one</t>
  </si>
  <si>
    <t xml:space="preserve"> moo</t>
  </si>
  <si>
    <t xml:space="preserve"> we</t>
  </si>
  <si>
    <t xml:space="preserve"> wow</t>
  </si>
  <si>
    <t xml:space="preserve"> hop</t>
  </si>
  <si>
    <t xml:space="preserve"> my</t>
  </si>
  <si>
    <t xml:space="preserve"> up</t>
  </si>
  <si>
    <t xml:space="preserve"> boy</t>
  </si>
  <si>
    <t xml:space="preserve"> bee</t>
  </si>
  <si>
    <t xml:space="preserve"> mama</t>
  </si>
  <si>
    <t xml:space="preserve"> boo</t>
  </si>
  <si>
    <t xml:space="preserve"> may</t>
  </si>
  <si>
    <t xml:space="preserve"> wa wa</t>
  </si>
  <si>
    <t xml:space="preserve"> knee</t>
  </si>
  <si>
    <t xml:space="preserve"> papa</t>
  </si>
  <si>
    <t xml:space="preserve"> no no</t>
  </si>
  <si>
    <t xml:space="preserve"> pop</t>
  </si>
  <si>
    <t xml:space="preserve"> toy</t>
  </si>
  <si>
    <t xml:space="preserve"> oo</t>
  </si>
  <si>
    <t xml:space="preserve"> me</t>
  </si>
  <si>
    <t xml:space="preserve"> oh</t>
  </si>
  <si>
    <t xml:space="preserve"> too</t>
  </si>
  <si>
    <t xml:space="preserve"> baa</t>
  </si>
  <si>
    <t>Group 2: 2-syllable combinations</t>
  </si>
  <si>
    <t>Targets: Add consonants k, g, t, d, f, y, ng</t>
  </si>
  <si>
    <t xml:space="preserve"> baby</t>
  </si>
  <si>
    <t xml:space="preserve"> window</t>
  </si>
  <si>
    <t xml:space="preserve"> open</t>
  </si>
  <si>
    <t xml:space="preserve"> taco</t>
  </si>
  <si>
    <t xml:space="preserve"> icky</t>
  </si>
  <si>
    <t xml:space="preserve"> go eat</t>
  </si>
  <si>
    <t xml:space="preserve"> funny</t>
  </si>
  <si>
    <t xml:space="preserve"> oh boy</t>
  </si>
  <si>
    <t xml:space="preserve"> foo-ey</t>
  </si>
  <si>
    <t xml:space="preserve"> too hot</t>
  </si>
  <si>
    <t xml:space="preserve"> nighttime</t>
  </si>
  <si>
    <t xml:space="preserve"> meow</t>
  </si>
  <si>
    <t xml:space="preserve"> yumm-o</t>
  </si>
  <si>
    <t xml:space="preserve"> hankie</t>
  </si>
  <si>
    <t xml:space="preserve"> monkey</t>
  </si>
  <si>
    <t xml:space="preserve"> bunny</t>
  </si>
  <si>
    <t xml:space="preserve"> kitty</t>
  </si>
  <si>
    <t xml:space="preserve"> potty</t>
  </si>
  <si>
    <t xml:space="preserve"> too bad</t>
  </si>
  <si>
    <t xml:space="preserve"> uh-oh</t>
  </si>
  <si>
    <t xml:space="preserve"> my foot</t>
  </si>
  <si>
    <t xml:space="preserve"> bow wow</t>
  </si>
  <si>
    <t xml:space="preserve"> pay day</t>
  </si>
  <si>
    <t xml:space="preserve"> cookie</t>
  </si>
  <si>
    <t xml:space="preserve"> daddy</t>
  </si>
  <si>
    <t xml:space="preserve"> yucky</t>
  </si>
  <si>
    <t xml:space="preserve"> mommy</t>
  </si>
  <si>
    <t xml:space="preserve"> pokey</t>
  </si>
  <si>
    <t xml:space="preserve"> puppy</t>
  </si>
  <si>
    <t xml:space="preserve"> hot dog</t>
  </si>
  <si>
    <t>Group 3: 3-syllable combinations</t>
  </si>
  <si>
    <t xml:space="preserve"> tubby toy</t>
  </si>
  <si>
    <t xml:space="preserve"> potato</t>
  </si>
  <si>
    <t xml:space="preserve"> do high five</t>
  </si>
  <si>
    <t xml:space="preserve"> tiny pan</t>
  </si>
  <si>
    <t xml:space="preserve"> how many</t>
  </si>
  <si>
    <t xml:space="preserve"> banana</t>
  </si>
  <si>
    <t xml:space="preserve"> go bye bye</t>
  </si>
  <si>
    <t xml:space="preserve"> oh foo-ey</t>
  </si>
  <si>
    <t xml:space="preserve"> peek a boo</t>
  </si>
  <si>
    <t xml:space="preserve"> potty time</t>
  </si>
  <si>
    <t xml:space="preserve"> fee fi foe</t>
  </si>
  <si>
    <t xml:space="preserve"> fat doggy</t>
  </si>
  <si>
    <t xml:space="preserve"> binky boo</t>
  </si>
  <si>
    <t xml:space="preserve"> teddy bear</t>
  </si>
  <si>
    <t xml:space="preserve"> giddy-up</t>
  </si>
  <si>
    <t>SELF-CARE CHECKLISTS</t>
  </si>
  <si>
    <t xml:space="preserve"> yummy food</t>
  </si>
  <si>
    <t xml:space="preserve"> goofy goat</t>
  </si>
  <si>
    <t>The focus of the VB-MAPP is primarily on communication and social skills.  However, self-care skills are an important part of the child's growing independence.  The following self-care checklists can be used for assessment and skills tracking.  In completing your child's overall program, simply place a check in the boxes next to the skills that have been mastered.  As always, the procedures derived from applied behavior analysis provide the best way to teach these skills.</t>
  </si>
  <si>
    <t xml:space="preserve"> one cookie</t>
  </si>
  <si>
    <t xml:space="preserve"> doggy bone</t>
  </si>
  <si>
    <t xml:space="preserve"> wet mitten</t>
  </si>
  <si>
    <t xml:space="preserve"> daddy up</t>
  </si>
  <si>
    <t xml:space="preserve"> hey me too</t>
  </si>
  <si>
    <t xml:space="preserve"> open up</t>
  </si>
  <si>
    <t xml:space="preserve"> funny king</t>
  </si>
  <si>
    <t xml:space="preserve"> DRESSING – BY ABOUT 18 MONTHS</t>
  </si>
  <si>
    <t xml:space="preserve"> teepee boat</t>
  </si>
  <si>
    <t>Pulls a hat off</t>
  </si>
  <si>
    <t>Pulls socks off</t>
  </si>
  <si>
    <t>Pulls mittens off</t>
  </si>
  <si>
    <t>Pulls shoes off (may need help with laces, buckles, and velcro straps)</t>
  </si>
  <si>
    <t>Pulls coat off (may need assistance unbuttoning and unzipping)</t>
  </si>
  <si>
    <t>Pulls pants down (may need assistance unbuttoning and unzipping)</t>
  </si>
  <si>
    <t xml:space="preserve">Pulls pants up (but may need help getting pants over a diaper, and with </t>
  </si>
  <si>
    <t xml:space="preserve"> in a boat</t>
  </si>
  <si>
    <t xml:space="preserve"> my big toe</t>
  </si>
  <si>
    <t xml:space="preserve">     buttoning, snapping, and zipping)</t>
  </si>
  <si>
    <t xml:space="preserve"> peanut hat</t>
  </si>
  <si>
    <t xml:space="preserve"> a hiccup</t>
  </si>
  <si>
    <t xml:space="preserve"> puppet game</t>
  </si>
  <si>
    <t xml:space="preserve"> DRESSING – BY ABOUT 30 MONTHS</t>
  </si>
  <si>
    <t>Unties shoe laces</t>
  </si>
  <si>
    <t>Unbuttons front buttons</t>
  </si>
  <si>
    <r>
      <rPr>
        <rFont val="Gill Sans"/>
        <b/>
        <color rgb="FFFF0000"/>
        <sz val="11.0"/>
      </rPr>
      <t xml:space="preserve">Group 4: Prosody: spoken phrases  </t>
    </r>
    <r>
      <rPr>
        <rFont val="Gill Sans MT"/>
        <b val="0"/>
        <color rgb="FFFF0000"/>
        <sz val="11.0"/>
      </rPr>
      <t xml:space="preserve">(Model: Emphasize syllables in </t>
    </r>
    <r>
      <rPr>
        <rFont val="Gill Sans MT"/>
        <b/>
        <i/>
        <color rgb="FFFF0000"/>
        <sz val="11.0"/>
      </rPr>
      <t>bold italics</t>
    </r>
    <r>
      <rPr>
        <rFont val="Gill Sans MT"/>
        <b val="0"/>
        <color rgb="FFFF0000"/>
        <sz val="11.0"/>
      </rPr>
      <t>)</t>
    </r>
  </si>
  <si>
    <t>Unsnaps</t>
  </si>
  <si>
    <t>Fastens and unfastens velcro</t>
  </si>
  <si>
    <t>Unzips front zippers (smaller zippers may be difficult)</t>
  </si>
  <si>
    <t>= emphasis on correct syllables (1 point)</t>
  </si>
  <si>
    <t>Removes shirt (tight shirts may require assistance)</t>
  </si>
  <si>
    <t>Removes pants or skirts (may need help unzipping and unbuttoning)</t>
  </si>
  <si>
    <t>Puts on shoes (needs help discriminating right from left and tying)</t>
  </si>
  <si>
    <t>= emphasis on non-target syllables (½ point)</t>
  </si>
  <si>
    <t>Puts on pants (may need help zipping and buttoning up)</t>
  </si>
  <si>
    <t>= monotone response (no emphasis) (0 points)</t>
  </si>
  <si>
    <t>Adjusts clothing</t>
  </si>
  <si>
    <t>Matches own socks</t>
  </si>
  <si>
    <t>Matches own shoes</t>
  </si>
  <si>
    <t>Puts dirty clothes in a hamper</t>
  </si>
  <si>
    <t xml:space="preserve"> DRESSING – BY ABOUT 48 MONTHS</t>
  </si>
  <si>
    <t>Undresses (but may need help with tight pullover clothes)</t>
  </si>
  <si>
    <t>VB-MAPP</t>
  </si>
  <si>
    <r>
      <rPr>
        <rFont val="Gill Sans"/>
        <color rgb="FF000000"/>
        <sz val="10.0"/>
      </rPr>
      <t xml:space="preserve"> no </t>
    </r>
    <r>
      <rPr>
        <rFont val="Gill Sans MT"/>
        <b/>
        <i/>
        <color rgb="FF000000"/>
        <sz val="10.0"/>
      </rPr>
      <t>WAY</t>
    </r>
  </si>
  <si>
    <t>Dresses (may need help with back buttons and zippers such as on a dress)</t>
  </si>
  <si>
    <r>
      <rPr>
        <rFont val="Gill Sans"/>
        <color rgb="FF000000"/>
        <sz val="10.0"/>
      </rPr>
      <t xml:space="preserve"> </t>
    </r>
    <r>
      <rPr>
        <rFont val="Gill Sans MT"/>
        <b/>
        <i/>
        <color rgb="FF000000"/>
        <sz val="10.0"/>
      </rPr>
      <t>ONE</t>
    </r>
    <r>
      <rPr>
        <rFont val="Gill Sans MT"/>
        <color rgb="FF000000"/>
        <sz val="10.0"/>
      </rPr>
      <t xml:space="preserve"> bunny</t>
    </r>
  </si>
  <si>
    <t>Puts on coat</t>
  </si>
  <si>
    <t>Puts on socks</t>
  </si>
  <si>
    <t>Puts on pants</t>
  </si>
  <si>
    <r>
      <rPr>
        <rFont val="Gill Sans"/>
        <color rgb="FF000000"/>
        <sz val="10.0"/>
      </rPr>
      <t xml:space="preserve"> in a </t>
    </r>
    <r>
      <rPr>
        <rFont val="Gill Sans MT"/>
        <b/>
        <i/>
        <color rgb="FF000000"/>
        <sz val="10.0"/>
      </rPr>
      <t>MIN</t>
    </r>
    <r>
      <rPr>
        <rFont val="Gill Sans MT"/>
        <color rgb="FF000000"/>
        <sz val="10.0"/>
      </rPr>
      <t>-ute</t>
    </r>
  </si>
  <si>
    <t>Buckles and unbuckles most buckles (some may be more difficult)</t>
  </si>
  <si>
    <t>Zips and unzips all front zippers</t>
  </si>
  <si>
    <r>
      <rPr>
        <rFont val="Gill Sans"/>
        <b/>
        <i/>
        <color rgb="FF000000"/>
        <sz val="10.0"/>
      </rPr>
      <t xml:space="preserve"> TAKE</t>
    </r>
    <r>
      <rPr>
        <rFont val="Gill Sans MT"/>
        <b val="0"/>
        <i val="0"/>
        <color rgb="FF000000"/>
        <sz val="10.0"/>
      </rPr>
      <t xml:space="preserve"> it</t>
    </r>
  </si>
  <si>
    <t>Buttons and unbuttons front buttons</t>
  </si>
  <si>
    <r>
      <rPr>
        <rFont val="Gill Sans"/>
        <color rgb="FF000000"/>
        <sz val="10.0"/>
      </rPr>
      <t xml:space="preserve"> my </t>
    </r>
    <r>
      <rPr>
        <rFont val="Gill Sans MT"/>
        <b/>
        <i/>
        <color rgb="FF000000"/>
        <sz val="10.0"/>
      </rPr>
      <t>MOM</t>
    </r>
    <r>
      <rPr>
        <rFont val="Gill Sans MT"/>
        <color rgb="FF000000"/>
        <sz val="10.0"/>
      </rPr>
      <t>-my</t>
    </r>
  </si>
  <si>
    <t>Snaps and unsnaps front snaps</t>
  </si>
  <si>
    <r>
      <rPr>
        <rFont val="Gill Sans MT"/>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1 (0-18</t>
    </r>
    <r>
      <rPr>
        <rFont val="Gill Sans MT"/>
        <b/>
        <color rgb="FFFFFFFF"/>
        <sz val="8.0"/>
      </rPr>
      <t xml:space="preserve">   </t>
    </r>
    <r>
      <rPr>
        <rFont val="Gill Sans MT"/>
        <b/>
        <color rgb="FFFFFFFF"/>
        <sz val="14.0"/>
      </rPr>
      <t>MONTHS</t>
    </r>
    <r>
      <rPr>
        <rFont val="Gill Sans MT"/>
        <b/>
        <color rgb="FFFFFFFF"/>
        <sz val="22.0"/>
      </rPr>
      <t>)</t>
    </r>
  </si>
  <si>
    <t>Attempts to lace shoes</t>
  </si>
  <si>
    <t>Puts on shoes (discriminating right from left with a stimulus prompt)</t>
  </si>
  <si>
    <t>Attempts to tie shoes</t>
  </si>
  <si>
    <t>Hangs up own clothes on a hook</t>
  </si>
  <si>
    <t>Hangs up own clothes on a hanger (with assistance)</t>
  </si>
  <si>
    <t>Folds own clothes</t>
  </si>
  <si>
    <t>Puts clothes in drawer</t>
  </si>
  <si>
    <r>
      <rPr>
        <rFont val="Gill Sans"/>
        <color rgb="FF000000"/>
        <sz val="10.0"/>
      </rPr>
      <t xml:space="preserve"> bug-a-</t>
    </r>
    <r>
      <rPr>
        <rFont val="Gill Sans MT"/>
        <b/>
        <i/>
        <color rgb="FF000000"/>
        <sz val="10.0"/>
      </rPr>
      <t>BOO</t>
    </r>
  </si>
  <si>
    <r>
      <rPr>
        <rFont val="Gill Sans"/>
        <color rgb="FF000000"/>
        <sz val="10.0"/>
      </rPr>
      <t xml:space="preserve"> </t>
    </r>
    <r>
      <rPr>
        <rFont val="Gill Sans MT"/>
        <b/>
        <i/>
        <color rgb="FF000000"/>
        <sz val="10.0"/>
      </rPr>
      <t>UH</t>
    </r>
    <r>
      <rPr>
        <rFont val="Gill Sans MT"/>
        <color rgb="FF000000"/>
        <sz val="10.0"/>
      </rPr>
      <t>-oh</t>
    </r>
  </si>
  <si>
    <r>
      <rPr>
        <rFont val="Gill Sans"/>
        <b/>
        <color rgb="FF000000"/>
        <sz val="10.0"/>
      </rPr>
      <t xml:space="preserve"> </t>
    </r>
    <r>
      <rPr>
        <rFont val="Gill Sans MT"/>
        <b/>
        <i/>
        <color rgb="FF000000"/>
        <sz val="10.0"/>
      </rPr>
      <t>MY</t>
    </r>
    <r>
      <rPr>
        <rFont val="Gill Sans MT"/>
        <b val="0"/>
        <color rgb="FF000000"/>
        <sz val="10.0"/>
      </rPr>
      <t xml:space="preserve"> mommy</t>
    </r>
  </si>
  <si>
    <r>
      <rPr>
        <rFont val="Gill Sans"/>
        <color rgb="FF000000"/>
        <sz val="10.0"/>
      </rPr>
      <t xml:space="preserve"> bow-</t>
    </r>
    <r>
      <rPr>
        <rFont val="Gill Sans MT"/>
        <b/>
        <i/>
        <color rgb="FF000000"/>
        <sz val="10.0"/>
      </rPr>
      <t>WOW</t>
    </r>
  </si>
  <si>
    <r>
      <rPr>
        <rFont val="Gill Sans"/>
        <b/>
        <i/>
        <color rgb="FF000000"/>
        <sz val="10.0"/>
      </rPr>
      <t xml:space="preserve"> BUG</t>
    </r>
    <r>
      <rPr>
        <rFont val="Gill Sans MT"/>
        <b val="0"/>
        <i val="0"/>
        <color rgb="FF000000"/>
        <sz val="10.0"/>
      </rPr>
      <t>-a-boo</t>
    </r>
  </si>
  <si>
    <t xml:space="preserve"> BATHING AND GROOMING – BY ABOUT 18 MONTHS</t>
  </si>
  <si>
    <t>Wipes nose with a tissue (with assistance)</t>
  </si>
  <si>
    <t>Washes hands (with assistance)</t>
  </si>
  <si>
    <t>Dries hands (with assistance)</t>
  </si>
  <si>
    <t>Attempts toothbrushing (with assistance)</t>
  </si>
  <si>
    <t xml:space="preserve"> BATHING AND GROOMING – BY ABOUT 30 MONTHS</t>
  </si>
  <si>
    <t>Group 5: Prosody: other contexts</t>
  </si>
  <si>
    <t>Attempts to use a washcloth and soap while bathing (with assistance)</t>
  </si>
  <si>
    <t>= response correct or nearly so (1 point)</t>
  </si>
  <si>
    <t>Brushes teeth (with assistance)</t>
  </si>
  <si>
    <t>Washes face (with assistance)</t>
  </si>
  <si>
    <t>Dries face</t>
  </si>
  <si>
    <t>= response does not closely match model (0 points)</t>
  </si>
  <si>
    <t>Attempts to wash hands independently</t>
  </si>
  <si>
    <t>Dries hands</t>
  </si>
  <si>
    <t>Attempts to brush hair (but needs assistance)</t>
  </si>
  <si>
    <t>Pitch</t>
  </si>
  <si>
    <t xml:space="preserve"> BATHING AND GROOMING – BY ABOUT 48 MONTHS</t>
  </si>
  <si>
    <t>Echoes pitch variations in 1-2 lines of a familiar song</t>
  </si>
  <si>
    <r>
      <rPr>
        <rFont val="Gill Sans"/>
        <color rgb="FF000000"/>
        <sz val="9.0"/>
      </rPr>
      <t xml:space="preserve">Echoes continuous warble (fire truck </t>
    </r>
    <r>
      <rPr>
        <rFont val="Gill Sans MT"/>
        <i/>
        <color rgb="FF000000"/>
        <sz val="9.0"/>
      </rPr>
      <t>OO-oo-OO-oo-OO)</t>
    </r>
  </si>
  <si>
    <t>Wipes nose with a tissue and puts it in the trash</t>
  </si>
  <si>
    <t>Uses a washcloth and soap while bathing</t>
  </si>
  <si>
    <t>Loudness</t>
  </si>
  <si>
    <t>Washes hair (with assistance for longer hair)</t>
  </si>
  <si>
    <t>Brushes teeth</t>
  </si>
  <si>
    <t>Flosses teeth</t>
  </si>
  <si>
    <t>Echoes whispering</t>
  </si>
  <si>
    <t>Washes hands</t>
  </si>
  <si>
    <r>
      <rPr>
        <rFont val="Gill Sans"/>
        <color rgb="FF000000"/>
        <sz val="9.0"/>
      </rPr>
      <t>Echoes quiet/loud voice (</t>
    </r>
    <r>
      <rPr>
        <rFont val="Gill Sans MT"/>
        <i/>
        <color rgb="FF000000"/>
        <sz val="9.0"/>
      </rPr>
      <t>bye-bye</t>
    </r>
    <r>
      <rPr>
        <rFont val="Gill Sans MT"/>
        <color rgb="FF000000"/>
        <sz val="9.0"/>
      </rPr>
      <t xml:space="preserve"> vs. </t>
    </r>
    <r>
      <rPr>
        <rFont val="Gill Sans MT"/>
        <b/>
        <color rgb="FF000000"/>
        <sz val="9.0"/>
      </rPr>
      <t>BYE-BYE</t>
    </r>
    <r>
      <rPr>
        <rFont val="Gill Sans MT"/>
        <color rgb="FF000000"/>
        <sz val="9.0"/>
      </rPr>
      <t>)</t>
    </r>
  </si>
  <si>
    <t>Washes face</t>
  </si>
  <si>
    <t>Dries both face and hands</t>
  </si>
  <si>
    <t>Hangs up towel after washing</t>
  </si>
  <si>
    <t>Brushes hair (with assistance for longer hair)</t>
  </si>
  <si>
    <t>Duration</t>
  </si>
  <si>
    <t xml:space="preserve"> FEEDING – BY ABOUT 18 MONTHS</t>
  </si>
  <si>
    <t>Eats finger foods</t>
  </si>
  <si>
    <t>Drinks from a cup by self</t>
  </si>
  <si>
    <t>Uses a spoon to scoop food</t>
  </si>
  <si>
    <t>VP-MTS</t>
  </si>
  <si>
    <t>Sucks from a straw</t>
  </si>
  <si>
    <r>
      <rPr>
        <rFont val="Gill Sans"/>
        <color rgb="FF000000"/>
        <sz val="9.0"/>
      </rPr>
      <t xml:space="preserve">Sustains </t>
    </r>
    <r>
      <rPr>
        <rFont val="Gill Sans MT"/>
        <i/>
        <color rgb="FF000000"/>
        <sz val="9.0"/>
      </rPr>
      <t>ahh</t>
    </r>
    <r>
      <rPr>
        <rFont val="Gill Sans MT"/>
        <color rgb="FF000000"/>
        <sz val="9.0"/>
      </rPr>
      <t xml:space="preserve"> for 3 seconds, echoically</t>
    </r>
  </si>
  <si>
    <t xml:space="preserve"> FEEDING – BY ABOUT 30 MONTHS</t>
  </si>
  <si>
    <t>Uses a fork to pick up food</t>
  </si>
  <si>
    <t>5-M</t>
  </si>
  <si>
    <t>Uses a napkin</t>
  </si>
  <si>
    <t>Carries own lunch box or plate to table</t>
  </si>
  <si>
    <t>Opens own lunch box</t>
  </si>
  <si>
    <t>Opens ziploc bags</t>
  </si>
  <si>
    <t>Unwraps partially opened food packaging</t>
  </si>
  <si>
    <t>Puts a straw into a juice box</t>
  </si>
  <si>
    <t>Peels a banana</t>
  </si>
  <si>
    <t>5-e</t>
  </si>
  <si>
    <t>Takes off own bib</t>
  </si>
  <si>
    <t>5-c</t>
  </si>
  <si>
    <t xml:space="preserve"> FEEDING – BY ABOUT 48 MONTHS</t>
  </si>
  <si>
    <t>5-d</t>
  </si>
  <si>
    <t>Uses side of fork to cut softer foods</t>
  </si>
  <si>
    <t>Uses a knife for spreading</t>
  </si>
  <si>
    <t>Uses a knife for cutting (softer foods)</t>
  </si>
  <si>
    <t>5-b</t>
  </si>
  <si>
    <t>Keeps eating area reasonably clean while eating</t>
  </si>
  <si>
    <t>Unwraps most food packaging</t>
  </si>
  <si>
    <t>Opens milk or juice container</t>
  </si>
  <si>
    <t>Pours liquids into a cup or bowl (from a small pitcher or lunch thermos)</t>
  </si>
  <si>
    <t>Helps to prepare simple foods (spreading, stirring, using cookie cutters,</t>
  </si>
  <si>
    <t xml:space="preserve">    holds a beater, measuring ingredients, pouring ingredients)</t>
  </si>
  <si>
    <t>Helps to set the table for meals</t>
  </si>
  <si>
    <t>5-a</t>
  </si>
  <si>
    <t>Takes dishes to the sink</t>
  </si>
  <si>
    <t>Wipes the table with a sponge or towel</t>
  </si>
  <si>
    <t xml:space="preserve"> TOILETING – READINESS SKILLS – BY ABOUT 24 MONTHS</t>
  </si>
  <si>
    <t>Responds to reinforcement</t>
  </si>
  <si>
    <t>Follows simple directions</t>
  </si>
  <si>
    <t>Seems uncomfortable in soiled diapers</t>
  </si>
  <si>
    <t>Remains dry for 2 hours at a time</t>
  </si>
  <si>
    <t>Bowel movements are predictable and regular</t>
  </si>
  <si>
    <t>Pulls pants down</t>
  </si>
  <si>
    <t>Pulls pants up</t>
  </si>
  <si>
    <t>Can sit still for 2 minutes at a time</t>
  </si>
  <si>
    <t xml:space="preserve"> TOILETING – BY ABOUT 36 MONTHS</t>
  </si>
  <si>
    <t xml:space="preserve">Has learned a word, sign, or PECS for using the toilet (e.g., potty, pee, </t>
  </si>
  <si>
    <t xml:space="preserve">     sign for toilet)</t>
  </si>
  <si>
    <t>Requests to use the toilet</t>
  </si>
  <si>
    <t>Sits on toilet</t>
  </si>
  <si>
    <t>Urinates in toilet</t>
  </si>
  <si>
    <t>Wipes after urinating (girls)</t>
  </si>
  <si>
    <t>Defecates on toilet</t>
  </si>
  <si>
    <t>Wipes after defecating (with assistance)</t>
  </si>
  <si>
    <t>Pulls underwear up</t>
  </si>
  <si>
    <t>Zips or buttons pants</t>
  </si>
  <si>
    <t>Flushes toilet</t>
  </si>
  <si>
    <t>Washes hands (with some assistance)</t>
  </si>
  <si>
    <t xml:space="preserve"> TOILETING – BY ABOUT 48 MONTHS</t>
  </si>
  <si>
    <t>Aims into toilet standing (boys)</t>
  </si>
  <si>
    <t>Wipes self (girls wipe from front to back)</t>
  </si>
  <si>
    <t>Washes and dries hands independently</t>
  </si>
  <si>
    <t>Night-time trained</t>
  </si>
  <si>
    <t>4-M</t>
  </si>
  <si>
    <t>4-e</t>
  </si>
  <si>
    <t>4-b</t>
  </si>
  <si>
    <t>4-f</t>
  </si>
  <si>
    <t>4-d</t>
  </si>
  <si>
    <t>4-a</t>
  </si>
  <si>
    <t>4-c</t>
  </si>
  <si>
    <t>3-M</t>
  </si>
  <si>
    <t>3-d</t>
  </si>
  <si>
    <t>3-b</t>
  </si>
  <si>
    <t>3-f</t>
  </si>
  <si>
    <t>3-e</t>
  </si>
  <si>
    <t>3-c</t>
  </si>
  <si>
    <t>3-a</t>
  </si>
  <si>
    <t>2-M</t>
  </si>
  <si>
    <t>2-e</t>
  </si>
  <si>
    <t>2-a</t>
  </si>
  <si>
    <t>2-c</t>
  </si>
  <si>
    <t>2-d</t>
  </si>
  <si>
    <t>2-b</t>
  </si>
  <si>
    <t>1-M</t>
  </si>
  <si>
    <t>1-d</t>
  </si>
  <si>
    <t>1-a</t>
  </si>
  <si>
    <t>1-b</t>
  </si>
  <si>
    <t>1-c</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</si>
  <si>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2 (18-30</t>
    </r>
    <r>
      <rPr>
        <rFont val="Gill Sans MT"/>
        <b/>
        <color rgb="FFFFFFFF"/>
        <sz val="8.0"/>
      </rPr>
      <t xml:space="preserve">   </t>
    </r>
    <r>
      <rPr>
        <rFont val="Gill Sans MT"/>
        <b/>
        <color rgb="FFFFFFFF"/>
        <sz val="14.0"/>
      </rPr>
      <t>MONTHS</t>
    </r>
    <r>
      <rPr>
        <rFont val="Gill Sans MT"/>
        <b/>
        <color rgb="FFFFFFFF"/>
        <sz val="22.0"/>
      </rPr>
      <t>)</t>
    </r>
  </si>
  <si>
    <t>10-M</t>
  </si>
  <si>
    <t>10-f</t>
  </si>
  <si>
    <t>10-e</t>
  </si>
  <si>
    <t>10-g</t>
  </si>
  <si>
    <t>10-d</t>
  </si>
  <si>
    <t>10-c</t>
  </si>
  <si>
    <t>10-b</t>
  </si>
  <si>
    <t>10-a</t>
  </si>
  <si>
    <t>9-M</t>
  </si>
  <si>
    <t>9-f</t>
  </si>
  <si>
    <t>9-e</t>
  </si>
  <si>
    <t>9-d</t>
  </si>
  <si>
    <t>9-g</t>
  </si>
  <si>
    <t>9-c</t>
  </si>
  <si>
    <t>9-b</t>
  </si>
  <si>
    <t>9-a</t>
  </si>
  <si>
    <t>8-M</t>
  </si>
  <si>
    <t>8-f</t>
  </si>
  <si>
    <t>8-d</t>
  </si>
  <si>
    <t>8-e</t>
  </si>
  <si>
    <t>8-g</t>
  </si>
  <si>
    <t>8-c</t>
  </si>
  <si>
    <t>8-b</t>
  </si>
  <si>
    <t>8-a</t>
  </si>
  <si>
    <t>7-M</t>
  </si>
  <si>
    <t>7-g</t>
  </si>
  <si>
    <t>7-e</t>
  </si>
  <si>
    <t>7-d</t>
  </si>
  <si>
    <t>7-f</t>
  </si>
  <si>
    <t>7-c</t>
  </si>
  <si>
    <t>7-b</t>
  </si>
  <si>
    <t>7-a</t>
  </si>
  <si>
    <t>6-M</t>
  </si>
  <si>
    <t>6-e</t>
  </si>
  <si>
    <t>6-d</t>
  </si>
  <si>
    <t>6-h</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</si>
  <si>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3 (30-48</t>
    </r>
    <r>
      <rPr>
        <rFont val="Gill Sans MT"/>
        <b/>
        <color rgb="FFFFFFFF"/>
        <sz val="8.0"/>
      </rPr>
      <t xml:space="preserve">   </t>
    </r>
    <r>
      <rPr>
        <rFont val="Gill Sans MT"/>
        <b/>
        <color rgb="FFFFFFFF"/>
        <sz val="14.0"/>
      </rPr>
      <t>MONTHS</t>
    </r>
    <r>
      <rPr>
        <rFont val="Gill Sans MT"/>
        <b/>
        <color rgb="FFFFFFFF"/>
        <sz val="22.0"/>
      </rPr>
      <t>)</t>
    </r>
  </si>
  <si>
    <t>6-c</t>
  </si>
  <si>
    <t>6-g</t>
  </si>
  <si>
    <t>6-b</t>
  </si>
  <si>
    <t>6-f</t>
  </si>
  <si>
    <t>6-a</t>
  </si>
  <si>
    <t>15-M</t>
  </si>
  <si>
    <t>15-e</t>
  </si>
  <si>
    <t>15-g</t>
  </si>
  <si>
    <t>15-d</t>
  </si>
  <si>
    <t>15-c</t>
  </si>
  <si>
    <t>15-f</t>
  </si>
  <si>
    <t>15-k</t>
  </si>
  <si>
    <t>15-h</t>
  </si>
  <si>
    <t>15-b</t>
  </si>
  <si>
    <t>15-j</t>
  </si>
  <si>
    <t>15-a</t>
  </si>
  <si>
    <t>15-i</t>
  </si>
  <si>
    <t>14-M</t>
  </si>
  <si>
    <t>14-d</t>
  </si>
  <si>
    <t>14-e</t>
  </si>
  <si>
    <t>14-f</t>
  </si>
  <si>
    <t>14-k</t>
  </si>
  <si>
    <t>14-c</t>
  </si>
  <si>
    <t>14-j</t>
  </si>
  <si>
    <t>14-b</t>
  </si>
  <si>
    <t>14-i</t>
  </si>
  <si>
    <t>14-a</t>
  </si>
  <si>
    <t>14-h</t>
  </si>
  <si>
    <t>14-g</t>
  </si>
  <si>
    <t>13-M</t>
  </si>
  <si>
    <t>13-f</t>
  </si>
  <si>
    <t>13-e</t>
  </si>
  <si>
    <t>13-d</t>
  </si>
  <si>
    <t>13-h</t>
  </si>
  <si>
    <t>13-i</t>
  </si>
  <si>
    <t>13-c</t>
  </si>
  <si>
    <t>13-g</t>
  </si>
  <si>
    <t>13-b</t>
  </si>
  <si>
    <t>13-a</t>
  </si>
  <si>
    <t>12-M</t>
  </si>
  <si>
    <t>12-e</t>
  </si>
  <si>
    <t>12-g</t>
  </si>
  <si>
    <t>12-f</t>
  </si>
  <si>
    <t>12-d</t>
  </si>
  <si>
    <t>12-c</t>
  </si>
  <si>
    <t>12-b</t>
  </si>
  <si>
    <t>12-a</t>
  </si>
  <si>
    <t>11-M</t>
  </si>
  <si>
    <t>11-e</t>
  </si>
  <si>
    <t>11-i</t>
  </si>
  <si>
    <t>11-f</t>
  </si>
  <si>
    <t>11-d</t>
  </si>
  <si>
    <t>11-g</t>
  </si>
  <si>
    <t>11-c</t>
  </si>
  <si>
    <t>11-h</t>
  </si>
  <si>
    <t>11-b</t>
  </si>
  <si>
    <t>11-a</t>
  </si>
  <si>
    <t>VB-MAPP Present Level of Performance</t>
  </si>
  <si>
    <t>Date of Report:</t>
  </si>
  <si>
    <t>Milestones</t>
  </si>
  <si>
    <t>Barriers</t>
  </si>
  <si>
    <t>Transition</t>
  </si>
  <si>
    <t>Overall Score:</t>
  </si>
  <si>
    <t>Level 1 score:</t>
  </si>
  <si>
    <t>Behavior Problems</t>
  </si>
  <si>
    <t>Language, Social, &amp; Academic Levels</t>
  </si>
  <si>
    <t>Instructional Control</t>
  </si>
  <si>
    <t>Milestone score</t>
  </si>
  <si>
    <t>Level 2 score:</t>
  </si>
  <si>
    <t>Defective Mand</t>
  </si>
  <si>
    <t>Barriers score</t>
  </si>
  <si>
    <t>Defective Tact</t>
  </si>
  <si>
    <t>Level of instructional control</t>
  </si>
  <si>
    <t>Level 3 score:</t>
  </si>
  <si>
    <t>Defective Imitation</t>
  </si>
  <si>
    <t>Group skills</t>
  </si>
  <si>
    <t>Defective Echoic</t>
  </si>
  <si>
    <t>Social skills &amp; social play</t>
  </si>
  <si>
    <t>Defective VP-MTS</t>
  </si>
  <si>
    <t>Ind. academic work</t>
  </si>
  <si>
    <t>Defective Listener</t>
  </si>
  <si>
    <t>Defective Intraverbal</t>
  </si>
  <si>
    <t>Defective Social Skills</t>
  </si>
  <si>
    <t>Learning Patterns</t>
  </si>
  <si>
    <t>Animal sounds &amp; song fill-ins:</t>
  </si>
  <si>
    <t>Prompt Dependent</t>
  </si>
  <si>
    <t>Generalization</t>
  </si>
  <si>
    <t>Scrolling</t>
  </si>
  <si>
    <t>Reinforcer range</t>
  </si>
  <si>
    <t>Name, fill-ins, &amp; associations:</t>
  </si>
  <si>
    <t>Defective Scanning</t>
  </si>
  <si>
    <t>Rate of acquisition</t>
  </si>
  <si>
    <t>Defective Conditional Discrimination</t>
  </si>
  <si>
    <t>Retention of skills</t>
  </si>
  <si>
    <r>
      <rPr>
        <rFont val="Gill Sans"/>
        <color rgb="FF000000"/>
        <sz val="11.0"/>
      </rPr>
      <t xml:space="preserve">Simple </t>
    </r>
    <r>
      <rPr>
        <rFont val="Gill Sans MT"/>
        <i/>
        <color rgb="FF000000"/>
        <sz val="11.0"/>
      </rPr>
      <t>what</t>
    </r>
    <r>
      <rPr>
        <rFont val="Gill Sans MT"/>
        <color rgb="FF000000"/>
        <sz val="11.0"/>
      </rPr>
      <t xml:space="preserve"> questions:</t>
    </r>
  </si>
  <si>
    <t>Failure to Generalize</t>
  </si>
  <si>
    <t>Natural environment learning</t>
  </si>
  <si>
    <t>Weak Motivators</t>
  </si>
  <si>
    <t>Transfer without training</t>
  </si>
  <si>
    <r>
      <rPr>
        <rFont val="Gill Sans"/>
        <color rgb="FF000000"/>
        <sz val="11.0"/>
      </rPr>
      <t xml:space="preserve">Simple </t>
    </r>
    <r>
      <rPr>
        <rFont val="Gill Sans MT"/>
        <i/>
        <color rgb="FF000000"/>
        <sz val="11.0"/>
      </rPr>
      <t>who, where, &amp; age:</t>
    </r>
  </si>
  <si>
    <t>Response Requirement Weakens MO</t>
  </si>
  <si>
    <t>Reinforcer Dependent</t>
  </si>
  <si>
    <t>Categories, functions, features:</t>
  </si>
  <si>
    <t>Self-Stimulation</t>
  </si>
  <si>
    <t>Self-help, Spontaneity, &amp; Self-direction</t>
  </si>
  <si>
    <t>Defective Articulation</t>
  </si>
  <si>
    <t>Adaptability to change</t>
  </si>
  <si>
    <t>Adjectives, prepositions, adverbs:</t>
  </si>
  <si>
    <t>Obsessive-Compulsive Behavior</t>
  </si>
  <si>
    <t>Spontaneous behaviors</t>
  </si>
  <si>
    <t>Hyperactive Behavior</t>
  </si>
  <si>
    <t>Self-directed leisure time</t>
  </si>
  <si>
    <t>Multiple-part questions - 1:</t>
  </si>
  <si>
    <t>Failure to Make Eye Contact</t>
  </si>
  <si>
    <t>General self-help</t>
  </si>
  <si>
    <t>Sensory Defensiveness</t>
  </si>
  <si>
    <t>Toileting</t>
  </si>
  <si>
    <t>Multiple-part questions - 2:</t>
  </si>
  <si>
    <t>Eating skills</t>
  </si>
  <si>
    <t>SUMS</t>
  </si>
  <si>
    <t>1st testing</t>
  </si>
  <si>
    <t>2nd testing</t>
  </si>
  <si>
    <t>3rd testing</t>
  </si>
  <si>
    <t>4th testing</t>
  </si>
  <si>
    <t>Intraverbal Assessment</t>
  </si>
  <si>
    <t>Current -&gt;</t>
  </si>
  <si>
    <t>Name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</si>
</sst>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409]mmm\-yy"/>
    <numFmt numFmtId="165" formatCode="m/d/yy"/>
  </numFmts>
  <fonts count="69">
    <font>
      <sz val="11.0"/>
      <color theme="1"/>
      <name val="Calibri"/>
      <scheme val="minor"/>
    </font>
    <font>
      <b/>
      <sz val="22.0"/>
      <color rgb="FFFFFFFF"/>
      <name val="Gill Sans"/>
    </font>
    <font/>
    <font>
      <sz val="11.0"/>
      <color theme="1"/>
      <name val="Calibri"/>
    </font>
    <font>
      <b/>
      <sz val="14.0"/>
      <color rgb="FF7F7F7F"/>
      <name val="Gill Sans"/>
    </font>
    <font>
      <b/>
      <sz val="11.0"/>
      <color rgb="FF7F7F7F"/>
      <name val="Gill Sans"/>
    </font>
    <font>
      <sz val="8.0"/>
      <color rgb="FF000000"/>
      <name val="Noto Sans Symbols"/>
    </font>
    <font>
      <color theme="1"/>
      <name val="Calibri"/>
    </font>
    <font>
      <sz val="11.0"/>
      <color rgb="FFD8D8D8"/>
      <name val="Calibri"/>
    </font>
    <font>
      <i/>
      <sz val="11.0"/>
      <color theme="1"/>
      <name val="Calibri"/>
    </font>
    <font>
      <sz val="11.0"/>
      <color theme="0"/>
      <name val="Calibri"/>
    </font>
    <font>
      <sz val="14.0"/>
      <color rgb="FF000000"/>
      <name val="Gill Sans"/>
    </font>
    <font>
      <sz val="11.0"/>
      <color rgb="FF7F7F7F"/>
      <name val="Gill Sans"/>
    </font>
    <font>
      <b/>
      <sz val="12.0"/>
      <color rgb="FF000000"/>
      <name val="Arial Narrow"/>
    </font>
    <font>
      <sz val="8.0"/>
      <color rgb="FF7F7F7F"/>
      <name val="Calibri"/>
    </font>
    <font>
      <sz val="11.0"/>
      <color rgb="FF000000"/>
      <name val="Gill Sans"/>
    </font>
    <font>
      <sz val="10.0"/>
      <color rgb="FF000000"/>
      <name val="Gill Sans"/>
    </font>
    <font>
      <b/>
      <sz val="11.0"/>
      <color rgb="FFFFFFFF"/>
      <name val="Gill Sans"/>
    </font>
    <font>
      <b/>
      <sz val="11.0"/>
      <color rgb="FF1E4778"/>
      <name val="Gill Sans"/>
    </font>
    <font>
      <b/>
      <sz val="11.0"/>
      <color theme="1"/>
      <name val="Calibri"/>
    </font>
    <font>
      <b/>
      <sz val="12.0"/>
      <color rgb="FF000000"/>
      <name val="Arial"/>
    </font>
    <font>
      <b/>
      <sz val="11.0"/>
      <color rgb="FF00B050"/>
      <name val="Gill Sans"/>
    </font>
    <font>
      <b/>
      <sz val="11.0"/>
      <color rgb="FF000000"/>
      <name val="Arial Narrow"/>
    </font>
    <font>
      <b/>
      <sz val="11.0"/>
      <color rgb="FFFF3300"/>
      <name val="Gill Sans"/>
    </font>
    <font>
      <u/>
      <sz val="11.0"/>
      <color theme="1"/>
      <name val="Calibri"/>
    </font>
    <font>
      <b/>
      <sz val="22.0"/>
      <color rgb="FFD8D8D8"/>
      <name val="Gill Sans"/>
    </font>
    <font>
      <b/>
      <sz val="11.0"/>
      <color rgb="FF595959"/>
      <name val="Gill Sans"/>
    </font>
    <font>
      <sz val="11.0"/>
      <color rgb="FF595959"/>
      <name val="Gill Sans"/>
    </font>
    <font>
      <sz val="11.0"/>
      <color rgb="FF595959"/>
      <name val="Calibri"/>
    </font>
    <font>
      <b/>
      <sz val="12.0"/>
      <color theme="1"/>
      <name val="Calibri"/>
    </font>
    <font>
      <i/>
      <sz val="12.0"/>
      <color theme="1"/>
      <name val="Calibri"/>
    </font>
    <font>
      <b/>
      <sz val="11.0"/>
      <color rgb="FFE36C09"/>
      <name val="Gill Sans"/>
    </font>
    <font>
      <sz val="12.0"/>
      <color theme="1"/>
      <name val="Calibri"/>
    </font>
    <font>
      <sz val="12.0"/>
      <color rgb="FF595959"/>
      <name val="Calibri"/>
    </font>
    <font>
      <b/>
      <sz val="14.0"/>
      <color rgb="FFFFFFFF"/>
      <name val="Gill Sans"/>
    </font>
    <font>
      <sz val="14.0"/>
      <color theme="1"/>
      <name val="Calibri"/>
    </font>
    <font>
      <b/>
      <sz val="11.0"/>
      <color rgb="FFFF0000"/>
      <name val="Gill Sans"/>
    </font>
    <font>
      <sz val="12.0"/>
      <color rgb="FF000000"/>
      <name val="Gill Sans"/>
    </font>
    <font>
      <b/>
      <sz val="8.0"/>
      <color rgb="FFFFFFFF"/>
      <name val="Gill Sans"/>
    </font>
    <font>
      <b/>
      <sz val="9.0"/>
      <color rgb="FFFF0000"/>
      <name val="Gill Sans"/>
    </font>
    <font>
      <b/>
      <sz val="9.0"/>
      <color rgb="FF7F7F7F"/>
      <name val="Gill Sans"/>
    </font>
    <font>
      <i/>
      <sz val="11.0"/>
      <color rgb="FF000000"/>
      <name val="Gill Sans"/>
    </font>
    <font>
      <b/>
      <sz val="8.0"/>
      <color rgb="FF7F7F7F"/>
      <name val="Gill Sans"/>
    </font>
    <font>
      <i/>
      <u/>
      <sz val="11.0"/>
      <color theme="1"/>
      <name val="Calibri"/>
    </font>
    <font>
      <b/>
      <sz val="14.0"/>
      <color rgb="FF01AB01"/>
      <name val="Gill Sans"/>
    </font>
    <font>
      <u/>
      <sz val="11.0"/>
      <color rgb="FF0000FF"/>
      <name val="Calibri"/>
    </font>
    <font>
      <b/>
      <sz val="12.0"/>
      <color rgb="FFFF0000"/>
      <name val="Gill Sans"/>
    </font>
    <font>
      <b/>
      <sz val="12.0"/>
      <color rgb="FF01AB01"/>
      <name val="Gill Sans"/>
    </font>
    <font>
      <sz val="13.0"/>
      <color rgb="FF000000"/>
      <name val="Gill Sans"/>
    </font>
    <font>
      <b/>
      <sz val="12.0"/>
      <color rgb="FF1E4778"/>
      <name val="Gill Sans"/>
    </font>
    <font>
      <b/>
      <i/>
      <sz val="10.0"/>
      <color rgb="FF000000"/>
      <name val="Gill Sans"/>
    </font>
    <font>
      <b/>
      <sz val="10.0"/>
      <color rgb="FF000000"/>
      <name val="Gill Sans"/>
    </font>
    <font>
      <sz val="9.0"/>
      <color rgb="FF000000"/>
      <name val="Gill Sans"/>
    </font>
    <font>
      <sz val="11.0"/>
      <color rgb="FFFF0000"/>
      <name val="Calibri"/>
    </font>
    <font>
      <sz val="12.0"/>
      <color rgb="FF595959"/>
      <name val="Gill Sans"/>
    </font>
    <font>
      <sz val="8.0"/>
      <color theme="1"/>
      <name val="Calibri"/>
    </font>
    <font>
      <sz val="8.0"/>
      <color theme="0"/>
      <name val="Calibri"/>
    </font>
    <font>
      <sz val="11.0"/>
      <color rgb="FFBFBFBF"/>
      <name val="Calibri"/>
    </font>
    <font>
      <b/>
      <u/>
      <sz val="14.0"/>
      <color rgb="FFFFFFFF"/>
      <name val="Gill Sans"/>
    </font>
    <font>
      <b/>
      <u/>
      <sz val="14.0"/>
      <color rgb="FFFFFFFF"/>
      <name val="Gill Sans"/>
    </font>
    <font>
      <b/>
      <u/>
      <sz val="14.0"/>
      <color rgb="FFFFFFFF"/>
      <name val="Gill Sans"/>
    </font>
    <font>
      <b/>
      <u/>
      <sz val="14.0"/>
      <color rgb="FF000000"/>
      <name val="Gill Sans"/>
    </font>
    <font>
      <b/>
      <sz val="11.0"/>
      <color rgb="FF000000"/>
      <name val="Gill Sans"/>
    </font>
    <font>
      <sz val="11.0"/>
      <color rgb="FF3F3F3F"/>
      <name val="Gill Sans"/>
    </font>
    <font>
      <b/>
      <sz val="11.0"/>
      <color rgb="FF7F7F7F"/>
      <name val="Calibri"/>
    </font>
    <font>
      <sz val="11.0"/>
      <color rgb="FFFFFFFF"/>
      <name val="Gill Sans"/>
    </font>
    <font>
      <sz val="10.0"/>
      <color theme="1"/>
      <name val="Gill Sans"/>
    </font>
    <font>
      <sz val="11.0"/>
      <color rgb="FF3F3F3F"/>
      <name val="Calibri"/>
    </font>
    <font>
      <b/>
      <u/>
      <sz val="11.0"/>
      <color theme="1"/>
      <name val="Calibri"/>
    </font>
  </fonts>
  <fills count="27">
    <fill>
      <patternFill patternType="none"/>
    </fill>
    <fill>
      <patternFill patternType="lightGray"/>
    </fill>
    <fill>
      <patternFill patternType="solid">
        <fgColor rgb="FFA5A5A5"/>
        <bgColor rgb="FFA5A5A5"/>
      </patternFill>
    </fill>
    <fill>
      <patternFill patternType="solid">
        <fgColor rgb="FFD8D8D8"/>
        <bgColor rgb="FFD8D8D8"/>
      </patternFill>
    </fill>
    <fill>
      <patternFill patternType="solid">
        <fgColor rgb="FF6A3682"/>
        <bgColor rgb="FF6A3682"/>
      </patternFill>
    </fill>
    <fill>
      <patternFill patternType="solid">
        <fgColor rgb="FFC095D3"/>
        <bgColor rgb="FFC095D3"/>
      </patternFill>
    </fill>
    <fill>
      <patternFill patternType="solid">
        <fgColor rgb="FF015001"/>
        <bgColor rgb="FF015001"/>
      </patternFill>
    </fill>
    <fill>
      <patternFill patternType="solid">
        <fgColor rgb="FF9FD692"/>
        <bgColor rgb="FF9FD692"/>
      </patternFill>
    </fill>
    <fill>
      <patternFill patternType="solid">
        <fgColor rgb="FFEA0000"/>
        <bgColor rgb="FFEA0000"/>
      </patternFill>
    </fill>
    <fill>
      <patternFill patternType="solid">
        <fgColor rgb="FFFFFF00"/>
        <bgColor rgb="FFFFFF00"/>
      </patternFill>
    </fill>
    <fill>
      <patternFill patternType="solid">
        <fgColor rgb="FFE36C09"/>
        <bgColor rgb="FFE36C09"/>
      </patternFill>
    </fill>
    <fill>
      <patternFill patternType="solid">
        <fgColor rgb="FFFFAF8B"/>
        <bgColor rgb="FFFFAF8B"/>
      </patternFill>
    </fill>
    <fill>
      <patternFill patternType="solid">
        <fgColor rgb="FFC00000"/>
        <bgColor rgb="FFC00000"/>
      </patternFill>
    </fill>
    <fill>
      <patternFill patternType="solid">
        <fgColor rgb="FF548DD4"/>
        <bgColor rgb="FF548DD4"/>
      </patternFill>
    </fill>
    <fill>
      <patternFill patternType="solid">
        <fgColor rgb="FF9C9DD4"/>
        <bgColor rgb="FF9C9DD4"/>
      </patternFill>
    </fill>
    <fill>
      <patternFill patternType="solid">
        <fgColor rgb="FFDFFDBB"/>
        <bgColor rgb="FFDFFDBB"/>
      </patternFill>
    </fill>
    <fill>
      <patternFill patternType="solid">
        <fgColor rgb="FFFDD599"/>
        <bgColor rgb="FFFDD599"/>
      </patternFill>
    </fill>
    <fill>
      <patternFill patternType="solid">
        <fgColor rgb="FFFFCE6D"/>
        <bgColor rgb="FFFFCE6D"/>
      </patternFill>
    </fill>
    <fill>
      <patternFill patternType="solid">
        <fgColor theme="0"/>
        <bgColor theme="0"/>
      </patternFill>
    </fill>
    <fill>
      <patternFill patternType="solid">
        <fgColor rgb="FFFF0000"/>
        <bgColor rgb="FFFF0000"/>
      </patternFill>
    </fill>
    <fill>
      <patternFill patternType="solid">
        <fgColor rgb="FFFDA563"/>
        <bgColor rgb="FFFDA563"/>
      </patternFill>
    </fill>
    <fill>
      <patternFill patternType="solid">
        <fgColor rgb="FFCCFDBB"/>
        <bgColor rgb="FFCCFDBB"/>
      </patternFill>
    </fill>
    <fill>
      <patternFill patternType="solid">
        <fgColor rgb="FF018D01"/>
        <bgColor rgb="FF018D01"/>
      </patternFill>
    </fill>
    <fill>
      <patternFill patternType="solid">
        <fgColor rgb="FF1E4778"/>
        <bgColor rgb="FF1E4778"/>
      </patternFill>
    </fill>
    <fill>
      <patternFill patternType="solid">
        <fgColor rgb="FF595959"/>
        <bgColor rgb="FF595959"/>
      </patternFill>
    </fill>
    <fill>
      <patternFill patternType="solid">
        <fgColor rgb="FF7030A0"/>
        <bgColor rgb="FF7030A0"/>
      </patternFill>
    </fill>
    <fill>
      <patternFill patternType="solid">
        <fgColor theme="1"/>
        <bgColor theme="1"/>
      </patternFill>
    </fill>
  </fills>
  <borders count="202">
    <border/>
    <border>
      <left/>
      <top/>
    </border>
    <border>
      <top/>
    </border>
    <border>
      <left/>
      <right/>
      <top/>
      <bottom/>
    </border>
    <border>
      <left/>
    </border>
    <border>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1E4778"/>
      </left>
      <top style="thin">
        <color rgb="FF1E4778"/>
      </top>
      <bottom style="thin">
        <color rgb="FF1E4778"/>
      </bottom>
    </border>
    <border>
      <top style="thin">
        <color rgb="FF1E4778"/>
      </top>
      <bottom style="thin">
        <color rgb="FF1E4778"/>
      </bottom>
    </border>
    <border>
      <right style="thin">
        <color rgb="FF1E4778"/>
      </right>
      <top style="thin">
        <color rgb="FF1E4778"/>
      </top>
      <bottom style="thin">
        <color rgb="FF1E4778"/>
      </bottom>
    </border>
    <border>
      <right style="medium">
        <color rgb="FF000000"/>
      </right>
    </border>
    <border>
      <left style="medium">
        <color rgb="FF000000"/>
      </left>
      <right style="thin">
        <color rgb="FF000000"/>
      </right>
    </border>
    <border>
      <left style="thin">
        <color rgb="FF000000"/>
      </left>
      <top style="thin">
        <color rgb="FF000000"/>
      </top>
    </border>
    <border>
      <right style="thin">
        <color rgb="FF000000"/>
      </right>
      <top style="thin">
        <color rgb="FF000000"/>
      </top>
    </border>
    <border>
      <left style="thin">
        <color rgb="FF000000"/>
      </left>
    </border>
    <border>
      <right style="thin">
        <color rgb="FF000000"/>
      </right>
    </border>
    <border>
      <right style="medium">
        <color rgb="FF1E4778"/>
      </right>
    </border>
    <border>
      <left style="thin">
        <color rgb="FF1E4778"/>
      </left>
      <top style="thin">
        <color rgb="FF1E4778"/>
      </top>
      <bottom style="dotted">
        <color rgb="FF1E4778"/>
      </bottom>
    </border>
    <border>
      <top style="thin">
        <color rgb="FF1E4778"/>
      </top>
      <bottom style="dotted">
        <color rgb="FF1E4778"/>
      </bottom>
    </border>
    <border>
      <right style="thin">
        <color rgb="FF1E4778"/>
      </right>
      <top style="thin">
        <color rgb="FF1E4778"/>
      </top>
      <bottom style="dotted">
        <color rgb="FF1E4778"/>
      </bottom>
    </border>
    <border>
      <left style="thin">
        <color rgb="FF1E4778"/>
      </left>
      <top style="dotted">
        <color rgb="FF1E4778"/>
      </top>
      <bottom style="thin">
        <color rgb="FF1E4778"/>
      </bottom>
    </border>
    <border>
      <top style="dotted">
        <color rgb="FF1E4778"/>
      </top>
      <bottom style="thin">
        <color rgb="FF1E4778"/>
      </bottom>
    </border>
    <border>
      <right style="thin">
        <color rgb="FF1E4778"/>
      </right>
      <top style="dotted">
        <color rgb="FF1E4778"/>
      </top>
      <bottom style="thin">
        <color rgb="FF1E4778"/>
      </bottom>
    </border>
    <border>
      <left style="thin">
        <color rgb="FF1E4778"/>
      </left>
      <bottom style="thin">
        <color rgb="FF1E4778"/>
      </bottom>
    </border>
    <border>
      <bottom style="thin">
        <color rgb="FF1E4778"/>
      </bottom>
    </border>
    <border>
      <right style="thin">
        <color rgb="FF1E4778"/>
      </right>
      <bottom style="thin">
        <color rgb="FF1E4778"/>
      </bottom>
    </border>
    <border>
      <left style="thin">
        <color rgb="FF000000"/>
      </left>
      <bottom style="thin">
        <color rgb="FF000000"/>
      </bottom>
    </border>
    <border>
      <right style="thin">
        <color rgb="FF000000"/>
      </right>
      <bottom style="thin">
        <color rgb="FF000000"/>
      </bottom>
    </border>
    <border>
      <right style="thin">
        <color rgb="FF1E4778"/>
      </right>
    </border>
    <border>
      <left style="thin">
        <color rgb="FF1E4778"/>
      </left>
    </border>
    <border>
      <left style="thin">
        <color rgb="FF1E4778"/>
      </left>
      <right style="thin">
        <color rgb="FF1E4778"/>
      </right>
    </border>
    <border>
      <left style="thin">
        <color rgb="FF00B050"/>
      </left>
      <top style="thin">
        <color rgb="FF00B050"/>
      </top>
      <bottom style="thin">
        <color rgb="FF00B050"/>
      </bottom>
    </border>
    <border>
      <top style="thin">
        <color rgb="FF00B050"/>
      </top>
      <bottom style="thin">
        <color rgb="FF00B050"/>
      </bottom>
    </border>
    <border>
      <right style="thin">
        <color rgb="FF00B050"/>
      </right>
      <top style="thin">
        <color rgb="FF00B050"/>
      </top>
      <bottom style="thin">
        <color rgb="FF00B050"/>
      </bottom>
    </border>
    <border>
      <left style="medium">
        <color rgb="FF000000"/>
      </left>
      <right style="thin">
        <color rgb="FF000000"/>
      </right>
      <bottom style="medium">
        <color rgb="FF000000"/>
      </bottom>
    </border>
    <border>
      <left style="thin">
        <color rgb="FF000000"/>
      </left>
      <bottom style="medium">
        <color rgb="FF000000"/>
      </bottom>
    </border>
    <border>
      <right style="thin">
        <color rgb="FF000000"/>
      </right>
      <bottom style="medium">
        <color rgb="FF000000"/>
      </bottom>
    </border>
    <border>
      <top style="medium">
        <color rgb="FF000000"/>
      </top>
    </border>
    <border>
      <right style="medium">
        <color rgb="FF00B050"/>
      </right>
    </border>
    <border>
      <left style="thin">
        <color rgb="FF00B050"/>
      </left>
      <top style="thin">
        <color rgb="FF00B050"/>
      </top>
      <bottom style="dotted">
        <color rgb="FF00B050"/>
      </bottom>
    </border>
    <border>
      <top style="thin">
        <color rgb="FF00B050"/>
      </top>
      <bottom style="dotted">
        <color rgb="FF00B050"/>
      </bottom>
    </border>
    <border>
      <right style="thin">
        <color rgb="FF00B050"/>
      </right>
      <top style="thin">
        <color rgb="FF00B050"/>
      </top>
      <bottom style="dotted">
        <color rgb="FF00B050"/>
      </bottom>
    </border>
    <border>
      <left style="thin">
        <color rgb="FF00B050"/>
      </left>
      <bottom style="thin">
        <color rgb="FF00B050"/>
      </bottom>
    </border>
    <border>
      <bottom style="thin">
        <color rgb="FF00B050"/>
      </bottom>
    </border>
    <border>
      <right style="thin">
        <color rgb="FF00B050"/>
      </right>
      <bottom style="thin">
        <color rgb="FF00B050"/>
      </bottom>
    </border>
    <border>
      <right style="thin">
        <color rgb="FF00B050"/>
      </right>
    </border>
    <border>
      <left style="thin">
        <color rgb="FF00B050"/>
      </left>
    </border>
    <border>
      <left style="thin">
        <color rgb="FFFF3300"/>
      </left>
      <top style="thin">
        <color rgb="FFFF3300"/>
      </top>
      <bottom style="thin">
        <color rgb="FFFF3300"/>
      </bottom>
    </border>
    <border>
      <top style="thin">
        <color rgb="FFFF3300"/>
      </top>
      <bottom style="thin">
        <color rgb="FFFF3300"/>
      </bottom>
    </border>
    <border>
      <right style="thin">
        <color rgb="FFFF3300"/>
      </right>
      <top style="thin">
        <color rgb="FFFF3300"/>
      </top>
      <bottom style="thin">
        <color rgb="FFFF3300"/>
      </bottom>
    </border>
    <border>
      <right style="medium">
        <color rgb="FFFF3300"/>
      </right>
    </border>
    <border>
      <left style="thin">
        <color rgb="FFFF3300"/>
      </left>
      <top style="thin">
        <color rgb="FFFF3300"/>
      </top>
      <bottom style="dotted">
        <color rgb="FFFF3300"/>
      </bottom>
    </border>
    <border>
      <top style="thin">
        <color rgb="FFFF3300"/>
      </top>
      <bottom style="dotted">
        <color rgb="FFFF3300"/>
      </bottom>
    </border>
    <border>
      <right style="thin">
        <color rgb="FFFF3300"/>
      </right>
      <top style="thin">
        <color rgb="FFFF3300"/>
      </top>
      <bottom style="dotted">
        <color rgb="FFFF3300"/>
      </bottom>
    </border>
    <border>
      <left style="thin">
        <color rgb="FFFF3300"/>
      </left>
      <top style="dotted">
        <color rgb="FFFF3300"/>
      </top>
      <bottom style="thin">
        <color rgb="FFFF3300"/>
      </bottom>
    </border>
    <border>
      <top style="dotted">
        <color rgb="FFFF3300"/>
      </top>
      <bottom style="thin">
        <color rgb="FFFF3300"/>
      </bottom>
    </border>
    <border>
      <right style="thin">
        <color rgb="FFFF3300"/>
      </right>
      <top style="dotted">
        <color rgb="FFFF3300"/>
      </top>
      <bottom style="thin">
        <color rgb="FFFF3300"/>
      </bottom>
    </border>
    <border>
      <left style="thin">
        <color rgb="FFFF3300"/>
      </left>
      <bottom style="dotted">
        <color rgb="FFFF3300"/>
      </bottom>
    </border>
    <border>
      <bottom style="dotted">
        <color rgb="FFFF3300"/>
      </bottom>
    </border>
    <border>
      <right style="thin">
        <color rgb="FFFF3300"/>
      </right>
      <bottom style="dotted">
        <color rgb="FFFF3300"/>
      </bottom>
    </border>
    <border>
      <right style="thin">
        <color rgb="FFFF3300"/>
      </right>
    </border>
    <border>
      <left style="thin">
        <color rgb="FFFF3300"/>
      </left>
    </border>
    <border>
      <left style="medium">
        <color rgb="FF974806"/>
      </left>
      <top style="medium">
        <color rgb="FF974806"/>
      </top>
      <bottom style="medium">
        <color rgb="FF974806"/>
      </bottom>
    </border>
    <border>
      <top style="medium">
        <color rgb="FF974806"/>
      </top>
      <bottom style="medium">
        <color rgb="FF974806"/>
      </bottom>
    </border>
    <border>
      <right style="thin">
        <color rgb="FF974806"/>
      </right>
      <top style="medium">
        <color rgb="FF974806"/>
      </top>
      <bottom style="medium">
        <color rgb="FF974806"/>
      </bottom>
    </border>
    <border>
      <left style="thin">
        <color rgb="FF974806"/>
      </left>
      <top style="medium">
        <color rgb="FF974806"/>
      </top>
      <bottom style="medium">
        <color rgb="FF974806"/>
      </bottom>
    </border>
    <border>
      <right style="medium">
        <color rgb="FF974806"/>
      </right>
      <top style="medium">
        <color rgb="FF974806"/>
      </top>
      <bottom style="medium">
        <color rgb="FF974806"/>
      </bottom>
    </border>
    <border>
      <left style="medium">
        <color rgb="FF974806"/>
      </left>
      <top style="medium">
        <color rgb="FF974806"/>
      </top>
      <bottom style="thin">
        <color rgb="FF974806"/>
      </bottom>
    </border>
    <border>
      <top style="medium">
        <color rgb="FF974806"/>
      </top>
      <bottom style="thin">
        <color rgb="FF974806"/>
      </bottom>
    </border>
    <border>
      <right style="thin">
        <color rgb="FF974806"/>
      </right>
      <top style="medium">
        <color rgb="FF974806"/>
      </top>
      <bottom style="thin">
        <color rgb="FF974806"/>
      </bottom>
    </border>
    <border>
      <right style="medium">
        <color rgb="FF974806"/>
      </right>
      <top style="medium">
        <color rgb="FF974806"/>
      </top>
      <bottom style="thin">
        <color rgb="FF974806"/>
      </bottom>
    </border>
    <border>
      <left style="medium">
        <color rgb="FF974806"/>
      </left>
      <top style="thin">
        <color rgb="FF974806"/>
      </top>
      <bottom style="thin">
        <color rgb="FF974806"/>
      </bottom>
    </border>
    <border>
      <top style="thin">
        <color rgb="FF974806"/>
      </top>
      <bottom style="thin">
        <color rgb="FF974806"/>
      </bottom>
    </border>
    <border>
      <right style="thin">
        <color rgb="FF974806"/>
      </right>
      <top style="thin">
        <color rgb="FF974806"/>
      </top>
      <bottom style="thin">
        <color rgb="FF974806"/>
      </bottom>
    </border>
    <border>
      <right style="medium">
        <color rgb="FF974806"/>
      </right>
      <top style="thin">
        <color rgb="FF974806"/>
      </top>
      <bottom style="thin">
        <color rgb="FF974806"/>
      </bottom>
    </border>
    <border>
      <top style="thin">
        <color rgb="FF974806"/>
      </top>
      <bottom style="medium">
        <color rgb="FF974806"/>
      </bottom>
    </border>
    <border>
      <right style="thin">
        <color rgb="FF974806"/>
      </right>
      <top style="thin">
        <color rgb="FF974806"/>
      </top>
      <bottom style="medium">
        <color rgb="FF974806"/>
      </bottom>
    </border>
    <border>
      <left style="medium">
        <color rgb="FF974806"/>
      </left>
      <top style="thin">
        <color rgb="FF974806"/>
      </top>
      <bottom style="medium">
        <color rgb="FF974806"/>
      </bottom>
    </border>
    <border>
      <right style="medium">
        <color rgb="FF974806"/>
      </right>
      <top style="thin">
        <color rgb="FF974806"/>
      </top>
      <bottom style="medium">
        <color rgb="FF974806"/>
      </bottom>
    </border>
    <border>
      <left style="thin">
        <color rgb="FF974806"/>
      </left>
      <top style="thin">
        <color rgb="FF974806"/>
      </top>
      <bottom style="medium">
        <color rgb="FF974806"/>
      </bottom>
    </border>
    <border>
      <bottom style="medium">
        <color rgb="FF974806"/>
      </bottom>
    </border>
    <border>
      <right style="medium">
        <color rgb="FF974806"/>
      </right>
      <bottom style="medium">
        <color rgb="FF974806"/>
      </bottom>
    </border>
    <border>
      <left/>
      <top/>
      <bottom/>
    </border>
    <border>
      <top/>
      <bottom/>
    </border>
    <border>
      <left style="medium">
        <color rgb="FF974806"/>
      </left>
      <bottom style="thin">
        <color rgb="FF974806"/>
      </bottom>
    </border>
    <border>
      <bottom style="thin">
        <color rgb="FF974806"/>
      </bottom>
    </border>
    <border>
      <right style="thin">
        <color rgb="FF974806"/>
      </right>
      <bottom style="thin">
        <color rgb="FF974806"/>
      </bottom>
    </border>
    <border>
      <right style="medium">
        <color rgb="FF974806"/>
      </right>
      <bottom style="thin">
        <color rgb="FF974806"/>
      </bottom>
    </border>
    <border>
      <left style="thin">
        <color rgb="FF974806"/>
      </left>
      <top style="thin">
        <color rgb="FF974806"/>
      </top>
      <bottom style="thin">
        <color rgb="FF974806"/>
      </bottom>
    </border>
    <border>
      <left style="medium">
        <color rgb="FF974806"/>
      </left>
      <top/>
      <bottom style="medium">
        <color rgb="FF974806"/>
      </bottom>
    </border>
    <border>
      <top/>
      <bottom style="medium">
        <color rgb="FF974806"/>
      </bottom>
    </border>
    <border>
      <right style="thin">
        <color rgb="FF974806"/>
      </right>
      <bottom style="medium">
        <color rgb="FF974806"/>
      </bottom>
    </border>
    <border>
      <left/>
      <top style="medium">
        <color rgb="FF974806"/>
      </top>
      <bottom style="medium">
        <color rgb="FF974806"/>
      </bottom>
    </border>
    <border>
      <left style="medium">
        <color rgb="FF974806"/>
      </left>
      <bottom style="medium">
        <color rgb="FF974806"/>
      </bottom>
    </border>
    <border>
      <left style="medium">
        <color rgb="FF974806"/>
      </left>
      <top/>
      <bottom/>
    </border>
    <border>
      <top style="medium">
        <color rgb="FF974806"/>
      </top>
    </border>
    <border>
      <right style="medium">
        <color rgb="FF974806"/>
      </right>
      <top style="medium">
        <color rgb="FF974806"/>
      </top>
    </border>
    <border>
      <left/>
      <top style="medium">
        <color rgb="FF974806"/>
      </top>
      <bottom/>
    </border>
    <border>
      <top style="medium">
        <color rgb="FF974806"/>
      </top>
      <bottom/>
    </border>
    <border>
      <left/>
      <right/>
      <top style="medium">
        <color rgb="FF974806"/>
      </top>
      <bottom/>
    </border>
    <border>
      <left/>
      <bottom style="thin">
        <color rgb="FFFF0000"/>
      </bottom>
    </border>
    <border>
      <bottom style="thin">
        <color rgb="FFFF0000"/>
      </bottom>
    </border>
    <border>
      <left/>
      <top/>
      <bottom style="thin">
        <color rgb="FFFF0000"/>
      </bottom>
    </border>
    <border>
      <top/>
      <bottom style="thin">
        <color rgb="FFFF0000"/>
      </bottom>
    </border>
    <border>
      <left style="thin">
        <color rgb="FFFF3300"/>
      </left>
      <top style="thin">
        <color rgb="FFFF3300"/>
      </top>
    </border>
    <border>
      <top style="thin">
        <color rgb="FFFF3300"/>
      </top>
    </border>
    <border>
      <right style="thin">
        <color rgb="FFFF3300"/>
      </right>
      <top style="thin">
        <color rgb="FFFF3300"/>
      </top>
    </border>
    <border>
      <left style="thin">
        <color rgb="FFFF3300"/>
      </left>
      <bottom style="thin">
        <color rgb="FFFF0000"/>
      </bottom>
    </border>
    <border>
      <right style="thin">
        <color rgb="FFFF3300"/>
      </right>
      <bottom style="thin">
        <color rgb="FFFF0000"/>
      </bottom>
    </border>
    <border>
      <left style="thin">
        <color rgb="FFFF3300"/>
      </left>
      <right/>
      <top style="thin">
        <color rgb="FFFF0000"/>
      </top>
    </border>
    <border>
      <left/>
      <right/>
      <top style="thin">
        <color rgb="FFFF0000"/>
      </top>
    </border>
    <border>
      <left/>
      <right style="thin">
        <color rgb="FFFF3300"/>
      </right>
      <top style="thin">
        <color rgb="FFFF0000"/>
      </top>
    </border>
    <border>
      <left style="thin">
        <color rgb="FFFF3300"/>
      </left>
      <right/>
      <bottom style="medium">
        <color rgb="FFFF3300"/>
      </bottom>
    </border>
    <border>
      <left/>
      <right/>
      <bottom style="medium">
        <color rgb="FFFF3300"/>
      </bottom>
    </border>
    <border>
      <left/>
      <right style="thin">
        <color rgb="FFFF3300"/>
      </right>
      <bottom style="medium">
        <color rgb="FFFF3300"/>
      </bottom>
    </border>
    <border>
      <left style="thin">
        <color rgb="FFFF3300"/>
      </left>
      <right style="medium">
        <color rgb="FFFF3300"/>
      </right>
    </border>
    <border>
      <left style="thin">
        <color rgb="FFFF3300"/>
      </left>
      <right style="medium">
        <color rgb="FFFF3300"/>
      </right>
      <bottom style="thin">
        <color rgb="FFFF33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right/>
      <top/>
    </border>
    <border>
      <left/>
      <right/>
    </border>
    <border>
      <left style="thin">
        <color rgb="FFFF3300"/>
      </left>
      <right/>
      <top style="thin">
        <color rgb="FFFF0000"/>
      </top>
      <bottom style="medium">
        <color rgb="FFFF0000"/>
      </bottom>
    </border>
    <border>
      <left/>
      <right/>
      <top style="thin">
        <color rgb="FFFF0000"/>
      </top>
      <bottom style="medium">
        <color rgb="FFFF0000"/>
      </bottom>
    </border>
    <border>
      <left/>
      <right style="thin">
        <color rgb="FFFF3300"/>
      </right>
      <top style="thin">
        <color rgb="FFFF0000"/>
      </top>
      <bottom style="medium">
        <color rgb="FFFF0000"/>
      </bottom>
    </border>
    <border>
      <left style="thin">
        <color rgb="FFFF3300"/>
      </left>
      <right style="medium">
        <color rgb="FFFF3300"/>
      </right>
      <top style="medium">
        <color rgb="FFFF0000"/>
      </top>
    </border>
    <border>
      <left style="medium">
        <color rgb="FFFF3300"/>
      </left>
      <right style="medium">
        <color rgb="FFFF3300"/>
      </right>
      <top style="medium">
        <color rgb="FFFF0000"/>
      </top>
    </border>
    <border>
      <left style="medium">
        <color rgb="FFFF3300"/>
      </left>
      <right style="thin">
        <color rgb="FFFF3300"/>
      </right>
      <top style="medium">
        <color rgb="FFFF0000"/>
      </top>
    </border>
    <border>
      <left style="medium">
        <color rgb="FF000000"/>
      </left>
      <right style="medium">
        <color rgb="FF000000"/>
      </right>
      <top style="medium">
        <color rgb="FF000000"/>
      </top>
    </border>
    <border>
      <left style="medium">
        <color rgb="FFFF3300"/>
      </left>
      <right style="medium">
        <color rgb="FFFF3300"/>
      </right>
    </border>
    <border>
      <left style="medium">
        <color rgb="FFFF3300"/>
      </left>
      <right style="thin">
        <color rgb="FFFF3300"/>
      </right>
    </border>
    <border>
      <left style="medium">
        <color rgb="FF000000"/>
      </left>
      <right style="medium">
        <color rgb="FF000000"/>
      </right>
    </border>
    <border>
      <left style="medium">
        <color rgb="FFFF3300"/>
      </left>
      <right style="medium">
        <color rgb="FFFF3300"/>
      </right>
      <bottom style="thin">
        <color rgb="FFFF3300"/>
      </bottom>
    </border>
    <border>
      <left style="medium">
        <color rgb="FFFF3300"/>
      </left>
      <right style="thin">
        <color rgb="FFFF3300"/>
      </right>
      <bottom style="thin">
        <color rgb="FFFF3300"/>
      </bottom>
    </border>
    <border>
      <left style="medium">
        <color rgb="FF000000"/>
      </left>
      <right style="medium">
        <color rgb="FF000000"/>
      </right>
      <bottom style="medium">
        <color rgb="FF000000"/>
      </bottom>
    </border>
    <border>
      <left style="medium">
        <color rgb="FF009900"/>
      </left>
      <top style="medium">
        <color rgb="FF009900"/>
      </top>
      <bottom style="medium">
        <color rgb="FF009900"/>
      </bottom>
    </border>
    <border>
      <top style="medium">
        <color rgb="FF009900"/>
      </top>
      <bottom style="medium">
        <color rgb="FF009900"/>
      </bottom>
    </border>
    <border>
      <right style="medium">
        <color rgb="FF009900"/>
      </right>
      <top style="medium">
        <color rgb="FF009900"/>
      </top>
      <bottom style="medium">
        <color rgb="FF009900"/>
      </bottom>
    </border>
    <border>
      <left style="medium">
        <color rgb="FFFF0000"/>
      </left>
      <top style="medium">
        <color rgb="FFFF0000"/>
      </top>
      <bottom style="medium">
        <color rgb="FFFF0000"/>
      </bottom>
    </border>
    <border>
      <top style="medium">
        <color rgb="FFFF0000"/>
      </top>
      <bottom style="medium">
        <color rgb="FFFF0000"/>
      </bottom>
    </border>
    <border>
      <right style="medium">
        <color rgb="FFFF0000"/>
      </right>
      <top style="medium">
        <color rgb="FFFF0000"/>
      </top>
      <bottom style="medium">
        <color rgb="FFFF0000"/>
      </bottom>
    </border>
    <border>
      <left style="medium">
        <color rgb="FF1E4778"/>
      </left>
      <top style="medium">
        <color rgb="FF1E4778"/>
      </top>
      <bottom style="medium">
        <color rgb="FF1E4778"/>
      </bottom>
    </border>
    <border>
      <top style="medium">
        <color rgb="FF1E4778"/>
      </top>
      <bottom style="medium">
        <color rgb="FF1E4778"/>
      </bottom>
    </border>
    <border>
      <right style="medium">
        <color rgb="FF1E4778"/>
      </right>
      <top style="medium">
        <color rgb="FF1E4778"/>
      </top>
      <bottom style="medium">
        <color rgb="FF1E4778"/>
      </bottom>
    </border>
    <border>
      <left style="thin">
        <color rgb="FFFF3300"/>
      </left>
      <top style="thin">
        <color rgb="FFFF3300"/>
      </top>
      <bottom/>
    </border>
    <border>
      <top style="thin">
        <color rgb="FFFF3300"/>
      </top>
      <bottom/>
    </border>
    <border>
      <right style="thin">
        <color rgb="FFFF3300"/>
      </right>
      <top style="thin">
        <color rgb="FFFF3300"/>
      </top>
      <bottom/>
    </border>
    <border>
      <top style="thin">
        <color rgb="FFFF0000"/>
      </top>
    </border>
    <border>
      <left/>
      <right/>
      <top style="thin">
        <color rgb="FFFF0000"/>
      </top>
      <bottom/>
    </border>
    <border>
      <left style="thin">
        <color rgb="FFFF3300"/>
      </left>
      <right/>
      <top/>
      <bottom style="medium">
        <color rgb="FFFF0000"/>
      </bottom>
    </border>
    <border>
      <left/>
      <right/>
      <top/>
      <bottom style="medium">
        <color rgb="FFFF0000"/>
      </bottom>
    </border>
    <border>
      <left/>
      <right style="thin">
        <color rgb="FFFF3300"/>
      </right>
      <top/>
      <bottom style="medium">
        <color rgb="FFFF0000"/>
      </bottom>
    </border>
    <border>
      <right style="thin">
        <color rgb="FFFF3300"/>
      </right>
      <bottom style="thin">
        <color rgb="FFFF3300"/>
      </bottom>
    </border>
    <border>
      <left style="thin">
        <color rgb="FFFF0000"/>
      </left>
      <top style="thin">
        <color rgb="FFFF0000"/>
      </top>
      <bottom style="thin">
        <color rgb="FFFF0000"/>
      </bottom>
    </border>
    <border>
      <top style="thin">
        <color rgb="FFFF0000"/>
      </top>
      <bottom style="thin">
        <color rgb="FFFF0000"/>
      </bottom>
    </border>
    <border>
      <right style="thin">
        <color rgb="FFFF0000"/>
      </right>
      <top style="thin">
        <color rgb="FFFF0000"/>
      </top>
      <bottom style="thin">
        <color rgb="FFFF0000"/>
      </bottom>
    </border>
    <border>
      <left style="thin">
        <color rgb="FFFF0000"/>
      </left>
      <top/>
      <bottom/>
    </border>
    <border>
      <right style="thin">
        <color rgb="FFFF3300"/>
      </right>
      <top/>
      <bottom/>
    </border>
    <border>
      <right style="thin">
        <color rgb="FFFF0000"/>
      </right>
      <top/>
      <bottom/>
    </border>
    <border>
      <left style="thin">
        <color rgb="FFFF0000"/>
      </left>
      <top/>
      <bottom style="thin">
        <color rgb="FFFF0000"/>
      </bottom>
    </border>
    <border>
      <right style="thin">
        <color rgb="FFFF0000"/>
      </right>
      <top/>
      <bottom style="thin">
        <color rgb="FFFF0000"/>
      </bottom>
    </border>
    <border>
      <left/>
      <right style="thin">
        <color rgb="FF008E00"/>
      </right>
      <top/>
      <bottom/>
    </border>
    <border>
      <left/>
      <right style="thin">
        <color rgb="FF008E00"/>
      </right>
      <top/>
      <bottom style="thin">
        <color rgb="FF008E00"/>
      </bottom>
    </border>
    <border>
      <top style="thin">
        <color rgb="FF008E00"/>
      </top>
    </border>
    <border>
      <bottom style="thin">
        <color rgb="FF008E00"/>
      </bottom>
    </border>
    <border>
      <right style="thin">
        <color rgb="FF008E00"/>
      </right>
    </border>
    <border>
      <left style="thin">
        <color rgb="FF008E00"/>
      </left>
      <top style="thin">
        <color rgb="FF008E00"/>
      </top>
      <bottom style="thin">
        <color rgb="FF008E00"/>
      </bottom>
    </border>
    <border>
      <top style="thin">
        <color rgb="FF008E00"/>
      </top>
      <bottom style="thin">
        <color rgb="FF008E00"/>
      </bottom>
    </border>
    <border>
      <right style="thin">
        <color rgb="FF008E00"/>
      </right>
      <top style="thin">
        <color rgb="FF008E00"/>
      </top>
      <bottom style="thin">
        <color rgb="FF008E00"/>
      </bottom>
    </border>
    <border>
      <left style="thin">
        <color rgb="FF008E00"/>
      </left>
      <right style="thin">
        <color rgb="FF008600"/>
      </right>
    </border>
    <border>
      <left style="thin">
        <color rgb="FF008E00"/>
      </left>
      <right/>
      <top/>
      <bottom/>
    </border>
    <border>
      <left style="thin">
        <color rgb="FF008E00"/>
      </left>
      <right/>
      <top/>
      <bottom style="thin">
        <color rgb="FF008E00"/>
      </bottom>
    </border>
    <border>
      <left/>
      <right/>
      <top/>
      <bottom style="thin">
        <color rgb="FF008E00"/>
      </bottom>
    </border>
    <border>
      <left style="thin">
        <color rgb="FF1E4778"/>
      </left>
      <right/>
      <top/>
      <bottom/>
    </border>
    <border>
      <left/>
      <right style="thin">
        <color rgb="FF1E4778"/>
      </right>
      <top/>
      <bottom/>
    </border>
    <border>
      <left style="thin">
        <color rgb="FF1E4778"/>
      </left>
      <right/>
      <top style="thin">
        <color rgb="FF1E4778"/>
      </top>
      <bottom/>
    </border>
    <border>
      <left/>
      <right/>
      <top style="thin">
        <color rgb="FF1E4778"/>
      </top>
      <bottom/>
    </border>
    <border>
      <left/>
      <right style="thin">
        <color rgb="FF1E4778"/>
      </right>
      <top style="thin">
        <color rgb="FF1E4778"/>
      </top>
      <bottom/>
    </border>
    <border>
      <left style="thin">
        <color rgb="FF1E4778"/>
      </left>
      <right/>
      <top/>
      <bottom style="thin">
        <color rgb="FF1E4778"/>
      </bottom>
    </border>
    <border>
      <left/>
      <right/>
      <top/>
      <bottom style="thin">
        <color rgb="FF1E4778"/>
      </bottom>
    </border>
    <border>
      <left/>
      <right style="thin">
        <color rgb="FF1E4778"/>
      </right>
      <top/>
      <bottom style="thin">
        <color rgb="FF1E4778"/>
      </bottom>
    </border>
    <border>
      <top style="thin">
        <color rgb="FF000000"/>
      </top>
    </border>
    <border>
      <left/>
      <right style="thin">
        <color rgb="FF000000"/>
      </right>
      <top style="thin">
        <color rgb="FF000000"/>
      </top>
      <bottom/>
    </border>
    <border>
      <left/>
      <right style="thin">
        <color rgb="FF000000"/>
      </right>
      <top/>
      <bottom/>
    </border>
    <border>
      <left style="thin">
        <color rgb="FF000000"/>
      </left>
      <top/>
      <bottom/>
    </border>
    <border>
      <left style="thin">
        <color rgb="FF000000"/>
      </left>
      <right/>
      <top/>
      <bottom/>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s>
  <cellStyleXfs count="1">
    <xf borderId="0" fillId="0" fontId="0" numFmtId="0" applyAlignment="1" applyFont="1"/>
  </cellStyleXfs>
  <cellXfs count="411">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3" fontId="3" numFmtId="0" xfId="0" applyBorder="1" applyFill="1" applyFont="1"/>
    <xf borderId="4" fillId="0" fontId="2" numFmtId="0" xfId="0" applyBorder="1" applyFont="1"/>
    <xf borderId="0" fillId="0" fontId="4" numFmtId="0" xfId="0" applyAlignment="1" applyFont="1">
      <alignment horizontal="center" shrinkToFit="0" vertical="center" wrapText="1"/>
    </xf>
    <xf borderId="0" fillId="0" fontId="3" numFmtId="0" xfId="0" applyFont="1"/>
    <xf borderId="0" fillId="0" fontId="5" numFmtId="0" xfId="0" applyAlignment="1" applyFont="1">
      <alignment horizontal="center" shrinkToFit="0" vertical="center" wrapText="1"/>
    </xf>
    <xf borderId="0" fillId="0" fontId="6" numFmtId="0" xfId="0" applyFont="1"/>
    <xf borderId="0" fillId="0" fontId="7" numFmtId="0" xfId="0" applyFont="1"/>
    <xf borderId="1" fillId="4" fontId="1" numFmtId="0" xfId="0" applyAlignment="1" applyBorder="1" applyFill="1" applyFont="1">
      <alignment horizontal="center" vertical="center"/>
    </xf>
    <xf borderId="3" fillId="3" fontId="8" numFmtId="0" xfId="0" applyBorder="1" applyFill="1" applyFont="1"/>
    <xf borderId="0" fillId="0" fontId="9" numFmtId="0" xfId="0" applyFont="1"/>
    <xf borderId="5" fillId="0" fontId="3" numFmtId="0" xfId="0" applyBorder="1" applyFont="1"/>
    <xf borderId="0" fillId="0" fontId="10" numFmtId="0" xfId="0" applyFont="1"/>
    <xf borderId="6" fillId="5" fontId="11" numFmtId="0" xfId="0" applyAlignment="1" applyBorder="1" applyFill="1" applyFont="1">
      <alignment horizontal="center" vertical="center"/>
    </xf>
    <xf borderId="7" fillId="0" fontId="2" numFmtId="0" xfId="0" applyBorder="1" applyFont="1"/>
    <xf borderId="8" fillId="0" fontId="2" numFmtId="0" xfId="0" applyBorder="1" applyFont="1"/>
    <xf borderId="1" fillId="6" fontId="1" numFmtId="0" xfId="0" applyAlignment="1" applyBorder="1" applyFill="1" applyFont="1">
      <alignment horizontal="center" vertical="center"/>
    </xf>
    <xf borderId="3" fillId="6" fontId="3" numFmtId="0" xfId="0" applyBorder="1" applyFill="1" applyFont="1"/>
    <xf borderId="6" fillId="0" fontId="12" numFmtId="0" xfId="0" applyAlignment="1" applyBorder="1" applyFont="1">
      <alignment horizontal="center" readingOrder="0"/>
    </xf>
    <xf borderId="6" fillId="7" fontId="11" numFmtId="0" xfId="0" applyAlignment="1" applyBorder="1" applyFill="1" applyFont="1">
      <alignment horizontal="center" vertical="center"/>
    </xf>
    <xf borderId="6" fillId="0" fontId="5" numFmtId="12" xfId="0" applyBorder="1" applyFont="1" applyNumberFormat="1"/>
    <xf borderId="6" fillId="0" fontId="12" numFmtId="164" xfId="0" applyAlignment="1" applyBorder="1" applyFont="1" applyNumberFormat="1">
      <alignment horizontal="center" readingOrder="0"/>
    </xf>
    <xf borderId="1" fillId="8" fontId="1" numFmtId="0" xfId="0" applyAlignment="1" applyBorder="1" applyFill="1" applyFont="1">
      <alignment horizontal="center" vertical="center"/>
    </xf>
    <xf borderId="6" fillId="9" fontId="3" numFmtId="0" xfId="0" applyBorder="1" applyFill="1" applyFont="1"/>
    <xf borderId="6" fillId="0" fontId="5" numFmtId="0" xfId="0" applyAlignment="1" applyBorder="1" applyFont="1">
      <alignment horizontal="center" readingOrder="0"/>
    </xf>
    <xf borderId="0" fillId="0" fontId="10" numFmtId="12" xfId="0" applyFont="1" applyNumberFormat="1"/>
    <xf borderId="6" fillId="0" fontId="12" numFmtId="14" xfId="0" applyAlignment="1" applyBorder="1" applyFont="1" applyNumberFormat="1">
      <alignment horizontal="center" readingOrder="0"/>
    </xf>
    <xf borderId="6" fillId="0" fontId="12" numFmtId="0" xfId="0" applyAlignment="1" applyBorder="1" applyFont="1">
      <alignment horizontal="center"/>
    </xf>
    <xf borderId="3" fillId="8" fontId="8" numFmtId="0" xfId="0" applyBorder="1" applyFill="1" applyFont="1"/>
    <xf borderId="6" fillId="0" fontId="12" numFmtId="164" xfId="0" applyAlignment="1" applyBorder="1" applyFont="1" applyNumberFormat="1">
      <alignment horizontal="center"/>
    </xf>
    <xf borderId="6" fillId="0" fontId="5" numFmtId="0" xfId="0" applyAlignment="1" applyBorder="1" applyFont="1">
      <alignment horizontal="center"/>
    </xf>
    <xf borderId="6" fillId="10" fontId="3" numFmtId="0" xfId="0" applyBorder="1" applyFill="1" applyFont="1"/>
    <xf borderId="0" fillId="0" fontId="8" numFmtId="0" xfId="0" applyFont="1"/>
    <xf borderId="6" fillId="11" fontId="11" numFmtId="0" xfId="0" applyAlignment="1" applyBorder="1" applyFill="1" applyFont="1">
      <alignment horizontal="center" vertical="center"/>
    </xf>
    <xf borderId="6" fillId="5" fontId="13" numFmtId="0" xfId="0" applyAlignment="1" applyBorder="1" applyFill="1" applyFont="1">
      <alignment horizontal="center" vertical="center"/>
    </xf>
    <xf borderId="6" fillId="0" fontId="14" numFmtId="0" xfId="0" applyAlignment="1" applyBorder="1" applyFont="1">
      <alignment horizontal="center" readingOrder="0"/>
    </xf>
    <xf borderId="6" fillId="11" fontId="15" numFmtId="0" xfId="0" applyAlignment="1" applyBorder="1" applyFill="1" applyFont="1">
      <alignment horizontal="center" vertical="center"/>
    </xf>
    <xf borderId="6" fillId="0" fontId="14" numFmtId="0" xfId="0" applyAlignment="1" applyBorder="1" applyFont="1">
      <alignment horizontal="center"/>
    </xf>
    <xf borderId="6" fillId="11" fontId="16" numFmtId="0" xfId="0" applyAlignment="1" applyBorder="1" applyFill="1" applyFont="1">
      <alignment horizontal="center" vertical="center"/>
    </xf>
    <xf borderId="6" fillId="0" fontId="12" numFmtId="14" xfId="0" applyAlignment="1" applyBorder="1" applyFont="1" applyNumberFormat="1">
      <alignment horizontal="center"/>
    </xf>
    <xf borderId="6" fillId="0" fontId="17" numFmtId="12" xfId="0" applyBorder="1" applyFont="1" applyNumberFormat="1"/>
    <xf borderId="6" fillId="12" fontId="3" numFmtId="0" xfId="0" applyBorder="1" applyFill="1" applyFont="1"/>
    <xf borderId="6" fillId="7" fontId="13" numFmtId="0" xfId="0" applyAlignment="1" applyBorder="1" applyFill="1" applyFont="1">
      <alignment horizontal="center" vertical="center"/>
    </xf>
    <xf borderId="6" fillId="13" fontId="3" numFmtId="0" xfId="0" applyBorder="1" applyFill="1" applyFont="1"/>
    <xf borderId="0" fillId="0" fontId="18" numFmtId="0" xfId="0" applyAlignment="1" applyFont="1">
      <alignment horizontal="center" vertical="center"/>
    </xf>
    <xf borderId="0" fillId="0" fontId="19" numFmtId="0" xfId="0" applyFont="1"/>
    <xf borderId="9" fillId="14" fontId="15" numFmtId="0" xfId="0" applyAlignment="1" applyBorder="1" applyFill="1" applyFont="1">
      <alignment horizontal="center" vertical="center"/>
    </xf>
    <xf borderId="10" fillId="0" fontId="2" numFmtId="0" xfId="0" applyBorder="1" applyFont="1"/>
    <xf borderId="11" fillId="0" fontId="2" numFmtId="0" xfId="0" applyBorder="1" applyFont="1"/>
    <xf borderId="0" fillId="0" fontId="15" numFmtId="0" xfId="0" applyAlignment="1" applyFont="1">
      <alignment horizontal="center" vertical="center"/>
    </xf>
    <xf borderId="6" fillId="11" fontId="13" numFmtId="0" xfId="0" applyAlignment="1" applyBorder="1" applyFill="1" applyFont="1">
      <alignment horizontal="center" vertical="center"/>
    </xf>
    <xf borderId="0" fillId="0" fontId="19" numFmtId="0" xfId="0" applyAlignment="1" applyFont="1">
      <alignment horizontal="center"/>
    </xf>
    <xf borderId="12" fillId="0" fontId="20" numFmtId="0" xfId="0" applyAlignment="1" applyBorder="1" applyFont="1">
      <alignment horizontal="center" vertical="center"/>
    </xf>
    <xf borderId="13" fillId="0" fontId="3" numFmtId="0" xfId="0" applyBorder="1" applyFont="1"/>
    <xf borderId="14" fillId="0" fontId="3" numFmtId="0" xfId="0" applyAlignment="1" applyBorder="1" applyFont="1">
      <alignment horizontal="center" vertical="center"/>
    </xf>
    <xf borderId="15" fillId="0" fontId="2" numFmtId="0" xfId="0" applyBorder="1" applyFont="1"/>
    <xf borderId="16" fillId="0" fontId="3" numFmtId="0" xfId="0" applyBorder="1" applyFont="1"/>
    <xf borderId="17" fillId="0" fontId="2" numFmtId="0" xfId="0" applyBorder="1" applyFont="1"/>
    <xf borderId="18" fillId="0" fontId="20" numFmtId="0" xfId="0" applyAlignment="1" applyBorder="1" applyFont="1">
      <alignment horizontal="center" vertical="center"/>
    </xf>
    <xf borderId="19" fillId="0" fontId="3" numFmtId="0" xfId="0" applyBorder="1" applyFont="1"/>
    <xf borderId="20" fillId="0" fontId="2" numFmtId="0" xfId="0" applyBorder="1" applyFont="1"/>
    <xf borderId="21" fillId="0" fontId="2" numFmtId="0" xfId="0" applyBorder="1" applyFont="1"/>
    <xf borderId="0" fillId="0" fontId="3" numFmtId="0" xfId="0" applyAlignment="1" applyFont="1">
      <alignment horizontal="center" vertical="center"/>
    </xf>
    <xf borderId="0" fillId="0" fontId="10" numFmtId="0" xfId="0" applyAlignment="1" applyFont="1">
      <alignment horizontal="center" vertical="center"/>
    </xf>
    <xf borderId="18" fillId="0" fontId="2" numFmtId="0" xfId="0" applyBorder="1" applyFont="1"/>
    <xf borderId="22" fillId="0" fontId="3" numFmtId="0" xfId="0" applyBorder="1" applyFont="1"/>
    <xf borderId="23" fillId="0" fontId="2" numFmtId="0" xfId="0" applyBorder="1" applyFont="1"/>
    <xf borderId="24" fillId="0" fontId="2" numFmtId="0" xfId="0" applyBorder="1" applyFont="1"/>
    <xf borderId="25" fillId="0" fontId="3" numFmtId="0" xfId="0" applyBorder="1" applyFont="1"/>
    <xf borderId="26" fillId="0" fontId="2" numFmtId="0" xfId="0" applyBorder="1" applyFont="1"/>
    <xf borderId="27" fillId="0" fontId="2" numFmtId="0" xfId="0" applyBorder="1" applyFont="1"/>
    <xf borderId="12" fillId="0" fontId="2" numFmtId="0" xfId="0" applyBorder="1" applyFont="1"/>
    <xf borderId="13" fillId="0" fontId="2" numFmtId="0" xfId="0" applyBorder="1" applyFont="1"/>
    <xf borderId="28" fillId="0" fontId="2" numFmtId="0" xfId="0" applyBorder="1" applyFont="1"/>
    <xf borderId="29" fillId="0" fontId="2" numFmtId="0" xfId="0" applyBorder="1" applyFont="1"/>
    <xf borderId="16" fillId="0" fontId="2" numFmtId="0" xfId="0" applyBorder="1" applyFont="1"/>
    <xf borderId="30" fillId="0" fontId="3" numFmtId="0" xfId="0" applyBorder="1" applyFont="1"/>
    <xf borderId="31" fillId="0" fontId="3" numFmtId="0" xfId="0" applyBorder="1" applyFont="1"/>
    <xf borderId="30" fillId="0" fontId="2" numFmtId="0" xfId="0" applyBorder="1" applyFont="1"/>
    <xf borderId="32" fillId="0" fontId="3" numFmtId="0" xfId="0" applyBorder="1" applyFont="1"/>
    <xf borderId="0" fillId="0" fontId="21" numFmtId="0" xfId="0" applyAlignment="1" applyFont="1">
      <alignment horizontal="center" vertical="center"/>
    </xf>
    <xf borderId="33" fillId="15" fontId="15" numFmtId="0" xfId="0" applyAlignment="1" applyBorder="1" applyFill="1" applyFont="1">
      <alignment horizontal="center" vertical="center"/>
    </xf>
    <xf borderId="34" fillId="0" fontId="2" numFmtId="0" xfId="0" applyBorder="1" applyFont="1"/>
    <xf borderId="35" fillId="0" fontId="2" numFmtId="0" xfId="0" applyBorder="1" applyFont="1"/>
    <xf borderId="0" fillId="0" fontId="15" numFmtId="0" xfId="0" applyAlignment="1" applyFont="1">
      <alignment vertical="center"/>
    </xf>
    <xf borderId="36" fillId="0" fontId="2" numFmtId="0" xfId="0" applyBorder="1" applyFont="1"/>
    <xf borderId="37" fillId="0" fontId="2" numFmtId="0" xfId="0" applyBorder="1" applyFont="1"/>
    <xf borderId="38" fillId="0" fontId="2" numFmtId="0" xfId="0" applyBorder="1" applyFont="1"/>
    <xf borderId="39" fillId="0" fontId="22" numFmtId="0" xfId="0" applyAlignment="1" applyBorder="1" applyFont="1">
      <alignment horizontal="center" vertical="top"/>
    </xf>
    <xf borderId="39" fillId="0" fontId="2" numFmtId="0" xfId="0" applyBorder="1" applyFont="1"/>
    <xf borderId="40" fillId="0" fontId="20" numFmtId="0" xfId="0" applyAlignment="1" applyBorder="1" applyFont="1">
      <alignment horizontal="center" vertical="center"/>
    </xf>
    <xf borderId="41" fillId="0" fontId="3" numFmtId="0" xfId="0" applyBorder="1" applyFont="1"/>
    <xf borderId="42" fillId="0" fontId="2" numFmtId="0" xfId="0" applyBorder="1" applyFont="1"/>
    <xf borderId="43" fillId="0" fontId="2" numFmtId="0" xfId="0" applyBorder="1" applyFont="1"/>
    <xf borderId="40" fillId="0" fontId="2" numFmtId="0" xfId="0" applyBorder="1" applyFont="1"/>
    <xf borderId="44" fillId="0" fontId="3" numFmtId="0" xfId="0" applyBorder="1" applyFont="1"/>
    <xf borderId="45" fillId="0" fontId="2" numFmtId="0" xfId="0" applyBorder="1" applyFont="1"/>
    <xf borderId="46" fillId="0" fontId="2" numFmtId="0" xfId="0" applyBorder="1" applyFont="1"/>
    <xf borderId="47" fillId="0" fontId="3" numFmtId="0" xfId="0" applyBorder="1" applyFont="1"/>
    <xf borderId="48" fillId="0" fontId="3" numFmtId="0" xfId="0" applyBorder="1" applyFont="1"/>
    <xf borderId="47" fillId="0" fontId="2" numFmtId="0" xfId="0" applyBorder="1" applyFont="1"/>
    <xf borderId="0" fillId="0" fontId="23" numFmtId="0" xfId="0" applyAlignment="1" applyFont="1">
      <alignment horizontal="center" vertical="center"/>
    </xf>
    <xf borderId="49" fillId="16" fontId="15" numFmtId="0" xfId="0" applyAlignment="1" applyBorder="1" applyFill="1" applyFont="1">
      <alignment horizontal="center" vertical="center"/>
    </xf>
    <xf borderId="50" fillId="0" fontId="2" numFmtId="0" xfId="0" applyBorder="1" applyFont="1"/>
    <xf borderId="51" fillId="0" fontId="2" numFmtId="0" xfId="0" applyBorder="1" applyFont="1"/>
    <xf borderId="52" fillId="0" fontId="20" numFmtId="0" xfId="0" applyAlignment="1" applyBorder="1" applyFont="1">
      <alignment horizontal="center" vertical="center"/>
    </xf>
    <xf borderId="53" fillId="0" fontId="3" numFmtId="0" xfId="0" applyAlignment="1" applyBorder="1" applyFont="1">
      <alignment horizontal="center" vertical="center"/>
    </xf>
    <xf borderId="54" fillId="0" fontId="2" numFmtId="0" xfId="0" applyBorder="1" applyFont="1"/>
    <xf borderId="55" fillId="0" fontId="2" numFmtId="0" xfId="0" applyBorder="1" applyFont="1"/>
    <xf borderId="53" fillId="0" fontId="3" numFmtId="0" xfId="0" applyBorder="1" applyFont="1"/>
    <xf borderId="52" fillId="0" fontId="2" numFmtId="0" xfId="0" applyBorder="1" applyFont="1"/>
    <xf borderId="56" fillId="0" fontId="3" numFmtId="0" xfId="0" applyAlignment="1" applyBorder="1" applyFont="1">
      <alignment horizontal="center" vertical="center"/>
    </xf>
    <xf borderId="57" fillId="0" fontId="2" numFmtId="0" xfId="0" applyBorder="1" applyFont="1"/>
    <xf borderId="58" fillId="0" fontId="2" numFmtId="0" xfId="0" applyBorder="1" applyFont="1"/>
    <xf borderId="56" fillId="0" fontId="3" numFmtId="0" xfId="0" applyBorder="1" applyFont="1"/>
    <xf borderId="59" fillId="0" fontId="3" numFmtId="0" xfId="0" applyAlignment="1" applyBorder="1" applyFont="1">
      <alignment horizontal="center" vertical="center"/>
    </xf>
    <xf borderId="60" fillId="0" fontId="2" numFmtId="0" xfId="0" applyBorder="1" applyFont="1"/>
    <xf borderId="61" fillId="0" fontId="2" numFmtId="0" xfId="0" applyBorder="1" applyFont="1"/>
    <xf borderId="59" fillId="0" fontId="3" numFmtId="0" xfId="0" applyBorder="1" applyFont="1"/>
    <xf borderId="59" fillId="0" fontId="3" numFmtId="0" xfId="0" applyAlignment="1" applyBorder="1" applyFont="1">
      <alignment readingOrder="0"/>
    </xf>
    <xf borderId="56" fillId="0" fontId="3" numFmtId="0" xfId="0" applyAlignment="1" applyBorder="1" applyFont="1">
      <alignment readingOrder="0"/>
    </xf>
    <xf borderId="16" fillId="0" fontId="24" numFmtId="0" xfId="0" applyBorder="1" applyFont="1"/>
    <xf borderId="62" fillId="0" fontId="3" numFmtId="0" xfId="0" applyBorder="1" applyFont="1"/>
    <xf borderId="63" fillId="0" fontId="3" numFmtId="0" xfId="0" applyBorder="1" applyFont="1"/>
    <xf borderId="62" fillId="0" fontId="2" numFmtId="0" xfId="0" applyBorder="1" applyFont="1"/>
    <xf borderId="63" fillId="0" fontId="3" numFmtId="0" xfId="0" applyAlignment="1" applyBorder="1" applyFont="1">
      <alignment readingOrder="0"/>
    </xf>
    <xf borderId="3" fillId="3" fontId="10" numFmtId="0" xfId="0" applyBorder="1" applyFill="1" applyFont="1"/>
    <xf borderId="1" fillId="10" fontId="1" numFmtId="0" xfId="0" applyAlignment="1" applyBorder="1" applyFill="1" applyFont="1">
      <alignment horizontal="center" shrinkToFit="0" vertical="center" wrapText="1"/>
    </xf>
    <xf borderId="3" fillId="10" fontId="1" numFmtId="0" xfId="0" applyAlignment="1" applyBorder="1" applyFill="1" applyFont="1">
      <alignment horizontal="center" vertical="center"/>
    </xf>
    <xf borderId="3" fillId="3" fontId="25" numFmtId="0" xfId="0" applyAlignment="1" applyBorder="1" applyFill="1" applyFont="1">
      <alignment horizontal="center" vertical="center"/>
    </xf>
    <xf borderId="6" fillId="0" fontId="26" numFmtId="12" xfId="0" applyAlignment="1" applyBorder="1" applyFont="1" applyNumberFormat="1">
      <alignment horizontal="center" vertical="center"/>
    </xf>
    <xf borderId="6" fillId="0" fontId="27" numFmtId="164" xfId="0" applyAlignment="1" applyBorder="1" applyFont="1" applyNumberFormat="1">
      <alignment horizontal="center" vertical="center"/>
    </xf>
    <xf borderId="6" fillId="0" fontId="28" numFmtId="0" xfId="0" applyAlignment="1" applyBorder="1" applyFont="1">
      <alignment horizontal="center" vertical="center"/>
    </xf>
    <xf borderId="64" fillId="0" fontId="29" numFmtId="0" xfId="0" applyAlignment="1" applyBorder="1" applyFont="1">
      <alignment horizontal="center" vertical="center"/>
    </xf>
    <xf borderId="65" fillId="0" fontId="2" numFmtId="0" xfId="0" applyBorder="1" applyFont="1"/>
    <xf borderId="66" fillId="0" fontId="2" numFmtId="0" xfId="0" applyBorder="1" applyFont="1"/>
    <xf borderId="67" fillId="0" fontId="30" numFmtId="0" xfId="0" applyAlignment="1" applyBorder="1" applyFont="1">
      <alignment horizontal="center" vertical="center"/>
    </xf>
    <xf borderId="68" fillId="0" fontId="2" numFmtId="0" xfId="0" applyBorder="1" applyFont="1"/>
    <xf borderId="64" fillId="0" fontId="31" numFmtId="0" xfId="0" applyAlignment="1" applyBorder="1" applyFont="1">
      <alignment horizontal="center" vertical="center"/>
    </xf>
    <xf borderId="69" fillId="0" fontId="32" numFmtId="0" xfId="0" applyBorder="1" applyFont="1"/>
    <xf borderId="70" fillId="0" fontId="2" numFmtId="0" xfId="0" applyBorder="1" applyFont="1"/>
    <xf borderId="71" fillId="0" fontId="2" numFmtId="0" xfId="0" applyBorder="1" applyFont="1"/>
    <xf borderId="70" fillId="0" fontId="28" numFmtId="0" xfId="0" applyBorder="1" applyFont="1"/>
    <xf borderId="72" fillId="0" fontId="2" numFmtId="0" xfId="0" applyBorder="1" applyFont="1"/>
    <xf borderId="70" fillId="0" fontId="27" numFmtId="0" xfId="0" applyAlignment="1" applyBorder="1" applyFont="1">
      <alignment horizontal="center" vertical="center"/>
    </xf>
    <xf borderId="69" fillId="0" fontId="27" numFmtId="0" xfId="0" applyAlignment="1" applyBorder="1" applyFont="1">
      <alignment horizontal="center" vertical="center"/>
    </xf>
    <xf borderId="73" fillId="0" fontId="32" numFmtId="0" xfId="0" applyBorder="1" applyFont="1"/>
    <xf borderId="74" fillId="0" fontId="2" numFmtId="0" xfId="0" applyBorder="1" applyFont="1"/>
    <xf borderId="75" fillId="0" fontId="2" numFmtId="0" xfId="0" applyBorder="1" applyFont="1"/>
    <xf borderId="74" fillId="0" fontId="28" numFmtId="0" xfId="0" applyBorder="1" applyFont="1"/>
    <xf borderId="76" fillId="0" fontId="2" numFmtId="0" xfId="0" applyBorder="1" applyFont="1"/>
    <xf borderId="74" fillId="0" fontId="27" numFmtId="0" xfId="0" applyAlignment="1" applyBorder="1" applyFont="1">
      <alignment horizontal="center" vertical="center"/>
    </xf>
    <xf borderId="73" fillId="0" fontId="27" numFmtId="0" xfId="0" applyAlignment="1" applyBorder="1" applyFont="1">
      <alignment horizontal="center" vertical="center"/>
    </xf>
    <xf borderId="73" fillId="0" fontId="29" numFmtId="0" xfId="0" applyBorder="1" applyFont="1"/>
    <xf borderId="74" fillId="0" fontId="33" numFmtId="0" xfId="0" applyBorder="1" applyFont="1"/>
    <xf borderId="77" fillId="0" fontId="27" numFmtId="0" xfId="0" applyAlignment="1" applyBorder="1" applyFont="1">
      <alignment horizontal="center" vertical="center"/>
    </xf>
    <xf borderId="77" fillId="0" fontId="2" numFmtId="0" xfId="0" applyBorder="1" applyFont="1"/>
    <xf borderId="78" fillId="0" fontId="2" numFmtId="0" xfId="0" applyBorder="1" applyFont="1"/>
    <xf borderId="79" fillId="0" fontId="27" numFmtId="0" xfId="0" applyAlignment="1" applyBorder="1" applyFont="1">
      <alignment horizontal="center" vertical="center"/>
    </xf>
    <xf borderId="80" fillId="0" fontId="2" numFmtId="0" xfId="0" applyBorder="1" applyFont="1"/>
    <xf borderId="79" fillId="17" fontId="29" numFmtId="0" xfId="0" applyBorder="1" applyFill="1" applyFont="1"/>
    <xf borderId="81" fillId="0" fontId="29" numFmtId="0" xfId="0" applyAlignment="1" applyBorder="1" applyFont="1">
      <alignment horizontal="right" vertical="center"/>
    </xf>
    <xf borderId="64" fillId="0" fontId="27" numFmtId="0" xfId="0" applyAlignment="1" applyBorder="1" applyFont="1">
      <alignment horizontal="center" vertical="center"/>
    </xf>
    <xf borderId="82" fillId="0" fontId="27" numFmtId="0" xfId="0" applyAlignment="1" applyBorder="1" applyFont="1">
      <alignment horizontal="center" vertical="center"/>
    </xf>
    <xf borderId="82" fillId="0" fontId="2" numFmtId="0" xfId="0" applyBorder="1" applyFont="1"/>
    <xf borderId="83" fillId="0" fontId="2" numFmtId="0" xfId="0" applyBorder="1" applyFont="1"/>
    <xf borderId="84" fillId="18" fontId="32" numFmtId="0" xfId="0" applyBorder="1" applyFill="1" applyFont="1"/>
    <xf borderId="85" fillId="0" fontId="2" numFmtId="0" xfId="0" applyBorder="1" applyFont="1"/>
    <xf borderId="84" fillId="18" fontId="3" numFmtId="0" xfId="0" applyBorder="1" applyFill="1" applyFont="1"/>
    <xf borderId="84" fillId="18" fontId="3" numFmtId="0" xfId="0" applyAlignment="1" applyBorder="1" applyFill="1" applyFont="1">
      <alignment horizontal="center"/>
    </xf>
    <xf borderId="65" fillId="0" fontId="30" numFmtId="0" xfId="0" applyAlignment="1" applyBorder="1" applyFont="1">
      <alignment horizontal="center" vertical="center"/>
    </xf>
    <xf borderId="65" fillId="0" fontId="31" numFmtId="0" xfId="0" applyAlignment="1" applyBorder="1" applyFont="1">
      <alignment horizontal="center" vertical="center"/>
    </xf>
    <xf borderId="86" fillId="0" fontId="32" numFmtId="0" xfId="0" applyBorder="1" applyFont="1"/>
    <xf borderId="87" fillId="0" fontId="2" numFmtId="0" xfId="0" applyBorder="1" applyFont="1"/>
    <xf borderId="88" fillId="0" fontId="2" numFmtId="0" xfId="0" applyBorder="1" applyFont="1"/>
    <xf borderId="87" fillId="0" fontId="28" numFmtId="0" xfId="0" applyBorder="1" applyFont="1"/>
    <xf borderId="89" fillId="0" fontId="2" numFmtId="0" xfId="0" applyBorder="1" applyFont="1"/>
    <xf borderId="87" fillId="0" fontId="27" numFmtId="0" xfId="0" applyAlignment="1" applyBorder="1" applyFont="1">
      <alignment horizontal="center" vertical="center"/>
    </xf>
    <xf borderId="86" fillId="0" fontId="27" numFmtId="0" xfId="0" applyAlignment="1" applyBorder="1" applyFont="1">
      <alignment horizontal="center" vertical="center"/>
    </xf>
    <xf borderId="74" fillId="0" fontId="28" numFmtId="16" xfId="0" applyBorder="1" applyFont="1" applyNumberFormat="1"/>
    <xf borderId="90" fillId="0" fontId="28" numFmtId="0" xfId="0" applyBorder="1" applyFont="1"/>
    <xf borderId="91" fillId="17" fontId="29" numFmtId="0" xfId="0" applyBorder="1" applyFill="1" applyFont="1"/>
    <xf borderId="92" fillId="0" fontId="2" numFmtId="0" xfId="0" applyBorder="1" applyFont="1"/>
    <xf borderId="65" fillId="0" fontId="27" numFmtId="0" xfId="0" applyAlignment="1" applyBorder="1" applyFont="1">
      <alignment horizontal="center" vertical="center"/>
    </xf>
    <xf borderId="93" fillId="0" fontId="2" numFmtId="0" xfId="0" applyBorder="1" applyFont="1"/>
    <xf borderId="94" fillId="18" fontId="32" numFmtId="0" xfId="0" applyBorder="1" applyFill="1" applyFont="1"/>
    <xf borderId="94" fillId="18" fontId="3" numFmtId="0" xfId="0" applyBorder="1" applyFill="1" applyFont="1"/>
    <xf borderId="94" fillId="18" fontId="3" numFmtId="0" xfId="0" applyAlignment="1" applyBorder="1" applyFill="1" applyFont="1">
      <alignment horizontal="center"/>
    </xf>
    <xf borderId="95" fillId="0" fontId="29" numFmtId="0" xfId="0" applyAlignment="1" applyBorder="1" applyFont="1">
      <alignment horizontal="center" vertical="center"/>
    </xf>
    <xf borderId="82" fillId="0" fontId="30" numFmtId="0" xfId="0" applyAlignment="1" applyBorder="1" applyFont="1">
      <alignment horizontal="center" vertical="center"/>
    </xf>
    <xf borderId="82" fillId="0" fontId="31" numFmtId="0" xfId="0" applyAlignment="1" applyBorder="1" applyFont="1">
      <alignment horizontal="center" vertical="center"/>
    </xf>
    <xf borderId="96" fillId="17" fontId="29" numFmtId="0" xfId="0" applyBorder="1" applyFill="1" applyFont="1"/>
    <xf borderId="97" fillId="0" fontId="27" numFmtId="0" xfId="0" applyAlignment="1" applyBorder="1" applyFont="1">
      <alignment horizontal="center" vertical="center"/>
    </xf>
    <xf borderId="97" fillId="0" fontId="2" numFmtId="0" xfId="0" applyBorder="1" applyFont="1"/>
    <xf borderId="98" fillId="0" fontId="2" numFmtId="0" xfId="0" applyBorder="1" applyFont="1"/>
    <xf borderId="99" fillId="18" fontId="3" numFmtId="0" xfId="0" applyBorder="1" applyFill="1" applyFont="1"/>
    <xf borderId="100" fillId="0" fontId="2" numFmtId="0" xfId="0" applyBorder="1" applyFont="1"/>
    <xf borderId="101" fillId="18" fontId="3" numFmtId="0" xfId="0" applyBorder="1" applyFill="1" applyFont="1"/>
    <xf borderId="1" fillId="19" fontId="1" numFmtId="0" xfId="0" applyAlignment="1" applyBorder="1" applyFill="1" applyFont="1">
      <alignment horizontal="center" shrinkToFit="0" wrapText="1"/>
    </xf>
    <xf borderId="3" fillId="19" fontId="3" numFmtId="0" xfId="0" applyBorder="1" applyFill="1" applyFont="1"/>
    <xf borderId="3" fillId="3" fontId="8" numFmtId="0" xfId="0" applyAlignment="1" applyBorder="1" applyFill="1" applyFont="1">
      <alignment horizontal="left"/>
    </xf>
    <xf borderId="3" fillId="3" fontId="8" numFmtId="12" xfId="0" applyBorder="1" applyFill="1" applyFont="1" applyNumberFormat="1"/>
    <xf borderId="102" fillId="0" fontId="2" numFmtId="0" xfId="0" applyBorder="1" applyFont="1"/>
    <xf borderId="103" fillId="0" fontId="2" numFmtId="0" xfId="0" applyBorder="1" applyFont="1"/>
    <xf borderId="104" fillId="19" fontId="34" numFmtId="0" xfId="0" applyAlignment="1" applyBorder="1" applyFill="1" applyFont="1">
      <alignment horizontal="center" shrinkToFit="0" vertical="top" wrapText="1"/>
    </xf>
    <xf borderId="105" fillId="0" fontId="2" numFmtId="0" xfId="0" applyBorder="1" applyFont="1"/>
    <xf borderId="3" fillId="19" fontId="35" numFmtId="0" xfId="0" applyAlignment="1" applyBorder="1" applyFill="1" applyFont="1">
      <alignment horizontal="center" shrinkToFit="0" vertical="top" wrapText="1"/>
    </xf>
    <xf borderId="0" fillId="0" fontId="36" numFmtId="0" xfId="0" applyFont="1"/>
    <xf borderId="0" fillId="0" fontId="37" numFmtId="0" xfId="0" applyFont="1"/>
    <xf borderId="106" fillId="19" fontId="38" numFmtId="0" xfId="0" applyAlignment="1" applyBorder="1" applyFill="1" applyFont="1">
      <alignment horizontal="center" shrinkToFit="0" vertical="center" wrapText="1"/>
    </xf>
    <xf borderId="107" fillId="0" fontId="2" numFmtId="0" xfId="0" applyBorder="1" applyFont="1"/>
    <xf borderId="108" fillId="0" fontId="2" numFmtId="0" xfId="0" applyBorder="1" applyFont="1"/>
    <xf borderId="0" fillId="0" fontId="15" numFmtId="0" xfId="0" applyFont="1"/>
    <xf quotePrefix="1" borderId="0" fillId="0" fontId="37" numFmtId="0" xfId="0" applyFont="1"/>
    <xf borderId="0" fillId="0" fontId="36" numFmtId="0" xfId="0" applyAlignment="1" applyFont="1">
      <alignment horizontal="right" vertical="center"/>
    </xf>
    <xf borderId="109" fillId="0" fontId="2" numFmtId="0" xfId="0" applyBorder="1" applyFont="1"/>
    <xf borderId="110" fillId="0" fontId="2" numFmtId="0" xfId="0" applyBorder="1" applyFont="1"/>
    <xf borderId="111" fillId="20" fontId="39" numFmtId="0" xfId="0" applyAlignment="1" applyBorder="1" applyFill="1" applyFont="1">
      <alignment horizontal="center" vertical="center"/>
    </xf>
    <xf borderId="112" fillId="20" fontId="39" numFmtId="0" xfId="0" applyAlignment="1" applyBorder="1" applyFill="1" applyFont="1">
      <alignment horizontal="center" vertical="center"/>
    </xf>
    <xf borderId="113" fillId="20" fontId="39" numFmtId="0" xfId="0" applyAlignment="1" applyBorder="1" applyFill="1" applyFont="1">
      <alignment horizontal="center" vertical="center"/>
    </xf>
    <xf borderId="114" fillId="0" fontId="2" numFmtId="0" xfId="0" applyBorder="1" applyFont="1"/>
    <xf borderId="115" fillId="0" fontId="2" numFmtId="0" xfId="0" applyBorder="1" applyFont="1"/>
    <xf borderId="116" fillId="0" fontId="2" numFmtId="0" xfId="0" applyBorder="1" applyFont="1"/>
    <xf borderId="117" fillId="0" fontId="40" numFmtId="12" xfId="0" applyAlignment="1" applyBorder="1" applyFont="1" applyNumberFormat="1">
      <alignment horizontal="center" vertical="center"/>
    </xf>
    <xf borderId="0" fillId="0" fontId="37" numFmtId="0" xfId="0" applyAlignment="1" applyFont="1">
      <alignment horizontal="right"/>
    </xf>
    <xf borderId="0" fillId="0" fontId="41" numFmtId="0" xfId="0" applyAlignment="1" applyFont="1">
      <alignment horizontal="right" vertical="center"/>
    </xf>
    <xf borderId="118" fillId="0" fontId="2" numFmtId="0" xfId="0" applyBorder="1" applyFont="1"/>
    <xf borderId="0" fillId="0" fontId="41" numFmtId="0" xfId="0" applyFont="1"/>
    <xf borderId="119" fillId="0" fontId="42" numFmtId="0" xfId="0" applyAlignment="1" applyBorder="1" applyFont="1">
      <alignment horizontal="center" vertical="center"/>
    </xf>
    <xf borderId="0" fillId="0" fontId="16" numFmtId="0" xfId="0" applyAlignment="1" applyFont="1">
      <alignment vertical="center"/>
    </xf>
    <xf borderId="0" fillId="0" fontId="42" numFmtId="0" xfId="0" applyAlignment="1" applyFont="1">
      <alignment horizontal="center" vertical="center"/>
    </xf>
    <xf borderId="84" fillId="3" fontId="43" numFmtId="0" xfId="0" applyAlignment="1" applyBorder="1" applyFill="1" applyFont="1">
      <alignment horizontal="center"/>
    </xf>
    <xf borderId="1" fillId="3" fontId="9" numFmtId="0" xfId="0" applyAlignment="1" applyBorder="1" applyFill="1" applyFont="1">
      <alignment horizontal="center" vertical="top"/>
    </xf>
    <xf borderId="120" fillId="0" fontId="42" numFmtId="0" xfId="0" applyAlignment="1" applyBorder="1" applyFont="1">
      <alignment horizontal="center" vertical="center"/>
    </xf>
    <xf borderId="121" fillId="0" fontId="2" numFmtId="0" xfId="0" applyBorder="1" applyFont="1"/>
    <xf borderId="0" fillId="0" fontId="38" numFmtId="0" xfId="0" applyAlignment="1" applyFont="1">
      <alignment horizontal="center" vertical="center"/>
    </xf>
    <xf borderId="122" fillId="3" fontId="8" numFmtId="0" xfId="0" applyBorder="1" applyFill="1" applyFont="1"/>
    <xf borderId="123" fillId="0" fontId="2" numFmtId="0" xfId="0" applyBorder="1" applyFont="1"/>
    <xf borderId="1" fillId="3" fontId="9" numFmtId="0" xfId="0" applyAlignment="1" applyBorder="1" applyFill="1" applyFont="1">
      <alignment horizontal="center"/>
    </xf>
    <xf borderId="124" fillId="20" fontId="39" numFmtId="0" xfId="0" applyAlignment="1" applyBorder="1" applyFill="1" applyFont="1">
      <alignment horizontal="center" vertical="center"/>
    </xf>
    <xf borderId="125" fillId="20" fontId="39" numFmtId="0" xfId="0" applyAlignment="1" applyBorder="1" applyFill="1" applyFont="1">
      <alignment horizontal="center" vertical="center"/>
    </xf>
    <xf borderId="126" fillId="20" fontId="39" numFmtId="0" xfId="0" applyAlignment="1" applyBorder="1" applyFill="1" applyFont="1">
      <alignment horizontal="center" vertical="center"/>
    </xf>
    <xf borderId="0" fillId="0" fontId="39" numFmtId="0" xfId="0" applyAlignment="1" applyFont="1">
      <alignment horizontal="center" vertical="center"/>
    </xf>
    <xf borderId="127" fillId="18" fontId="40" numFmtId="12" xfId="0" applyAlignment="1" applyBorder="1" applyFill="1" applyFont="1" applyNumberFormat="1">
      <alignment horizontal="center" vertical="center"/>
    </xf>
    <xf borderId="128" fillId="18" fontId="40" numFmtId="12" xfId="0" applyAlignment="1" applyBorder="1" applyFill="1" applyFont="1" applyNumberFormat="1">
      <alignment horizontal="center" vertical="center"/>
    </xf>
    <xf borderId="129" fillId="18" fontId="40" numFmtId="12" xfId="0" applyAlignment="1" applyBorder="1" applyFill="1" applyFont="1" applyNumberFormat="1">
      <alignment horizontal="center" vertical="center"/>
    </xf>
    <xf borderId="130" fillId="3" fontId="19" numFmtId="0" xfId="0" applyAlignment="1" applyBorder="1" applyFill="1" applyFont="1">
      <alignment horizontal="center" vertical="center"/>
    </xf>
    <xf borderId="117" fillId="0" fontId="2" numFmtId="0" xfId="0" applyBorder="1" applyFont="1"/>
    <xf borderId="131" fillId="0" fontId="2" numFmtId="0" xfId="0" applyBorder="1" applyFont="1"/>
    <xf borderId="132" fillId="0" fontId="2" numFmtId="0" xfId="0" applyBorder="1" applyFont="1"/>
    <xf borderId="133" fillId="0" fontId="2" numFmtId="0" xfId="0" applyBorder="1" applyFont="1"/>
    <xf borderId="134" fillId="0" fontId="2" numFmtId="0" xfId="0" applyBorder="1" applyFont="1"/>
    <xf borderId="135" fillId="0" fontId="2" numFmtId="0" xfId="0" applyBorder="1" applyFont="1"/>
    <xf borderId="136" fillId="0" fontId="2" numFmtId="0" xfId="0" applyBorder="1" applyFont="1"/>
    <xf borderId="0" fillId="0" fontId="16" numFmtId="0" xfId="0" applyFont="1"/>
    <xf borderId="137" fillId="21" fontId="44" numFmtId="0" xfId="0" applyAlignment="1" applyBorder="1" applyFill="1" applyFont="1">
      <alignment horizontal="center" shrinkToFit="0" vertical="center" wrapText="1"/>
    </xf>
    <xf borderId="138" fillId="0" fontId="2" numFmtId="0" xfId="0" applyBorder="1" applyFont="1"/>
    <xf borderId="139" fillId="0" fontId="2" numFmtId="0" xfId="0" applyBorder="1" applyFont="1"/>
    <xf borderId="0" fillId="0" fontId="44" numFmtId="0" xfId="0" applyAlignment="1" applyFont="1">
      <alignment horizontal="center" shrinkToFit="0" vertical="center" wrapText="1"/>
    </xf>
    <xf borderId="0" fillId="0" fontId="32" numFmtId="0" xfId="0" applyAlignment="1" applyFont="1">
      <alignment shrinkToFit="0" wrapText="1"/>
    </xf>
    <xf borderId="3" fillId="3" fontId="45" numFmtId="0" xfId="0" applyBorder="1" applyFill="1" applyFont="1"/>
    <xf borderId="0" fillId="0" fontId="15" numFmtId="0" xfId="0" applyAlignment="1" applyFont="1">
      <alignment horizontal="right"/>
    </xf>
    <xf borderId="5" fillId="0" fontId="19" numFmtId="0" xfId="0" applyAlignment="1" applyBorder="1" applyFont="1">
      <alignment horizontal="center"/>
    </xf>
    <xf borderId="5" fillId="0" fontId="2" numFmtId="0" xfId="0" applyBorder="1" applyFont="1"/>
    <xf borderId="5" fillId="0" fontId="19" numFmtId="14" xfId="0" applyAlignment="1" applyBorder="1" applyFont="1" applyNumberFormat="1">
      <alignment horizontal="center"/>
    </xf>
    <xf borderId="0" fillId="0" fontId="3" numFmtId="165" xfId="0" applyFont="1" applyNumberFormat="1"/>
    <xf borderId="140" fillId="16" fontId="46" numFmtId="0" xfId="0" applyAlignment="1" applyBorder="1" applyFill="1" applyFont="1">
      <alignment horizontal="left" shrinkToFit="0" vertical="center" wrapText="1"/>
    </xf>
    <xf borderId="141" fillId="0" fontId="2" numFmtId="0" xfId="0" applyBorder="1" applyFont="1"/>
    <xf borderId="142" fillId="0" fontId="2" numFmtId="0" xfId="0" applyBorder="1" applyFont="1"/>
    <xf borderId="0" fillId="0" fontId="46" numFmtId="0" xfId="0" applyAlignment="1" applyFont="1">
      <alignment horizontal="left" shrinkToFit="0" vertical="center" wrapText="1"/>
    </xf>
    <xf borderId="0" fillId="0" fontId="37" numFmtId="0" xfId="0" applyAlignment="1" applyFont="1">
      <alignment shrinkToFit="0" wrapText="1"/>
    </xf>
    <xf borderId="137" fillId="21" fontId="47" numFmtId="0" xfId="0" applyAlignment="1" applyBorder="1" applyFill="1" applyFont="1">
      <alignment horizontal="left" shrinkToFit="0" vertical="center" wrapText="1"/>
    </xf>
    <xf borderId="0" fillId="0" fontId="47" numFmtId="0" xfId="0" applyAlignment="1" applyFont="1">
      <alignment horizontal="left" shrinkToFit="0" vertical="center" wrapText="1"/>
    </xf>
    <xf borderId="0" fillId="0" fontId="48" numFmtId="0" xfId="0" applyFont="1"/>
    <xf borderId="143" fillId="14" fontId="49" numFmtId="0" xfId="0" applyAlignment="1" applyBorder="1" applyFill="1" applyFont="1">
      <alignment horizontal="left" shrinkToFit="0" vertical="center" wrapText="1"/>
    </xf>
    <xf borderId="144" fillId="0" fontId="2" numFmtId="0" xfId="0" applyBorder="1" applyFont="1"/>
    <xf borderId="145" fillId="0" fontId="2" numFmtId="0" xfId="0" applyBorder="1" applyFont="1"/>
    <xf borderId="146" fillId="19" fontId="38" numFmtId="0" xfId="0" applyAlignment="1" applyBorder="1" applyFill="1" applyFont="1">
      <alignment horizontal="center" shrinkToFit="0" vertical="center" wrapText="1"/>
    </xf>
    <xf borderId="0" fillId="0" fontId="49" numFmtId="0" xfId="0" applyAlignment="1" applyFont="1">
      <alignment horizontal="left" shrinkToFit="0" vertical="center" wrapText="1"/>
    </xf>
    <xf borderId="147" fillId="0" fontId="2" numFmtId="0" xfId="0" applyBorder="1" applyFont="1"/>
    <xf borderId="148" fillId="0" fontId="2" numFmtId="0" xfId="0" applyBorder="1" applyFont="1"/>
    <xf borderId="1" fillId="19" fontId="1" numFmtId="0" xfId="0" applyAlignment="1" applyBorder="1" applyFill="1" applyFont="1">
      <alignment horizontal="center" shrinkToFit="0" vertical="center" wrapText="1"/>
    </xf>
    <xf borderId="0" fillId="0" fontId="50" numFmtId="0" xfId="0" applyFont="1"/>
    <xf borderId="1" fillId="19" fontId="38" numFmtId="0" xfId="0" applyAlignment="1" applyBorder="1" applyFill="1" applyFont="1">
      <alignment horizontal="center" shrinkToFit="0" vertical="center" wrapText="1"/>
    </xf>
    <xf borderId="149" fillId="0" fontId="3" numFmtId="0" xfId="0" applyBorder="1" applyFont="1"/>
    <xf borderId="150" fillId="18" fontId="3" numFmtId="0" xfId="0" applyBorder="1" applyFill="1" applyFont="1"/>
    <xf borderId="3" fillId="18" fontId="3" numFmtId="0" xfId="0" applyBorder="1" applyFill="1" applyFont="1"/>
    <xf borderId="0" fillId="0" fontId="51" numFmtId="0" xfId="0" applyFont="1"/>
    <xf borderId="0" fillId="0" fontId="51" numFmtId="0" xfId="0" applyAlignment="1" applyFont="1">
      <alignment vertical="center"/>
    </xf>
    <xf borderId="0" fillId="0" fontId="52" numFmtId="0" xfId="0" applyFont="1"/>
    <xf borderId="0" fillId="0" fontId="38" numFmtId="0" xfId="0" applyAlignment="1" applyFont="1">
      <alignment horizontal="center" shrinkToFit="0" vertical="center" wrapText="1"/>
    </xf>
    <xf borderId="151" fillId="20" fontId="39" numFmtId="0" xfId="0" applyAlignment="1" applyBorder="1" applyFill="1" applyFont="1">
      <alignment horizontal="center" vertical="center"/>
    </xf>
    <xf borderId="152" fillId="20" fontId="39" numFmtId="0" xfId="0" applyAlignment="1" applyBorder="1" applyFill="1" applyFont="1">
      <alignment horizontal="center" vertical="center"/>
    </xf>
    <xf borderId="153" fillId="20" fontId="39" numFmtId="0" xfId="0" applyAlignment="1" applyBorder="1" applyFill="1" applyFont="1">
      <alignment horizontal="center" vertical="center"/>
    </xf>
    <xf borderId="127" fillId="0" fontId="40" numFmtId="12" xfId="0" applyAlignment="1" applyBorder="1" applyFont="1" applyNumberFormat="1">
      <alignment horizontal="center" vertical="center"/>
    </xf>
    <xf borderId="128" fillId="0" fontId="40" numFmtId="12" xfId="0" applyAlignment="1" applyBorder="1" applyFont="1" applyNumberFormat="1">
      <alignment horizontal="center" vertical="center"/>
    </xf>
    <xf borderId="62" fillId="0" fontId="40" numFmtId="12" xfId="0" applyAlignment="1" applyBorder="1" applyFont="1" applyNumberFormat="1">
      <alignment horizontal="center" vertical="center"/>
    </xf>
    <xf borderId="154" fillId="0" fontId="2" numFmtId="0" xfId="0" applyBorder="1" applyFont="1"/>
    <xf borderId="155" fillId="0" fontId="51" numFmtId="0" xfId="0" applyAlignment="1" applyBorder="1" applyFont="1">
      <alignment horizontal="center"/>
    </xf>
    <xf borderId="156" fillId="0" fontId="2" numFmtId="0" xfId="0" applyBorder="1" applyFont="1"/>
    <xf borderId="157" fillId="0" fontId="2" numFmtId="0" xfId="0" applyBorder="1" applyFont="1"/>
    <xf borderId="155" fillId="0" fontId="15" numFmtId="0" xfId="0" applyAlignment="1" applyBorder="1" applyFont="1">
      <alignment horizontal="center"/>
    </xf>
    <xf borderId="158" fillId="16" fontId="3" numFmtId="0" xfId="0" applyBorder="1" applyFill="1" applyFont="1"/>
    <xf borderId="159" fillId="0" fontId="2" numFmtId="0" xfId="0" applyBorder="1" applyFont="1"/>
    <xf borderId="160" fillId="0" fontId="2" numFmtId="0" xfId="0" applyBorder="1" applyFont="1"/>
    <xf borderId="3" fillId="3" fontId="53" numFmtId="0" xfId="0" applyBorder="1" applyFill="1" applyFont="1"/>
    <xf borderId="0" fillId="0" fontId="46" numFmtId="0" xfId="0" applyAlignment="1" applyFont="1">
      <alignment horizontal="left" vertical="center"/>
    </xf>
    <xf borderId="0" fillId="0" fontId="54" numFmtId="0" xfId="0" applyFont="1"/>
    <xf borderId="0" fillId="0" fontId="28" numFmtId="0" xfId="0" applyFont="1"/>
    <xf borderId="0" fillId="0" fontId="54" numFmtId="0" xfId="0" applyAlignment="1" applyFont="1">
      <alignment shrinkToFit="0" wrapText="1"/>
    </xf>
    <xf borderId="161" fillId="16" fontId="3" numFmtId="0" xfId="0" applyBorder="1" applyFill="1" applyFont="1"/>
    <xf borderId="162" fillId="0" fontId="2" numFmtId="0" xfId="0" applyBorder="1" applyFont="1"/>
    <xf borderId="1" fillId="22" fontId="1" numFmtId="0" xfId="0" applyAlignment="1" applyBorder="1" applyFill="1" applyFont="1">
      <alignment horizontal="center" shrinkToFit="0" vertical="center" wrapText="1"/>
    </xf>
    <xf borderId="163" fillId="22" fontId="1" numFmtId="0" xfId="0" applyAlignment="1" applyBorder="1" applyFill="1" applyFont="1">
      <alignment horizontal="center" vertical="center"/>
    </xf>
    <xf borderId="164" fillId="22" fontId="1" numFmtId="0" xfId="0" applyAlignment="1" applyBorder="1" applyFill="1" applyFont="1">
      <alignment horizontal="center" vertical="center"/>
    </xf>
    <xf borderId="165" fillId="0" fontId="3" numFmtId="0" xfId="0" applyBorder="1" applyFont="1"/>
    <xf borderId="6" fillId="15" fontId="11" numFmtId="0" xfId="0" applyAlignment="1" applyBorder="1" applyFill="1" applyFont="1">
      <alignment horizontal="center" vertical="center"/>
    </xf>
    <xf borderId="6" fillId="15" fontId="13" numFmtId="0" xfId="0" applyAlignment="1" applyBorder="1" applyFill="1" applyFont="1">
      <alignment horizontal="center" vertical="center"/>
    </xf>
    <xf borderId="166" fillId="0" fontId="3" numFmtId="0" xfId="0" applyBorder="1" applyFont="1"/>
    <xf borderId="167" fillId="0" fontId="3" numFmtId="0" xfId="0" applyBorder="1" applyFont="1"/>
    <xf borderId="168" fillId="15" fontId="15" numFmtId="0" xfId="0" applyAlignment="1" applyBorder="1" applyFill="1" applyFont="1">
      <alignment horizontal="center" vertical="center"/>
    </xf>
    <xf borderId="169" fillId="0" fontId="2" numFmtId="0" xfId="0" applyBorder="1" applyFont="1"/>
    <xf borderId="170" fillId="0" fontId="2" numFmtId="0" xfId="0" applyBorder="1" applyFont="1"/>
    <xf borderId="169" fillId="0" fontId="3" numFmtId="0" xfId="0" applyBorder="1" applyFont="1"/>
    <xf borderId="168" fillId="0" fontId="51" numFmtId="0" xfId="0" applyAlignment="1" applyBorder="1" applyFont="1">
      <alignment horizontal="center"/>
    </xf>
    <xf borderId="0" fillId="0" fontId="55" numFmtId="0" xfId="0" applyFont="1"/>
    <xf borderId="168" fillId="0" fontId="15" numFmtId="0" xfId="0" applyAlignment="1" applyBorder="1" applyFont="1">
      <alignment horizontal="center"/>
    </xf>
    <xf borderId="171" fillId="0" fontId="56" numFmtId="0" xfId="0" applyBorder="1" applyFont="1"/>
    <xf borderId="3" fillId="15" fontId="3" numFmtId="0" xfId="0" applyBorder="1" applyFill="1" applyFont="1"/>
    <xf borderId="163" fillId="15" fontId="3" numFmtId="0" xfId="0" applyBorder="1" applyFill="1" applyFont="1"/>
    <xf borderId="0" fillId="0" fontId="56" numFmtId="0" xfId="0" applyFont="1"/>
    <xf borderId="172" fillId="15" fontId="3" numFmtId="0" xfId="0" applyBorder="1" applyFill="1" applyFont="1"/>
    <xf borderId="1" fillId="23" fontId="1" numFmtId="0" xfId="0" applyAlignment="1" applyBorder="1" applyFill="1" applyFont="1">
      <alignment horizontal="center" shrinkToFit="0" vertical="center" wrapText="1"/>
    </xf>
    <xf borderId="3" fillId="23" fontId="3" numFmtId="0" xfId="0" applyBorder="1" applyFill="1" applyFont="1"/>
    <xf borderId="6" fillId="14" fontId="11" numFmtId="0" xfId="0" applyAlignment="1" applyBorder="1" applyFill="1" applyFont="1">
      <alignment horizontal="center" vertical="center"/>
    </xf>
    <xf borderId="6" fillId="14" fontId="13" numFmtId="0" xfId="0" applyAlignment="1" applyBorder="1" applyFill="1" applyFont="1">
      <alignment horizontal="center" vertical="center"/>
    </xf>
    <xf borderId="173" fillId="15" fontId="3" numFmtId="0" xfId="0" applyBorder="1" applyFill="1" applyFont="1"/>
    <xf borderId="174" fillId="15" fontId="3" numFmtId="0" xfId="0" applyBorder="1" applyFill="1" applyFont="1"/>
    <xf borderId="164" fillId="15" fontId="3" numFmtId="0" xfId="0" applyBorder="1" applyFill="1" applyFont="1"/>
    <xf borderId="3" fillId="3" fontId="57" numFmtId="0" xfId="0" applyBorder="1" applyFill="1" applyFont="1"/>
    <xf borderId="9" fillId="0" fontId="51" numFmtId="0" xfId="0" applyAlignment="1" applyBorder="1" applyFont="1">
      <alignment horizontal="center"/>
    </xf>
    <xf borderId="9" fillId="0" fontId="15" numFmtId="0" xfId="0" applyAlignment="1" applyBorder="1" applyFont="1">
      <alignment horizontal="center"/>
    </xf>
    <xf borderId="175" fillId="14" fontId="3" numFmtId="0" xfId="0" applyBorder="1" applyFill="1" applyFont="1"/>
    <xf borderId="3" fillId="14" fontId="3" numFmtId="0" xfId="0" applyBorder="1" applyFill="1" applyFont="1"/>
    <xf borderId="176" fillId="14" fontId="3" numFmtId="0" xfId="0" applyBorder="1" applyFill="1" applyFont="1"/>
    <xf borderId="31" fillId="0" fontId="56" numFmtId="0" xfId="0" applyBorder="1" applyFont="1"/>
    <xf borderId="177" fillId="14" fontId="3" numFmtId="0" xfId="0" applyBorder="1" applyFill="1" applyFont="1"/>
    <xf borderId="178" fillId="14" fontId="3" numFmtId="0" xfId="0" applyBorder="1" applyFill="1" applyFont="1"/>
    <xf borderId="179" fillId="14" fontId="3" numFmtId="0" xfId="0" applyBorder="1" applyFill="1" applyFont="1"/>
    <xf borderId="180" fillId="14" fontId="3" numFmtId="0" xfId="0" applyBorder="1" applyFill="1" applyFont="1"/>
    <xf borderId="181" fillId="14" fontId="3" numFmtId="0" xfId="0" applyBorder="1" applyFill="1" applyFont="1"/>
    <xf borderId="182" fillId="14" fontId="3" numFmtId="0" xfId="0" applyBorder="1" applyFill="1" applyFont="1"/>
    <xf borderId="14" fillId="24" fontId="1" numFmtId="0" xfId="0" applyAlignment="1" applyBorder="1" applyFill="1" applyFont="1">
      <alignment horizontal="center" vertical="center"/>
    </xf>
    <xf borderId="183" fillId="0" fontId="2" numFmtId="0" xfId="0" applyBorder="1" applyFont="1"/>
    <xf borderId="184" fillId="24" fontId="3" numFmtId="0" xfId="0" applyBorder="1" applyFill="1" applyFont="1"/>
    <xf borderId="185" fillId="24" fontId="3" numFmtId="0" xfId="0" applyBorder="1" applyFill="1" applyFont="1"/>
    <xf borderId="17" fillId="0" fontId="3" numFmtId="0" xfId="0" applyBorder="1" applyFont="1"/>
    <xf borderId="6" fillId="2" fontId="11" numFmtId="0" xfId="0" applyAlignment="1" applyBorder="1" applyFill="1" applyFont="1">
      <alignment horizontal="center" vertical="center"/>
    </xf>
    <xf borderId="6" fillId="0" fontId="12" numFmtId="0" xfId="0" applyAlignment="1" applyBorder="1" applyFont="1">
      <alignment horizontal="center" vertical="center"/>
    </xf>
    <xf borderId="6" fillId="2" fontId="11" numFmtId="0" xfId="0" applyAlignment="1" applyBorder="1" applyFill="1" applyFont="1">
      <alignment horizontal="center" shrinkToFit="0" vertical="center" wrapText="1"/>
    </xf>
    <xf borderId="6" fillId="0" fontId="12" numFmtId="165" xfId="0" applyAlignment="1" applyBorder="1" applyFont="1" applyNumberFormat="1">
      <alignment horizontal="center" shrinkToFit="0" vertical="center" wrapText="1"/>
    </xf>
    <xf borderId="0" fillId="0" fontId="12" numFmtId="165" xfId="0" applyAlignment="1" applyFont="1" applyNumberFormat="1">
      <alignment horizontal="center" vertical="center"/>
    </xf>
    <xf borderId="0" fillId="0" fontId="12" numFmtId="164" xfId="0" applyAlignment="1" applyFont="1" applyNumberFormat="1">
      <alignment horizontal="center" vertical="center"/>
    </xf>
    <xf borderId="0" fillId="0" fontId="3" numFmtId="0" xfId="0" applyAlignment="1" applyFont="1">
      <alignment vertical="center"/>
    </xf>
    <xf borderId="186" fillId="25" fontId="58" numFmtId="0" xfId="0" applyAlignment="1" applyBorder="1" applyFill="1" applyFont="1">
      <alignment horizontal="center" vertical="top"/>
    </xf>
    <xf borderId="84" fillId="19" fontId="59" numFmtId="0" xfId="0" applyAlignment="1" applyBorder="1" applyFill="1" applyFont="1">
      <alignment horizontal="center" vertical="top"/>
    </xf>
    <xf borderId="84" fillId="6" fontId="60" numFmtId="0" xfId="0" applyAlignment="1" applyBorder="1" applyFill="1" applyFont="1">
      <alignment horizontal="center" vertical="top"/>
    </xf>
    <xf borderId="185" fillId="6" fontId="3" numFmtId="0" xfId="0" applyBorder="1" applyFill="1" applyFont="1"/>
    <xf borderId="0" fillId="0" fontId="61" numFmtId="0" xfId="0" applyAlignment="1" applyFont="1">
      <alignment horizontal="center" vertical="top"/>
    </xf>
    <xf borderId="0" fillId="0" fontId="62" numFmtId="0" xfId="0" applyAlignment="1" applyFont="1">
      <alignment horizontal="right"/>
    </xf>
    <xf borderId="0" fillId="0" fontId="26" numFmtId="0" xfId="0" applyAlignment="1" applyFont="1">
      <alignment horizontal="left"/>
    </xf>
    <xf borderId="0" fillId="0" fontId="3" numFmtId="0" xfId="0" applyAlignment="1" applyFont="1">
      <alignment horizontal="left"/>
    </xf>
    <xf borderId="0" fillId="0" fontId="63" numFmtId="0" xfId="0" applyAlignment="1" applyFont="1">
      <alignment horizontal="left"/>
    </xf>
    <xf borderId="0" fillId="0" fontId="12" numFmtId="0" xfId="0" applyFont="1"/>
    <xf borderId="0" fillId="0" fontId="62" numFmtId="0" xfId="0" applyFont="1"/>
    <xf borderId="16" fillId="0" fontId="15" numFmtId="0" xfId="0" applyBorder="1" applyFont="1"/>
    <xf borderId="6" fillId="0" fontId="3" numFmtId="0" xfId="0" applyBorder="1" applyFont="1"/>
    <xf borderId="7" fillId="0" fontId="3" numFmtId="0" xfId="0" applyBorder="1" applyFont="1"/>
    <xf borderId="8" fillId="0" fontId="3" numFmtId="0" xfId="0" applyBorder="1" applyFont="1"/>
    <xf borderId="187" fillId="10" fontId="3" numFmtId="0" xfId="0" applyBorder="1" applyFill="1" applyFont="1"/>
    <xf borderId="3" fillId="10" fontId="3" numFmtId="0" xfId="0" applyBorder="1" applyFill="1" applyFont="1"/>
    <xf borderId="0" fillId="0" fontId="64" numFmtId="0" xfId="0" applyAlignment="1" applyFont="1">
      <alignment horizontal="right" shrinkToFit="0" wrapText="1"/>
    </xf>
    <xf borderId="0" fillId="0" fontId="19" numFmtId="0" xfId="0" applyAlignment="1" applyFont="1">
      <alignment horizontal="center" shrinkToFit="0" wrapText="1"/>
    </xf>
    <xf borderId="16" fillId="0" fontId="65" numFmtId="0" xfId="0" applyBorder="1" applyFont="1"/>
    <xf borderId="16" fillId="0" fontId="15" numFmtId="0" xfId="0" applyAlignment="1" applyBorder="1" applyFont="1">
      <alignment horizontal="left"/>
    </xf>
    <xf borderId="0" fillId="0" fontId="66" numFmtId="0" xfId="0" applyAlignment="1" applyFont="1">
      <alignment horizontal="center"/>
    </xf>
    <xf borderId="6" fillId="0" fontId="63" numFmtId="0" xfId="0" applyAlignment="1" applyBorder="1" applyFont="1">
      <alignment horizontal="center"/>
    </xf>
    <xf borderId="7" fillId="0" fontId="63" numFmtId="0" xfId="0" applyAlignment="1" applyBorder="1" applyFont="1">
      <alignment horizontal="center"/>
    </xf>
    <xf borderId="8" fillId="0" fontId="63" numFmtId="0" xfId="0" applyAlignment="1" applyBorder="1" applyFont="1">
      <alignment horizontal="center"/>
    </xf>
    <xf borderId="0" fillId="0" fontId="67" numFmtId="0" xfId="0" applyAlignment="1" applyFont="1">
      <alignment horizontal="center"/>
    </xf>
    <xf borderId="16" fillId="0" fontId="10" numFmtId="0" xfId="0" applyBorder="1" applyFont="1"/>
    <xf borderId="188" fillId="0" fontId="3" numFmtId="0" xfId="0" applyBorder="1" applyFont="1"/>
    <xf borderId="189" fillId="0" fontId="3" numFmtId="0" xfId="0" applyBorder="1" applyFont="1"/>
    <xf borderId="190" fillId="0" fontId="3" numFmtId="0" xfId="0" applyBorder="1" applyFont="1"/>
    <xf borderId="119" fillId="0" fontId="3" numFmtId="0" xfId="0" applyBorder="1" applyFont="1"/>
    <xf borderId="191" fillId="0" fontId="3" numFmtId="0" xfId="0" applyBorder="1" applyFont="1"/>
    <xf borderId="192" fillId="0" fontId="3" numFmtId="0" xfId="0" applyBorder="1" applyFont="1"/>
    <xf borderId="193" fillId="0" fontId="3" numFmtId="0" xfId="0" applyBorder="1" applyFont="1"/>
    <xf borderId="194" fillId="0" fontId="3" numFmtId="0" xfId="0" applyBorder="1" applyFont="1"/>
    <xf borderId="195" fillId="0" fontId="3" numFmtId="0" xfId="0" applyBorder="1" applyFont="1"/>
    <xf borderId="196" fillId="18" fontId="10" numFmtId="0" xfId="0" applyBorder="1" applyFill="1" applyFont="1"/>
    <xf borderId="197" fillId="18" fontId="10" numFmtId="0" xfId="0" applyBorder="1" applyFill="1" applyFont="1"/>
    <xf borderId="198" fillId="18" fontId="10" numFmtId="0" xfId="0" applyBorder="1" applyFill="1" applyFont="1"/>
    <xf borderId="3" fillId="26" fontId="3" numFmtId="0" xfId="0" applyBorder="1" applyFill="1" applyFont="1"/>
    <xf borderId="0" fillId="0" fontId="68" numFmtId="0" xfId="0" applyAlignment="1" applyFont="1">
      <alignment horizontal="center"/>
    </xf>
    <xf borderId="120" fillId="0" fontId="3" numFmtId="0" xfId="0" applyBorder="1" applyFont="1"/>
    <xf borderId="199" fillId="0" fontId="3" numFmtId="0" xfId="0" applyBorder="1" applyFont="1"/>
    <xf borderId="200" fillId="0" fontId="3" numFmtId="0" xfId="0" applyBorder="1" applyFont="1"/>
    <xf borderId="201" fillId="0" fontId="3" numFmtId="0" xfId="0" applyBorder="1" applyFont="1"/>
  </cellXfs>
  <cellStyles count="1">
    <cellStyle xfId="0" name="Normal" builtinId="0"/>
  </cellStyles>
  <dxfs count="13">
    <dxf>
      <font>
        <color rgb="FFFFFF00"/>
      </font>
      <fill>
        <patternFill patternType="solid">
          <fgColor rgb="FFFFFF00"/>
          <bgColor rgb="FFFFFF00"/>
        </patternFill>
      </fill>
      <border/>
    </dxf>
    <dxf>
      <font>
        <color rgb="FFE36C09"/>
      </font>
      <fill>
        <patternFill patternType="solid">
          <fgColor rgb="FFE36C09"/>
          <bgColor rgb="FFE36C09"/>
        </patternFill>
      </fill>
      <border/>
    </dxf>
    <dxf>
      <font>
        <color rgb="FFC00000"/>
      </font>
      <fill>
        <patternFill patternType="solid">
          <fgColor rgb="FFC00000"/>
          <bgColor rgb="FFC00000"/>
        </patternFill>
      </fill>
      <border/>
    </dxf>
    <dxf>
      <font>
        <color rgb="FF0070C0"/>
      </font>
      <fill>
        <patternFill patternType="solid">
          <fgColor rgb="FF0070C0"/>
          <bgColor rgb="FF0070C0"/>
        </patternFill>
      </fill>
      <border/>
    </dxf>
    <dxf>
      <font>
        <color theme="0"/>
      </font>
      <fill>
        <patternFill patternType="none"/>
      </fill>
      <border/>
    </dxf>
    <dxf>
      <font>
        <color rgb="FF7F7F7F"/>
      </font>
      <fill>
        <patternFill patternType="none"/>
      </fill>
      <border/>
    </dxf>
    <dxf>
      <font>
        <b/>
      </font>
      <fill>
        <patternFill patternType="none"/>
      </fill>
      <border/>
    </dxf>
    <dxf>
      <font>
        <b/>
        <color theme="1"/>
      </font>
      <fill>
        <patternFill patternType="none"/>
      </fill>
      <border/>
    </dxf>
    <dxf>
      <font/>
      <fill>
        <patternFill patternType="solid">
          <fgColor rgb="FFFFFF00"/>
          <bgColor rgb="FFFFFF00"/>
        </patternFill>
      </fill>
      <border/>
    </dxf>
    <dxf>
      <font/>
      <fill>
        <patternFill patternType="solid">
          <fgColor rgb="FFE36C09"/>
          <bgColor rgb="FFE36C09"/>
        </patternFill>
      </fill>
      <border/>
    </dxf>
    <dxf>
      <font/>
      <fill>
        <patternFill patternType="solid">
          <fgColor rgb="FFC00000"/>
          <bgColor rgb="FFC00000"/>
        </patternFill>
      </fill>
      <border/>
    </dxf>
    <dxf>
      <font/>
      <fill>
        <patternFill patternType="solid">
          <fgColor rgb="FF0070C0"/>
          <bgColor rgb="FF0070C0"/>
        </patternFill>
      </fill>
      <border/>
    </dxf>
    <dxf>
      <font>
        <color rgb="FF00B050"/>
      </font>
      <fill>
        <patternFill patternType="solid">
          <fgColor rgb="FF00B050"/>
          <bgColor rgb="FF00B05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3"/></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1"/></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0" Type="http://schemas.openxmlformats.org/officeDocument/2006/relationships/image" Target="../media/image3.png"/><Relationship Id="rId11" Type="http://schemas.openxmlformats.org/officeDocument/2006/relationships/hyperlink" Target="#EESA!A1" TargetMode="External"/><Relationship Id="rId22" Type="http://schemas.openxmlformats.org/officeDocument/2006/relationships/image" Target="../media/image10.png"/><Relationship Id="rId10" Type="http://schemas.openxmlformats.org/officeDocument/2006/relationships/hyperlink" Target="#'Present%20Level'!A1" TargetMode="External"/><Relationship Id="rId21" Type="http://schemas.openxmlformats.org/officeDocument/2006/relationships/image" Target="../media/image7.png"/><Relationship Id="rId13" Type="http://schemas.openxmlformats.org/officeDocument/2006/relationships/image" Target="../media/image5.png"/><Relationship Id="rId12" Type="http://schemas.openxmlformats.org/officeDocument/2006/relationships/hyperlink" Target="http://www.stevencelmer.com"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15" Type="http://schemas.openxmlformats.org/officeDocument/2006/relationships/image" Target="../media/image2.png"/><Relationship Id="rId14" Type="http://schemas.openxmlformats.org/officeDocument/2006/relationships/image" Target="../media/image1.png"/><Relationship Id="rId17" Type="http://schemas.openxmlformats.org/officeDocument/2006/relationships/image" Target="../media/image9.png"/><Relationship Id="rId16" Type="http://schemas.openxmlformats.org/officeDocument/2006/relationships/image" Target="../media/image4.png"/><Relationship Id="rId5" Type="http://schemas.openxmlformats.org/officeDocument/2006/relationships/hyperlink" Target="#'Self-Care'!A1" TargetMode="External"/><Relationship Id="rId19" Type="http://schemas.openxmlformats.org/officeDocument/2006/relationships/image" Target="../media/image6.png"/><Relationship Id="rId6" Type="http://schemas.openxmlformats.org/officeDocument/2006/relationships/hyperlink" Target="#'TA%20Chart%201'!A1" TargetMode="External"/><Relationship Id="rId18" Type="http://schemas.openxmlformats.org/officeDocument/2006/relationships/image" Target="../media/image8.png"/><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2.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3.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4.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5.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6.xml.rels><?xml version="1.0" encoding="UTF-8" standalone="yes"?><Relationships xmlns="http://schemas.openxmlformats.org/package/2006/relationships"><Relationship Id="rId10" Type="http://schemas.openxmlformats.org/officeDocument/2006/relationships/hyperlink" Target="#Instructions!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Present%20Level'!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7.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0.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1.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0</xdr:colOff>
      <xdr:row>9</xdr:row>
      <xdr:rowOff>0</xdr:rowOff>
    </xdr:from>
    <xdr:ext cx="990600" cy="476250"/>
    <xdr:grpSp>
      <xdr:nvGrpSpPr>
        <xdr:cNvPr id="2" name="Shape 2"/>
        <xdr:cNvGrpSpPr/>
      </xdr:nvGrpSpPr>
      <xdr:grpSpPr>
        <a:xfrm>
          <a:off x="4850700" y="3541875"/>
          <a:ext cx="990600" cy="476250"/>
          <a:chOff x="4850700" y="3541875"/>
          <a:chExt cx="990600" cy="476250"/>
        </a:xfrm>
      </xdr:grpSpPr>
      <xdr:grpSp>
        <xdr:nvGrpSpPr>
          <xdr:cNvPr id="3" name="Shape 3"/>
          <xdr:cNvGrpSpPr/>
        </xdr:nvGrpSpPr>
        <xdr:grpSpPr>
          <a:xfrm>
            <a:off x="4850700" y="3541875"/>
            <a:ext cx="990600" cy="476250"/>
            <a:chOff x="4850700" y="3541875"/>
            <a:chExt cx="990600" cy="476250"/>
          </a:xfrm>
        </xdr:grpSpPr>
        <xdr:sp>
          <xdr:nvSpPr>
            <xdr:cNvPr id="4" name="Shape 4"/>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 name="Shape 5"/>
            <xdr:cNvGrpSpPr/>
          </xdr:nvGrpSpPr>
          <xdr:grpSpPr>
            <a:xfrm>
              <a:off x="4850700" y="3541875"/>
              <a:ext cx="990600" cy="476250"/>
              <a:chOff x="4850700" y="3541875"/>
              <a:chExt cx="990600" cy="476250"/>
            </a:xfrm>
          </xdr:grpSpPr>
          <xdr:sp>
            <xdr:nvSpPr>
              <xdr:cNvPr id="6" name="Shape 6"/>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 name="Shape 7"/>
              <xdr:cNvGrpSpPr/>
            </xdr:nvGrpSpPr>
            <xdr:grpSpPr>
              <a:xfrm>
                <a:off x="4850700" y="3541875"/>
                <a:ext cx="990600" cy="476250"/>
                <a:chOff x="4850700" y="3541875"/>
                <a:chExt cx="990600" cy="476250"/>
              </a:xfrm>
            </xdr:grpSpPr>
            <xdr:sp>
              <xdr:nvSpPr>
                <xdr:cNvPr id="8" name="Shape 8"/>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 name="Shape 9"/>
                <xdr:cNvGrpSpPr/>
              </xdr:nvGrpSpPr>
              <xdr:grpSpPr>
                <a:xfrm>
                  <a:off x="4850700" y="3541875"/>
                  <a:ext cx="990600" cy="476250"/>
                  <a:chOff x="4855463" y="3546638"/>
                  <a:chExt cx="981075" cy="466725"/>
                </a:xfrm>
              </xdr:grpSpPr>
              <xdr:sp>
                <xdr:nvSpPr>
                  <xdr:cNvPr id="10" name="Shape 10"/>
                  <xdr:cNvSpPr/>
                </xdr:nvSpPr>
                <xdr:spPr>
                  <a:xfrm>
                    <a:off x="4855463" y="3546638"/>
                    <a:ext cx="981075" cy="466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1" name="Shape 11"/>
                  <xdr:cNvCxnSpPr/>
                </xdr:nvCxnSpPr>
                <xdr:spPr>
                  <a:xfrm flipH="1">
                    <a:off x="4855463" y="3546638"/>
                    <a:ext cx="981075" cy="4667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9</xdr:col>
      <xdr:colOff>0</xdr:colOff>
      <xdr:row>25</xdr:row>
      <xdr:rowOff>0</xdr:rowOff>
    </xdr:from>
    <xdr:ext cx="714375" cy="333375"/>
    <xdr:grpSp>
      <xdr:nvGrpSpPr>
        <xdr:cNvPr id="2" name="Shape 2"/>
        <xdr:cNvGrpSpPr/>
      </xdr:nvGrpSpPr>
      <xdr:grpSpPr>
        <a:xfrm>
          <a:off x="4988813" y="3613313"/>
          <a:ext cx="714375" cy="333375"/>
          <a:chOff x="4988813" y="3613313"/>
          <a:chExt cx="714375" cy="333375"/>
        </a:xfrm>
      </xdr:grpSpPr>
      <xdr:grpSp>
        <xdr:nvGrpSpPr>
          <xdr:cNvPr id="12" name="Shape 12"/>
          <xdr:cNvGrpSpPr/>
        </xdr:nvGrpSpPr>
        <xdr:grpSpPr>
          <a:xfrm>
            <a:off x="4988813" y="3613313"/>
            <a:ext cx="714375" cy="333375"/>
            <a:chOff x="4988813" y="3613313"/>
            <a:chExt cx="714375" cy="333375"/>
          </a:xfrm>
        </xdr:grpSpPr>
        <xdr:sp>
          <xdr:nvSpPr>
            <xdr:cNvPr id="4" name="Shape 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 name="Shape 13"/>
            <xdr:cNvGrpSpPr/>
          </xdr:nvGrpSpPr>
          <xdr:grpSpPr>
            <a:xfrm>
              <a:off x="4988813" y="3613313"/>
              <a:ext cx="714375" cy="333375"/>
              <a:chOff x="4988813" y="3613313"/>
              <a:chExt cx="714375" cy="333375"/>
            </a:xfrm>
          </xdr:grpSpPr>
          <xdr:sp>
            <xdr:nvSpPr>
              <xdr:cNvPr id="14" name="Shape 1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 name="Shape 15"/>
              <xdr:cNvGrpSpPr/>
            </xdr:nvGrpSpPr>
            <xdr:grpSpPr>
              <a:xfrm>
                <a:off x="4988813" y="3613313"/>
                <a:ext cx="714375" cy="333375"/>
                <a:chOff x="4988813" y="3613313"/>
                <a:chExt cx="714375" cy="333375"/>
              </a:xfrm>
            </xdr:grpSpPr>
            <xdr:sp>
              <xdr:nvSpPr>
                <xdr:cNvPr id="16" name="Shape 16"/>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 name="Shape 17"/>
                <xdr:cNvGrpSpPr/>
              </xdr:nvGrpSpPr>
              <xdr:grpSpPr>
                <a:xfrm>
                  <a:off x="4988813" y="3613313"/>
                  <a:ext cx="714375" cy="333375"/>
                  <a:chOff x="4993575" y="3618075"/>
                  <a:chExt cx="704850" cy="323850"/>
                </a:xfrm>
              </xdr:grpSpPr>
              <xdr:sp>
                <xdr:nvSpPr>
                  <xdr:cNvPr id="18" name="Shape 18"/>
                  <xdr:cNvSpPr/>
                </xdr:nvSpPr>
                <xdr:spPr>
                  <a:xfrm>
                    <a:off x="4993575" y="3618075"/>
                    <a:ext cx="704850" cy="323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9" name="Shape 19"/>
                  <xdr:cNvCxnSpPr/>
                </xdr:nvCxnSpPr>
                <xdr:spPr>
                  <a:xfrm>
                    <a:off x="4993575" y="3618075"/>
                    <a:ext cx="704850" cy="3238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52</xdr:col>
      <xdr:colOff>9525</xdr:colOff>
      <xdr:row>24</xdr:row>
      <xdr:rowOff>66675</xdr:rowOff>
    </xdr:from>
    <xdr:ext cx="895350" cy="390525"/>
    <xdr:grpSp>
      <xdr:nvGrpSpPr>
        <xdr:cNvPr id="2" name="Shape 2"/>
        <xdr:cNvGrpSpPr/>
      </xdr:nvGrpSpPr>
      <xdr:grpSpPr>
        <a:xfrm>
          <a:off x="4898325" y="3584738"/>
          <a:ext cx="895350" cy="390525"/>
          <a:chOff x="4898325" y="3584738"/>
          <a:chExt cx="895350" cy="390525"/>
        </a:xfrm>
      </xdr:grpSpPr>
      <xdr:grpSp>
        <xdr:nvGrpSpPr>
          <xdr:cNvPr id="20" name="Shape 20"/>
          <xdr:cNvGrpSpPr/>
        </xdr:nvGrpSpPr>
        <xdr:grpSpPr>
          <a:xfrm>
            <a:off x="4898325" y="3584738"/>
            <a:ext cx="895350" cy="390525"/>
            <a:chOff x="4898325" y="3584738"/>
            <a:chExt cx="895350" cy="390525"/>
          </a:xfrm>
        </xdr:grpSpPr>
        <xdr:sp>
          <xdr:nvSpPr>
            <xdr:cNvPr id="4" name="Shape 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1" name="Shape 21"/>
            <xdr:cNvGrpSpPr/>
          </xdr:nvGrpSpPr>
          <xdr:grpSpPr>
            <a:xfrm>
              <a:off x="4898325" y="3584738"/>
              <a:ext cx="895350" cy="390525"/>
              <a:chOff x="4898325" y="3584738"/>
              <a:chExt cx="895350" cy="390525"/>
            </a:xfrm>
          </xdr:grpSpPr>
          <xdr:sp>
            <xdr:nvSpPr>
              <xdr:cNvPr id="22" name="Shape 22"/>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3" name="Shape 23"/>
              <xdr:cNvGrpSpPr/>
            </xdr:nvGrpSpPr>
            <xdr:grpSpPr>
              <a:xfrm>
                <a:off x="4898325" y="3584738"/>
                <a:ext cx="895350" cy="390525"/>
                <a:chOff x="4898325" y="3584738"/>
                <a:chExt cx="895350" cy="390525"/>
              </a:xfrm>
            </xdr:grpSpPr>
            <xdr:sp>
              <xdr:nvSpPr>
                <xdr:cNvPr id="24" name="Shape 2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 name="Shape 25"/>
                <xdr:cNvGrpSpPr/>
              </xdr:nvGrpSpPr>
              <xdr:grpSpPr>
                <a:xfrm>
                  <a:off x="4898325" y="3584738"/>
                  <a:ext cx="895350" cy="390525"/>
                  <a:chOff x="4903088" y="3589500"/>
                  <a:chExt cx="885825" cy="381000"/>
                </a:xfrm>
              </xdr:grpSpPr>
              <xdr:sp>
                <xdr:nvSpPr>
                  <xdr:cNvPr id="26" name="Shape 26"/>
                  <xdr:cNvSpPr/>
                </xdr:nvSpPr>
                <xdr:spPr>
                  <a:xfrm>
                    <a:off x="4903088" y="3589500"/>
                    <a:ext cx="885825" cy="381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27" name="Shape 27"/>
                  <xdr:cNvCxnSpPr/>
                </xdr:nvCxnSpPr>
                <xdr:spPr>
                  <a:xfrm flipH="1">
                    <a:off x="4903088" y="3589500"/>
                    <a:ext cx="885825" cy="3810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17</xdr:col>
      <xdr:colOff>47625</xdr:colOff>
      <xdr:row>34</xdr:row>
      <xdr:rowOff>95250</xdr:rowOff>
    </xdr:from>
    <xdr:ext cx="723900" cy="352425"/>
    <xdr:grpSp>
      <xdr:nvGrpSpPr>
        <xdr:cNvPr id="2" name="Shape 2"/>
        <xdr:cNvGrpSpPr/>
      </xdr:nvGrpSpPr>
      <xdr:grpSpPr>
        <a:xfrm>
          <a:off x="4984050" y="3603788"/>
          <a:ext cx="723900" cy="352425"/>
          <a:chOff x="4984050" y="3603788"/>
          <a:chExt cx="723900" cy="352425"/>
        </a:xfrm>
      </xdr:grpSpPr>
      <xdr:grpSp>
        <xdr:nvGrpSpPr>
          <xdr:cNvPr id="28" name="Shape 28"/>
          <xdr:cNvGrpSpPr/>
        </xdr:nvGrpSpPr>
        <xdr:grpSpPr>
          <a:xfrm>
            <a:off x="4984050" y="3603788"/>
            <a:ext cx="723900" cy="352425"/>
            <a:chOff x="4984050" y="3603788"/>
            <a:chExt cx="723900" cy="352425"/>
          </a:xfrm>
        </xdr:grpSpPr>
        <xdr:sp>
          <xdr:nvSpPr>
            <xdr:cNvPr id="4" name="Shape 4"/>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9" name="Shape 29"/>
            <xdr:cNvGrpSpPr/>
          </xdr:nvGrpSpPr>
          <xdr:grpSpPr>
            <a:xfrm>
              <a:off x="4984050" y="3603788"/>
              <a:ext cx="723900" cy="352425"/>
              <a:chOff x="4984050" y="3603788"/>
              <a:chExt cx="723900" cy="352425"/>
            </a:xfrm>
          </xdr:grpSpPr>
          <xdr:sp>
            <xdr:nvSpPr>
              <xdr:cNvPr id="30" name="Shape 30"/>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 name="Shape 31"/>
              <xdr:cNvGrpSpPr/>
            </xdr:nvGrpSpPr>
            <xdr:grpSpPr>
              <a:xfrm>
                <a:off x="4984050" y="3603788"/>
                <a:ext cx="723900" cy="352425"/>
                <a:chOff x="4984050" y="3603788"/>
                <a:chExt cx="723900" cy="352425"/>
              </a:xfrm>
            </xdr:grpSpPr>
            <xdr:sp>
              <xdr:nvSpPr>
                <xdr:cNvPr id="32" name="Shape 32"/>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3" name="Shape 33"/>
                <xdr:cNvGrpSpPr/>
              </xdr:nvGrpSpPr>
              <xdr:grpSpPr>
                <a:xfrm>
                  <a:off x="4984050" y="3603788"/>
                  <a:ext cx="723900" cy="352425"/>
                  <a:chOff x="4988813" y="3608550"/>
                  <a:chExt cx="714375" cy="342900"/>
                </a:xfrm>
              </xdr:grpSpPr>
              <xdr:sp>
                <xdr:nvSpPr>
                  <xdr:cNvPr id="34" name="Shape 34"/>
                  <xdr:cNvSpPr/>
                </xdr:nvSpPr>
                <xdr:spPr>
                  <a:xfrm>
                    <a:off x="4988813" y="3608550"/>
                    <a:ext cx="714375" cy="3429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35" name="Shape 35"/>
                  <xdr:cNvCxnSpPr/>
                </xdr:nvCxnSpPr>
                <xdr:spPr>
                  <a:xfrm>
                    <a:off x="4988813" y="3608550"/>
                    <a:ext cx="714375" cy="3429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74</xdr:col>
      <xdr:colOff>161925</xdr:colOff>
      <xdr:row>9</xdr:row>
      <xdr:rowOff>0</xdr:rowOff>
    </xdr:from>
    <xdr:ext cx="1905000" cy="323850"/>
    <xdr:sp>
      <xdr:nvSpPr>
        <xdr:cNvPr id="36" name="Shape 36"/>
        <xdr:cNvSpPr/>
      </xdr:nvSpPr>
      <xdr:spPr>
        <a:xfrm>
          <a:off x="4398263" y="3622838"/>
          <a:ext cx="18954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161925</xdr:colOff>
      <xdr:row>10</xdr:row>
      <xdr:rowOff>66675</xdr:rowOff>
    </xdr:from>
    <xdr:ext cx="1914525" cy="352425"/>
    <xdr:sp>
      <xdr:nvSpPr>
        <xdr:cNvPr id="37" name="Shape 37">
          <a:hlinkClick r:id="rId1"/>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161925</xdr:colOff>
      <xdr:row>12</xdr:row>
      <xdr:rowOff>0</xdr:rowOff>
    </xdr:from>
    <xdr:ext cx="1914525" cy="333375"/>
    <xdr:sp>
      <xdr:nvSpPr>
        <xdr:cNvPr id="38" name="Shape 38">
          <a:hlinkClick r:id="rId2"/>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161925</xdr:colOff>
      <xdr:row>13</xdr:row>
      <xdr:rowOff>47625</xdr:rowOff>
    </xdr:from>
    <xdr:ext cx="1914525" cy="333375"/>
    <xdr:sp>
      <xdr:nvSpPr>
        <xdr:cNvPr id="39" name="Shape 39">
          <a:hlinkClick r:id="rId3"/>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161925</xdr:colOff>
      <xdr:row>14</xdr:row>
      <xdr:rowOff>133350</xdr:rowOff>
    </xdr:from>
    <xdr:ext cx="1914525" cy="352425"/>
    <xdr:sp>
      <xdr:nvSpPr>
        <xdr:cNvPr id="40" name="Shape 40">
          <a:hlinkClick r:id="rId4"/>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161925</xdr:colOff>
      <xdr:row>17</xdr:row>
      <xdr:rowOff>114300</xdr:rowOff>
    </xdr:from>
    <xdr:ext cx="1914525" cy="352425"/>
    <xdr:sp>
      <xdr:nvSpPr>
        <xdr:cNvPr id="41" name="Shape 41">
          <a:hlinkClick r:id="rId5"/>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161925</xdr:colOff>
      <xdr:row>19</xdr:row>
      <xdr:rowOff>9525</xdr:rowOff>
    </xdr:from>
    <xdr:ext cx="1914525" cy="333375"/>
    <xdr:sp>
      <xdr:nvSpPr>
        <xdr:cNvPr id="42" name="Shape 42">
          <a:hlinkClick r:id="rId6"/>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161925</xdr:colOff>
      <xdr:row>20</xdr:row>
      <xdr:rowOff>95250</xdr:rowOff>
    </xdr:from>
    <xdr:ext cx="1914525" cy="352425"/>
    <xdr:sp>
      <xdr:nvSpPr>
        <xdr:cNvPr id="43" name="Shape 43">
          <a:hlinkClick r:id="rId7"/>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161925</xdr:colOff>
      <xdr:row>22</xdr:row>
      <xdr:rowOff>0</xdr:rowOff>
    </xdr:from>
    <xdr:ext cx="1914525" cy="333375"/>
    <xdr:sp>
      <xdr:nvSpPr>
        <xdr:cNvPr id="44" name="Shape 44">
          <a:hlinkClick r:id="rId8"/>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161925</xdr:colOff>
      <xdr:row>24</xdr:row>
      <xdr:rowOff>0</xdr:rowOff>
    </xdr:from>
    <xdr:ext cx="1914525" cy="333375"/>
    <xdr:sp>
      <xdr:nvSpPr>
        <xdr:cNvPr id="45" name="Shape 45">
          <a:hlinkClick r:id="rId9"/>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31</xdr:col>
      <xdr:colOff>28575</xdr:colOff>
      <xdr:row>29</xdr:row>
      <xdr:rowOff>0</xdr:rowOff>
    </xdr:from>
    <xdr:ext cx="657225" cy="152400"/>
    <xdr:grpSp>
      <xdr:nvGrpSpPr>
        <xdr:cNvPr id="2" name="Shape 2"/>
        <xdr:cNvGrpSpPr/>
      </xdr:nvGrpSpPr>
      <xdr:grpSpPr>
        <a:xfrm>
          <a:off x="5017388" y="3703800"/>
          <a:ext cx="657225" cy="152400"/>
          <a:chOff x="5017388" y="3703800"/>
          <a:chExt cx="657225" cy="152400"/>
        </a:xfrm>
      </xdr:grpSpPr>
      <xdr:grpSp>
        <xdr:nvGrpSpPr>
          <xdr:cNvPr id="46" name="Shape 46"/>
          <xdr:cNvGrpSpPr/>
        </xdr:nvGrpSpPr>
        <xdr:grpSpPr>
          <a:xfrm>
            <a:off x="5017388" y="3703800"/>
            <a:ext cx="657225" cy="152400"/>
            <a:chOff x="5017388" y="3703800"/>
            <a:chExt cx="657225" cy="152400"/>
          </a:xfrm>
        </xdr:grpSpPr>
        <xdr:sp>
          <xdr:nvSpPr>
            <xdr:cNvPr id="4" name="Shape 4"/>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47" name="Shape 47"/>
            <xdr:cNvGrpSpPr/>
          </xdr:nvGrpSpPr>
          <xdr:grpSpPr>
            <a:xfrm>
              <a:off x="5017388" y="3703800"/>
              <a:ext cx="657225" cy="152400"/>
              <a:chOff x="5017388" y="3703800"/>
              <a:chExt cx="657225" cy="152400"/>
            </a:xfrm>
          </xdr:grpSpPr>
          <xdr:sp>
            <xdr:nvSpPr>
              <xdr:cNvPr id="48" name="Shape 48"/>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9" name="Shape 49"/>
              <xdr:cNvGrpSpPr/>
            </xdr:nvGrpSpPr>
            <xdr:grpSpPr>
              <a:xfrm>
                <a:off x="5017388" y="3703800"/>
                <a:ext cx="657225" cy="152400"/>
                <a:chOff x="5017388" y="3703800"/>
                <a:chExt cx="657225" cy="152400"/>
              </a:xfrm>
            </xdr:grpSpPr>
            <xdr:sp>
              <xdr:nvSpPr>
                <xdr:cNvPr id="50" name="Shape 50"/>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1" name="Shape 51"/>
                <xdr:cNvGrpSpPr/>
              </xdr:nvGrpSpPr>
              <xdr:grpSpPr>
                <a:xfrm>
                  <a:off x="5017388" y="3703800"/>
                  <a:ext cx="657225" cy="152400"/>
                  <a:chOff x="5022150" y="3708563"/>
                  <a:chExt cx="647700" cy="142875"/>
                </a:xfrm>
              </xdr:grpSpPr>
              <xdr:sp>
                <xdr:nvSpPr>
                  <xdr:cNvPr id="52" name="Shape 52"/>
                  <xdr:cNvSpPr/>
                </xdr:nvSpPr>
                <xdr:spPr>
                  <a:xfrm>
                    <a:off x="5022150" y="3708563"/>
                    <a:ext cx="647700" cy="142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53" name="Shape 53"/>
                  <xdr:cNvCxnSpPr/>
                </xdr:nvCxnSpPr>
                <xdr:spPr>
                  <a:xfrm flipH="1">
                    <a:off x="5022150" y="3708563"/>
                    <a:ext cx="647700" cy="14287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52</xdr:col>
      <xdr:colOff>0</xdr:colOff>
      <xdr:row>8</xdr:row>
      <xdr:rowOff>180975</xdr:rowOff>
    </xdr:from>
    <xdr:ext cx="333375" cy="266700"/>
    <xdr:grpSp>
      <xdr:nvGrpSpPr>
        <xdr:cNvPr id="2" name="Shape 2"/>
        <xdr:cNvGrpSpPr/>
      </xdr:nvGrpSpPr>
      <xdr:grpSpPr>
        <a:xfrm>
          <a:off x="5179313" y="3646650"/>
          <a:ext cx="333375" cy="266700"/>
          <a:chOff x="5179313" y="3646650"/>
          <a:chExt cx="333375" cy="266700"/>
        </a:xfrm>
      </xdr:grpSpPr>
      <xdr:grpSp>
        <xdr:nvGrpSpPr>
          <xdr:cNvPr id="54" name="Shape 54"/>
          <xdr:cNvGrpSpPr/>
        </xdr:nvGrpSpPr>
        <xdr:grpSpPr>
          <a:xfrm>
            <a:off x="5179313" y="3646650"/>
            <a:ext cx="333375" cy="266700"/>
            <a:chOff x="5179313" y="3646650"/>
            <a:chExt cx="333375" cy="266700"/>
          </a:xfrm>
        </xdr:grpSpPr>
        <xdr:sp>
          <xdr:nvSpPr>
            <xdr:cNvPr id="4" name="Shape 4"/>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5" name="Shape 55"/>
            <xdr:cNvGrpSpPr/>
          </xdr:nvGrpSpPr>
          <xdr:grpSpPr>
            <a:xfrm>
              <a:off x="5179313" y="3646650"/>
              <a:ext cx="333375" cy="266700"/>
              <a:chOff x="5179313" y="3646650"/>
              <a:chExt cx="333375" cy="266700"/>
            </a:xfrm>
          </xdr:grpSpPr>
          <xdr:sp>
            <xdr:nvSpPr>
              <xdr:cNvPr id="56" name="Shape 56"/>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7" name="Shape 57"/>
              <xdr:cNvGrpSpPr/>
            </xdr:nvGrpSpPr>
            <xdr:grpSpPr>
              <a:xfrm>
                <a:off x="5179313" y="3646650"/>
                <a:ext cx="333375" cy="266700"/>
                <a:chOff x="5179313" y="3646650"/>
                <a:chExt cx="333375" cy="266700"/>
              </a:xfrm>
            </xdr:grpSpPr>
            <xdr:sp>
              <xdr:nvSpPr>
                <xdr:cNvPr id="58" name="Shape 58"/>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9" name="Shape 59"/>
                <xdr:cNvGrpSpPr/>
              </xdr:nvGrpSpPr>
              <xdr:grpSpPr>
                <a:xfrm>
                  <a:off x="5179313" y="3646650"/>
                  <a:ext cx="333375" cy="266700"/>
                  <a:chOff x="5184075" y="3646650"/>
                  <a:chExt cx="323850" cy="266700"/>
                </a:xfrm>
              </xdr:grpSpPr>
              <xdr:sp>
                <xdr:nvSpPr>
                  <xdr:cNvPr id="60" name="Shape 60"/>
                  <xdr:cNvSpPr/>
                </xdr:nvSpPr>
                <xdr:spPr>
                  <a:xfrm>
                    <a:off x="5184075" y="3646650"/>
                    <a:ext cx="32385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1" name="Shape 61"/>
                  <xdr:cNvCxnSpPr/>
                </xdr:nvCxnSpPr>
                <xdr:spPr>
                  <a:xfrm flipH="1">
                    <a:off x="5184075" y="3646650"/>
                    <a:ext cx="323850"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55</xdr:col>
      <xdr:colOff>104775</xdr:colOff>
      <xdr:row>8</xdr:row>
      <xdr:rowOff>171450</xdr:rowOff>
    </xdr:from>
    <xdr:ext cx="342900" cy="266700"/>
    <xdr:grpSp>
      <xdr:nvGrpSpPr>
        <xdr:cNvPr id="2" name="Shape 2"/>
        <xdr:cNvGrpSpPr/>
      </xdr:nvGrpSpPr>
      <xdr:grpSpPr>
        <a:xfrm>
          <a:off x="5174550" y="3646650"/>
          <a:ext cx="342900" cy="266700"/>
          <a:chOff x="5174550" y="3646650"/>
          <a:chExt cx="342900" cy="266700"/>
        </a:xfrm>
      </xdr:grpSpPr>
      <xdr:grpSp>
        <xdr:nvGrpSpPr>
          <xdr:cNvPr id="62" name="Shape 62"/>
          <xdr:cNvGrpSpPr/>
        </xdr:nvGrpSpPr>
        <xdr:grpSpPr>
          <a:xfrm>
            <a:off x="5174550" y="3646650"/>
            <a:ext cx="342900" cy="266700"/>
            <a:chOff x="5174550" y="3646650"/>
            <a:chExt cx="342900" cy="266700"/>
          </a:xfrm>
        </xdr:grpSpPr>
        <xdr:sp>
          <xdr:nvSpPr>
            <xdr:cNvPr id="4" name="Shape 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3" name="Shape 63"/>
            <xdr:cNvGrpSpPr/>
          </xdr:nvGrpSpPr>
          <xdr:grpSpPr>
            <a:xfrm>
              <a:off x="5174550" y="3646650"/>
              <a:ext cx="342900" cy="266700"/>
              <a:chOff x="5174550" y="3646650"/>
              <a:chExt cx="342900" cy="266700"/>
            </a:xfrm>
          </xdr:grpSpPr>
          <xdr:sp>
            <xdr:nvSpPr>
              <xdr:cNvPr id="64" name="Shape 6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5" name="Shape 65"/>
              <xdr:cNvGrpSpPr/>
            </xdr:nvGrpSpPr>
            <xdr:grpSpPr>
              <a:xfrm>
                <a:off x="5174550" y="3646650"/>
                <a:ext cx="342900" cy="266700"/>
                <a:chOff x="5174550" y="3646650"/>
                <a:chExt cx="342900" cy="266700"/>
              </a:xfrm>
            </xdr:grpSpPr>
            <xdr:sp>
              <xdr:nvSpPr>
                <xdr:cNvPr id="66" name="Shape 66"/>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7" name="Shape 67"/>
                <xdr:cNvGrpSpPr/>
              </xdr:nvGrpSpPr>
              <xdr:grpSpPr>
                <a:xfrm>
                  <a:off x="5174550" y="3646650"/>
                  <a:ext cx="342900" cy="266700"/>
                  <a:chOff x="5179313" y="3646650"/>
                  <a:chExt cx="333375" cy="266700"/>
                </a:xfrm>
              </xdr:grpSpPr>
              <xdr:sp>
                <xdr:nvSpPr>
                  <xdr:cNvPr id="68" name="Shape 68"/>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9" name="Shape 69"/>
                  <xdr:cNvCxnSpPr/>
                </xdr:nvCxnSpPr>
                <xdr:spPr>
                  <a:xfrm>
                    <a:off x="5179313" y="3646650"/>
                    <a:ext cx="333375"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6</xdr:col>
      <xdr:colOff>0</xdr:colOff>
      <xdr:row>79</xdr:row>
      <xdr:rowOff>0</xdr:rowOff>
    </xdr:from>
    <xdr:ext cx="866775" cy="400050"/>
    <xdr:grpSp>
      <xdr:nvGrpSpPr>
        <xdr:cNvPr id="2" name="Shape 2"/>
        <xdr:cNvGrpSpPr/>
      </xdr:nvGrpSpPr>
      <xdr:grpSpPr>
        <a:xfrm>
          <a:off x="4912613" y="3579975"/>
          <a:ext cx="866775" cy="400050"/>
          <a:chOff x="4912613" y="3579975"/>
          <a:chExt cx="866775" cy="400050"/>
        </a:xfrm>
      </xdr:grpSpPr>
      <xdr:grpSp>
        <xdr:nvGrpSpPr>
          <xdr:cNvPr id="70" name="Shape 70"/>
          <xdr:cNvGrpSpPr/>
        </xdr:nvGrpSpPr>
        <xdr:grpSpPr>
          <a:xfrm>
            <a:off x="4912613" y="3579975"/>
            <a:ext cx="866775" cy="400050"/>
            <a:chOff x="4912613" y="3579975"/>
            <a:chExt cx="866775" cy="400050"/>
          </a:xfrm>
        </xdr:grpSpPr>
        <xdr:sp>
          <xdr:nvSpPr>
            <xdr:cNvPr id="4" name="Shape 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1" name="Shape 71"/>
            <xdr:cNvGrpSpPr/>
          </xdr:nvGrpSpPr>
          <xdr:grpSpPr>
            <a:xfrm>
              <a:off x="4912613" y="3579975"/>
              <a:ext cx="866775" cy="400050"/>
              <a:chOff x="4912613" y="3579975"/>
              <a:chExt cx="866775" cy="400050"/>
            </a:xfrm>
          </xdr:grpSpPr>
          <xdr:sp>
            <xdr:nvSpPr>
              <xdr:cNvPr id="72" name="Shape 72"/>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3" name="Shape 73"/>
              <xdr:cNvGrpSpPr/>
            </xdr:nvGrpSpPr>
            <xdr:grpSpPr>
              <a:xfrm>
                <a:off x="4912613" y="3579975"/>
                <a:ext cx="866775" cy="400050"/>
                <a:chOff x="4912613" y="3579975"/>
                <a:chExt cx="866775" cy="400050"/>
              </a:xfrm>
            </xdr:grpSpPr>
            <xdr:sp>
              <xdr:nvSpPr>
                <xdr:cNvPr id="74" name="Shape 7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5" name="Shape 75"/>
                <xdr:cNvGrpSpPr/>
              </xdr:nvGrpSpPr>
              <xdr:grpSpPr>
                <a:xfrm>
                  <a:off x="4912613" y="3579975"/>
                  <a:ext cx="866775" cy="400050"/>
                  <a:chOff x="4912613" y="3579975"/>
                  <a:chExt cx="866775" cy="400050"/>
                </a:xfrm>
              </xdr:grpSpPr>
              <xdr:sp>
                <xdr:nvSpPr>
                  <xdr:cNvPr id="76" name="Shape 76"/>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77" name="Shape 77"/>
                  <xdr:cNvCxnSpPr/>
                </xdr:nvCxnSpPr>
                <xdr:spPr>
                  <a:xfrm>
                    <a:off x="4912613" y="3579975"/>
                    <a:ext cx="866775" cy="4000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xdr:col>
      <xdr:colOff>0</xdr:colOff>
      <xdr:row>87</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78" name="Shape 78"/>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9" name="Shape 79"/>
            <xdr:cNvGrpSpPr/>
          </xdr:nvGrpSpPr>
          <xdr:grpSpPr>
            <a:xfrm>
              <a:off x="5098350" y="3622838"/>
              <a:ext cx="495300" cy="314325"/>
              <a:chOff x="5098350" y="3622838"/>
              <a:chExt cx="495300" cy="314325"/>
            </a:xfrm>
          </xdr:grpSpPr>
          <xdr:sp>
            <xdr:nvSpPr>
              <xdr:cNvPr id="80" name="Shape 80"/>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1" name="Shape 81"/>
              <xdr:cNvGrpSpPr/>
            </xdr:nvGrpSpPr>
            <xdr:grpSpPr>
              <a:xfrm>
                <a:off x="5098350" y="3622838"/>
                <a:ext cx="495300" cy="314325"/>
                <a:chOff x="5098350" y="3622838"/>
                <a:chExt cx="495300" cy="314325"/>
              </a:xfrm>
            </xdr:grpSpPr>
            <xdr:sp>
              <xdr:nvSpPr>
                <xdr:cNvPr id="82" name="Shape 82"/>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3" name="Shape 83"/>
                <xdr:cNvGrpSpPr/>
              </xdr:nvGrpSpPr>
              <xdr:grpSpPr>
                <a:xfrm>
                  <a:off x="5098350" y="3622838"/>
                  <a:ext cx="495300" cy="314325"/>
                  <a:chOff x="5098350" y="3627600"/>
                  <a:chExt cx="495300" cy="304800"/>
                </a:xfrm>
              </xdr:grpSpPr>
              <xdr:sp>
                <xdr:nvSpPr>
                  <xdr:cNvPr id="84" name="Shape 84"/>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85" name="Shape 85"/>
                  <xdr:cNvCxnSpPr/>
                </xdr:nvCxnSpPr>
                <xdr:spPr>
                  <a:xfrm flipH="1"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34</xdr:col>
      <xdr:colOff>104775</xdr:colOff>
      <xdr:row>97</xdr:row>
      <xdr:rowOff>0</xdr:rowOff>
    </xdr:from>
    <xdr:ext cx="38100" cy="600075"/>
    <xdr:grpSp>
      <xdr:nvGrpSpPr>
        <xdr:cNvPr id="2" name="Shape 2"/>
        <xdr:cNvGrpSpPr/>
      </xdr:nvGrpSpPr>
      <xdr:grpSpPr>
        <a:xfrm>
          <a:off x="5326950" y="3479963"/>
          <a:ext cx="38100" cy="600075"/>
          <a:chOff x="5326950" y="3479963"/>
          <a:chExt cx="38100" cy="600075"/>
        </a:xfrm>
      </xdr:grpSpPr>
      <xdr:grpSp>
        <xdr:nvGrpSpPr>
          <xdr:cNvPr id="86" name="Shape 86"/>
          <xdr:cNvGrpSpPr/>
        </xdr:nvGrpSpPr>
        <xdr:grpSpPr>
          <a:xfrm>
            <a:off x="5326950" y="3479963"/>
            <a:ext cx="38100" cy="600075"/>
            <a:chOff x="5326950" y="3479963"/>
            <a:chExt cx="38100" cy="600075"/>
          </a:xfrm>
        </xdr:grpSpPr>
        <xdr:sp>
          <xdr:nvSpPr>
            <xdr:cNvPr id="4" name="Shape 4"/>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87" name="Shape 87"/>
            <xdr:cNvGrpSpPr/>
          </xdr:nvGrpSpPr>
          <xdr:grpSpPr>
            <a:xfrm>
              <a:off x="5326950" y="3479963"/>
              <a:ext cx="38100" cy="600075"/>
              <a:chOff x="5326950" y="3479963"/>
              <a:chExt cx="38100" cy="600075"/>
            </a:xfrm>
          </xdr:grpSpPr>
          <xdr:sp>
            <xdr:nvSpPr>
              <xdr:cNvPr id="88" name="Shape 88"/>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9" name="Shape 89"/>
              <xdr:cNvGrpSpPr/>
            </xdr:nvGrpSpPr>
            <xdr:grpSpPr>
              <a:xfrm>
                <a:off x="5326950" y="3479963"/>
                <a:ext cx="38100" cy="600075"/>
                <a:chOff x="5326950" y="-15122362"/>
                <a:chExt cx="38100" cy="37804725"/>
              </a:xfrm>
            </xdr:grpSpPr>
            <xdr:sp>
              <xdr:nvSpPr>
                <xdr:cNvPr id="90" name="Shape 90"/>
                <xdr:cNvSpPr/>
              </xdr:nvSpPr>
              <xdr:spPr>
                <a:xfrm>
                  <a:off x="5326950" y="-15122362"/>
                  <a:ext cx="38100" cy="37804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1" name="Shape 91"/>
                <xdr:cNvGrpSpPr/>
              </xdr:nvGrpSpPr>
              <xdr:grpSpPr>
                <a:xfrm>
                  <a:off x="5326950" y="-15122362"/>
                  <a:ext cx="38100" cy="37804725"/>
                  <a:chOff x="5045963" y="3479963"/>
                  <a:chExt cx="600075" cy="600075"/>
                </a:xfrm>
              </xdr:grpSpPr>
              <xdr:sp>
                <xdr:nvSpPr>
                  <xdr:cNvPr id="92" name="Shape 92"/>
                  <xdr:cNvSpPr/>
                </xdr:nvSpPr>
                <xdr:spPr>
                  <a:xfrm>
                    <a:off x="5045963" y="3775238"/>
                    <a:ext cx="6000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93" name="Shape 93"/>
                  <xdr:cNvCxnSpPr/>
                </xdr:nvCxnSpPr>
                <xdr:spPr>
                  <a:xfrm rot="-5400000">
                    <a:off x="5045963" y="3775238"/>
                    <a:ext cx="600075" cy="95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59</xdr:col>
      <xdr:colOff>0</xdr:colOff>
      <xdr:row>85</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94" name="Shape 94"/>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95" name="Shape 95"/>
            <xdr:cNvGrpSpPr/>
          </xdr:nvGrpSpPr>
          <xdr:grpSpPr>
            <a:xfrm>
              <a:off x="5098350" y="3622838"/>
              <a:ext cx="495300" cy="314325"/>
              <a:chOff x="5098350" y="3622838"/>
              <a:chExt cx="495300" cy="314325"/>
            </a:xfrm>
          </xdr:grpSpPr>
          <xdr:sp>
            <xdr:nvSpPr>
              <xdr:cNvPr id="96" name="Shape 96"/>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7" name="Shape 97"/>
              <xdr:cNvGrpSpPr/>
            </xdr:nvGrpSpPr>
            <xdr:grpSpPr>
              <a:xfrm>
                <a:off x="5098350" y="3622838"/>
                <a:ext cx="495300" cy="314325"/>
                <a:chOff x="5098350" y="3622838"/>
                <a:chExt cx="495300" cy="314325"/>
              </a:xfrm>
            </xdr:grpSpPr>
            <xdr:sp>
              <xdr:nvSpPr>
                <xdr:cNvPr id="98" name="Shape 98"/>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9" name="Shape 99"/>
                <xdr:cNvGrpSpPr/>
              </xdr:nvGrpSpPr>
              <xdr:grpSpPr>
                <a:xfrm>
                  <a:off x="5098350" y="3622838"/>
                  <a:ext cx="495300" cy="314325"/>
                  <a:chOff x="5098350" y="3627600"/>
                  <a:chExt cx="495300" cy="304800"/>
                </a:xfrm>
              </xdr:grpSpPr>
              <xdr:sp>
                <xdr:nvSpPr>
                  <xdr:cNvPr id="100" name="Shape 100"/>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01" name="Shape 101"/>
                  <xdr:cNvCxnSpPr/>
                </xdr:nvCxnSpPr>
                <xdr:spPr>
                  <a:xfrm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74</xdr:col>
      <xdr:colOff>161925</xdr:colOff>
      <xdr:row>26</xdr:row>
      <xdr:rowOff>0</xdr:rowOff>
    </xdr:from>
    <xdr:ext cx="1914525" cy="533400"/>
    <xdr:sp>
      <xdr:nvSpPr>
        <xdr:cNvPr id="102" name="Shape 102">
          <a:hlinkClick r:id="rId10"/>
        </xdr:cNvPr>
        <xdr:cNvSpPr/>
      </xdr:nvSpPr>
      <xdr:spPr>
        <a:xfrm>
          <a:off x="4393500" y="3518063"/>
          <a:ext cx="1905000" cy="5238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65</xdr:col>
      <xdr:colOff>0</xdr:colOff>
      <xdr:row>98</xdr:row>
      <xdr:rowOff>104775</xdr:rowOff>
    </xdr:from>
    <xdr:ext cx="1019175" cy="1219200"/>
    <xdr:sp>
      <xdr:nvSpPr>
        <xdr:cNvPr id="103" name="Shape 103"/>
        <xdr:cNvSpPr/>
      </xdr:nvSpPr>
      <xdr:spPr>
        <a:xfrm>
          <a:off x="4841175" y="3175163"/>
          <a:ext cx="1009650" cy="1209675"/>
        </a:xfrm>
        <a:prstGeom prst="rect">
          <a:avLst/>
        </a:prstGeom>
        <a:solidFill>
          <a:schemeClr val="lt1">
            <a:alpha val="6000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74</xdr:col>
      <xdr:colOff>161925</xdr:colOff>
      <xdr:row>16</xdr:row>
      <xdr:rowOff>28575</xdr:rowOff>
    </xdr:from>
    <xdr:ext cx="1914525" cy="333375"/>
    <xdr:sp>
      <xdr:nvSpPr>
        <xdr:cNvPr id="104" name="Shape 104">
          <a:hlinkClick r:id="rId11"/>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46</xdr:col>
      <xdr:colOff>19050</xdr:colOff>
      <xdr:row>4</xdr:row>
      <xdr:rowOff>0</xdr:rowOff>
    </xdr:from>
    <xdr:ext cx="819150" cy="257175"/>
    <xdr:sp>
      <xdr:nvSpPr>
        <xdr:cNvPr id="105" name="Shape 105">
          <a:hlinkClick r:id="rId12"/>
        </xdr:cNvPr>
        <xdr:cNvSpPr/>
      </xdr:nvSpPr>
      <xdr:spPr>
        <a:xfrm>
          <a:off x="4941188" y="3656175"/>
          <a:ext cx="809625" cy="247650"/>
        </a:xfrm>
        <a:prstGeom prst="rect">
          <a:avLst/>
        </a:prstGeom>
        <a:solidFill>
          <a:schemeClr val="lt1">
            <a:alpha val="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10</xdr:col>
      <xdr:colOff>104775</xdr:colOff>
      <xdr:row>72</xdr:row>
      <xdr:rowOff>19050</xdr:rowOff>
    </xdr:from>
    <xdr:ext cx="5972175" cy="5029200"/>
    <xdr:pic>
      <xdr:nvPicPr>
        <xdr:cNvPr id="0" name="image5.png"/>
        <xdr:cNvPicPr preferRelativeResize="0"/>
      </xdr:nvPicPr>
      <xdr:blipFill>
        <a:blip cstate="print" r:embed="rId13"/>
        <a:stretch>
          <a:fillRect/>
        </a:stretch>
      </xdr:blipFill>
      <xdr:spPr>
        <a:prstGeom prst="rect">
          <a:avLst/>
        </a:prstGeom>
        <a:noFill/>
      </xdr:spPr>
    </xdr:pic>
    <xdr:clientData fLocksWithSheet="0"/>
  </xdr:oneCellAnchor>
  <xdr:oneCellAnchor>
    <xdr:from>
      <xdr:col>11</xdr:col>
      <xdr:colOff>66675</xdr:colOff>
      <xdr:row>21</xdr:row>
      <xdr:rowOff>95250</xdr:rowOff>
    </xdr:from>
    <xdr:ext cx="2771775" cy="1647825"/>
    <xdr:pic>
      <xdr:nvPicPr>
        <xdr:cNvPr id="0" name="image1.png"/>
        <xdr:cNvPicPr preferRelativeResize="0"/>
      </xdr:nvPicPr>
      <xdr:blipFill>
        <a:blip cstate="print" r:embed="rId14"/>
        <a:stretch>
          <a:fillRect/>
        </a:stretch>
      </xdr:blipFill>
      <xdr:spPr>
        <a:prstGeom prst="rect">
          <a:avLst/>
        </a:prstGeom>
        <a:noFill/>
      </xdr:spPr>
    </xdr:pic>
    <xdr:clientData fLocksWithSheet="0"/>
  </xdr:oneCellAnchor>
  <xdr:oneCellAnchor>
    <xdr:from>
      <xdr:col>2</xdr:col>
      <xdr:colOff>9525</xdr:colOff>
      <xdr:row>9</xdr:row>
      <xdr:rowOff>114300</xdr:rowOff>
    </xdr:from>
    <xdr:ext cx="8001000" cy="1647825"/>
    <xdr:pic>
      <xdr:nvPicPr>
        <xdr:cNvPr id="0" name="image2.png"/>
        <xdr:cNvPicPr preferRelativeResize="0"/>
      </xdr:nvPicPr>
      <xdr:blipFill>
        <a:blip cstate="print" r:embed="rId15"/>
        <a:stretch>
          <a:fillRect/>
        </a:stretch>
      </xdr:blipFill>
      <xdr:spPr>
        <a:prstGeom prst="rect">
          <a:avLst/>
        </a:prstGeom>
        <a:noFill/>
      </xdr:spPr>
    </xdr:pic>
    <xdr:clientData fLocksWithSheet="0"/>
  </xdr:oneCellAnchor>
  <xdr:oneCellAnchor>
    <xdr:from>
      <xdr:col>44</xdr:col>
      <xdr:colOff>104775</xdr:colOff>
      <xdr:row>21</xdr:row>
      <xdr:rowOff>161925</xdr:rowOff>
    </xdr:from>
    <xdr:ext cx="1571625" cy="1638300"/>
    <xdr:pic>
      <xdr:nvPicPr>
        <xdr:cNvPr id="0" name="image4.png"/>
        <xdr:cNvPicPr preferRelativeResize="0"/>
      </xdr:nvPicPr>
      <xdr:blipFill>
        <a:blip cstate="print" r:embed="rId16"/>
        <a:stretch>
          <a:fillRect/>
        </a:stretch>
      </xdr:blipFill>
      <xdr:spPr>
        <a:prstGeom prst="rect">
          <a:avLst/>
        </a:prstGeom>
        <a:noFill/>
      </xdr:spPr>
    </xdr:pic>
    <xdr:clientData fLocksWithSheet="0"/>
  </xdr:oneCellAnchor>
  <xdr:oneCellAnchor>
    <xdr:from>
      <xdr:col>22</xdr:col>
      <xdr:colOff>85725</xdr:colOff>
      <xdr:row>33</xdr:row>
      <xdr:rowOff>0</xdr:rowOff>
    </xdr:from>
    <xdr:ext cx="2352675" cy="1714500"/>
    <xdr:pic>
      <xdr:nvPicPr>
        <xdr:cNvPr id="0" name="image9.png"/>
        <xdr:cNvPicPr preferRelativeResize="0"/>
      </xdr:nvPicPr>
      <xdr:blipFill>
        <a:blip cstate="print" r:embed="rId17"/>
        <a:stretch>
          <a:fillRect/>
        </a:stretch>
      </xdr:blipFill>
      <xdr:spPr>
        <a:prstGeom prst="rect">
          <a:avLst/>
        </a:prstGeom>
        <a:noFill/>
      </xdr:spPr>
    </xdr:pic>
    <xdr:clientData fLocksWithSheet="0"/>
  </xdr:oneCellAnchor>
  <xdr:oneCellAnchor>
    <xdr:from>
      <xdr:col>1</xdr:col>
      <xdr:colOff>104775</xdr:colOff>
      <xdr:row>51</xdr:row>
      <xdr:rowOff>57150</xdr:rowOff>
    </xdr:from>
    <xdr:ext cx="2447925" cy="1676400"/>
    <xdr:pic>
      <xdr:nvPicPr>
        <xdr:cNvPr id="0" name="image8.png"/>
        <xdr:cNvPicPr preferRelativeResize="0"/>
      </xdr:nvPicPr>
      <xdr:blipFill>
        <a:blip cstate="print" r:embed="rId18"/>
        <a:stretch>
          <a:fillRect/>
        </a:stretch>
      </xdr:blipFill>
      <xdr:spPr>
        <a:prstGeom prst="rect">
          <a:avLst/>
        </a:prstGeom>
        <a:noFill/>
      </xdr:spPr>
    </xdr:pic>
    <xdr:clientData fLocksWithSheet="0"/>
  </xdr:oneCellAnchor>
  <xdr:oneCellAnchor>
    <xdr:from>
      <xdr:col>28</xdr:col>
      <xdr:colOff>95250</xdr:colOff>
      <xdr:row>21</xdr:row>
      <xdr:rowOff>85725</xdr:rowOff>
    </xdr:from>
    <xdr:ext cx="619125" cy="1847850"/>
    <xdr:pic>
      <xdr:nvPicPr>
        <xdr:cNvPr id="0" name="image6.png"/>
        <xdr:cNvPicPr preferRelativeResize="0"/>
      </xdr:nvPicPr>
      <xdr:blipFill>
        <a:blip cstate="print" r:embed="rId19"/>
        <a:stretch>
          <a:fillRect/>
        </a:stretch>
      </xdr:blipFill>
      <xdr:spPr>
        <a:prstGeom prst="rect">
          <a:avLst/>
        </a:prstGeom>
        <a:noFill/>
      </xdr:spPr>
    </xdr:pic>
    <xdr:clientData fLocksWithSheet="0"/>
  </xdr:oneCellAnchor>
  <xdr:oneCellAnchor>
    <xdr:from>
      <xdr:col>24</xdr:col>
      <xdr:colOff>114300</xdr:colOff>
      <xdr:row>50</xdr:row>
      <xdr:rowOff>9525</xdr:rowOff>
    </xdr:from>
    <xdr:ext cx="1724025" cy="2190750"/>
    <xdr:pic>
      <xdr:nvPicPr>
        <xdr:cNvPr id="0" name="image3.png"/>
        <xdr:cNvPicPr preferRelativeResize="0"/>
      </xdr:nvPicPr>
      <xdr:blipFill>
        <a:blip cstate="print" r:embed="rId20"/>
        <a:stretch>
          <a:fillRect/>
        </a:stretch>
      </xdr:blipFill>
      <xdr:spPr>
        <a:prstGeom prst="rect">
          <a:avLst/>
        </a:prstGeom>
        <a:noFill/>
      </xdr:spPr>
    </xdr:pic>
    <xdr:clientData fLocksWithSheet="0"/>
  </xdr:oneCellAnchor>
  <xdr:oneCellAnchor>
    <xdr:from>
      <xdr:col>43</xdr:col>
      <xdr:colOff>0</xdr:colOff>
      <xdr:row>52</xdr:row>
      <xdr:rowOff>0</xdr:rowOff>
    </xdr:from>
    <xdr:ext cx="2543175" cy="1257300"/>
    <xdr:pic>
      <xdr:nvPicPr>
        <xdr:cNvPr id="0" name="image7.png"/>
        <xdr:cNvPicPr preferRelativeResize="0"/>
      </xdr:nvPicPr>
      <xdr:blipFill>
        <a:blip cstate="print" r:embed="rId21"/>
        <a:stretch>
          <a:fillRect/>
        </a:stretch>
      </xdr:blipFill>
      <xdr:spPr>
        <a:prstGeom prst="rect">
          <a:avLst/>
        </a:prstGeom>
        <a:noFill/>
      </xdr:spPr>
    </xdr:pic>
    <xdr:clientData fLocksWithSheet="0"/>
  </xdr:oneCellAnchor>
  <xdr:oneCellAnchor>
    <xdr:from>
      <xdr:col>68</xdr:col>
      <xdr:colOff>38100</xdr:colOff>
      <xdr:row>100</xdr:row>
      <xdr:rowOff>57150</xdr:rowOff>
    </xdr:from>
    <xdr:ext cx="590550" cy="885825"/>
    <xdr:pic>
      <xdr:nvPicPr>
        <xdr:cNvPr descr="symbol.png" id="0" name="image10.png"/>
        <xdr:cNvPicPr preferRelativeResize="0"/>
      </xdr:nvPicPr>
      <xdr:blipFill>
        <a:blip cstate="print" r:embed="rId2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72</xdr:col>
      <xdr:colOff>104775</xdr:colOff>
      <xdr:row>0</xdr:row>
      <xdr:rowOff>0</xdr:rowOff>
    </xdr:from>
    <xdr:ext cx="38100" cy="12601575"/>
    <xdr:grpSp>
      <xdr:nvGrpSpPr>
        <xdr:cNvPr id="2" name="Shape 2"/>
        <xdr:cNvGrpSpPr/>
      </xdr:nvGrpSpPr>
      <xdr:grpSpPr>
        <a:xfrm>
          <a:off x="5326950" y="0"/>
          <a:ext cx="38100" cy="7560000"/>
          <a:chOff x="5326950" y="0"/>
          <a:chExt cx="38100" cy="7560000"/>
        </a:xfrm>
      </xdr:grpSpPr>
      <xdr:grpSp>
        <xdr:nvGrpSpPr>
          <xdr:cNvPr id="106" name="Shape 106"/>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7" name="Shape 107"/>
            <xdr:cNvGrpSpPr/>
          </xdr:nvGrpSpPr>
          <xdr:grpSpPr>
            <a:xfrm>
              <a:off x="5326950" y="0"/>
              <a:ext cx="38100" cy="7560000"/>
              <a:chOff x="5326950" y="0"/>
              <a:chExt cx="38100" cy="7560000"/>
            </a:xfrm>
          </xdr:grpSpPr>
          <xdr:sp>
            <xdr:nvSpPr>
              <xdr:cNvPr id="108" name="Shape 108"/>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 name="Shape 109"/>
              <xdr:cNvGrpSpPr/>
            </xdr:nvGrpSpPr>
            <xdr:grpSpPr>
              <a:xfrm>
                <a:off x="5326950" y="0"/>
                <a:ext cx="38100" cy="7560000"/>
                <a:chOff x="5326950" y="-2147483648"/>
                <a:chExt cx="38100" cy="2147483647"/>
              </a:xfrm>
            </xdr:grpSpPr>
            <xdr:sp>
              <xdr:nvSpPr>
                <xdr:cNvPr id="110" name="Shape 110"/>
                <xdr:cNvSpPr/>
              </xdr:nvSpPr>
              <xdr:spPr>
                <a:xfrm>
                  <a:off x="5326950" y="-2147483648"/>
                  <a:ext cx="38100"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1" name="Shape 111"/>
                <xdr:cNvGrpSpPr/>
              </xdr:nvGrpSpPr>
              <xdr:grpSpPr>
                <a:xfrm>
                  <a:off x="5326950" y="-2147483648"/>
                  <a:ext cx="38100" cy="2147483647"/>
                  <a:chOff x="-954787" y="-2520787"/>
                  <a:chExt cx="12601550" cy="12601574"/>
                </a:xfrm>
              </xdr:grpSpPr>
              <xdr:sp>
                <xdr:nvSpPr>
                  <xdr:cNvPr id="112" name="Shape 112"/>
                  <xdr:cNvSpPr/>
                </xdr:nvSpPr>
                <xdr:spPr>
                  <a:xfrm>
                    <a:off x="-954787" y="3775959"/>
                    <a:ext cx="12601550" cy="8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13" name="Shape 113"/>
                  <xdr:cNvCxnSpPr/>
                </xdr:nvCxnSpPr>
                <xdr:spPr>
                  <a:xfrm rot="5400000">
                    <a:off x="-954787" y="3775959"/>
                    <a:ext cx="12601574" cy="8082"/>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0</xdr:col>
      <xdr:colOff>9525</xdr:colOff>
      <xdr:row>63</xdr:row>
      <xdr:rowOff>-9525</xdr:rowOff>
    </xdr:from>
    <xdr:ext cx="9486900" cy="28575"/>
    <xdr:grpSp>
      <xdr:nvGrpSpPr>
        <xdr:cNvPr id="2" name="Shape 2"/>
        <xdr:cNvGrpSpPr/>
      </xdr:nvGrpSpPr>
      <xdr:grpSpPr>
        <a:xfrm>
          <a:off x="602550" y="3765713"/>
          <a:ext cx="9486900" cy="28575"/>
          <a:chOff x="602550" y="3765713"/>
          <a:chExt cx="9486900" cy="28575"/>
        </a:xfrm>
      </xdr:grpSpPr>
      <xdr:grpSp>
        <xdr:nvGrpSpPr>
          <xdr:cNvPr id="114" name="Shape 114"/>
          <xdr:cNvGrpSpPr/>
        </xdr:nvGrpSpPr>
        <xdr:grpSpPr>
          <a:xfrm>
            <a:off x="602550" y="3765713"/>
            <a:ext cx="9486900" cy="28575"/>
            <a:chOff x="602550" y="3765713"/>
            <a:chExt cx="9486900" cy="28575"/>
          </a:xfrm>
        </xdr:grpSpPr>
        <xdr:sp>
          <xdr:nvSpPr>
            <xdr:cNvPr id="4" name="Shape 4"/>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15" name="Shape 115"/>
            <xdr:cNvGrpSpPr/>
          </xdr:nvGrpSpPr>
          <xdr:grpSpPr>
            <a:xfrm>
              <a:off x="602550" y="3765713"/>
              <a:ext cx="9486900" cy="28575"/>
              <a:chOff x="602550" y="3765713"/>
              <a:chExt cx="9486900" cy="28575"/>
            </a:xfrm>
          </xdr:grpSpPr>
          <xdr:sp>
            <xdr:nvSpPr>
              <xdr:cNvPr id="116" name="Shape 116"/>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7" name="Shape 117"/>
              <xdr:cNvGrpSpPr/>
            </xdr:nvGrpSpPr>
            <xdr:grpSpPr>
              <a:xfrm>
                <a:off x="602550" y="3765713"/>
                <a:ext cx="9486900" cy="28575"/>
                <a:chOff x="602550" y="3765713"/>
                <a:chExt cx="9486900" cy="28575"/>
              </a:xfrm>
            </xdr:grpSpPr>
            <xdr:sp>
              <xdr:nvSpPr>
                <xdr:cNvPr id="118" name="Shape 118"/>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9" name="Shape 119"/>
                <xdr:cNvGrpSpPr/>
              </xdr:nvGrpSpPr>
              <xdr:grpSpPr>
                <a:xfrm>
                  <a:off x="602550" y="3765713"/>
                  <a:ext cx="9486900" cy="28575"/>
                  <a:chOff x="602550" y="3775238"/>
                  <a:chExt cx="9486900" cy="9525"/>
                </a:xfrm>
              </xdr:grpSpPr>
              <xdr:sp>
                <xdr:nvSpPr>
                  <xdr:cNvPr id="120" name="Shape 120"/>
                  <xdr:cNvSpPr/>
                </xdr:nvSpPr>
                <xdr:spPr>
                  <a:xfrm>
                    <a:off x="602550" y="3775238"/>
                    <a:ext cx="9486900"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21" name="Shape 121"/>
                  <xdr:cNvCxnSpPr/>
                </xdr:nvCxnSpPr>
                <xdr:spPr>
                  <a:xfrm rot="10800000">
                    <a:off x="602550" y="3775238"/>
                    <a:ext cx="9486900"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74</xdr:col>
      <xdr:colOff>38100</xdr:colOff>
      <xdr:row>6</xdr:row>
      <xdr:rowOff>57150</xdr:rowOff>
    </xdr:from>
    <xdr:ext cx="2190750" cy="314325"/>
    <xdr:sp>
      <xdr:nvSpPr>
        <xdr:cNvPr id="122" name="Shape 122"/>
        <xdr:cNvSpPr/>
      </xdr:nvSpPr>
      <xdr:spPr>
        <a:xfrm>
          <a:off x="4255388" y="3627600"/>
          <a:ext cx="218122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38100</xdr:colOff>
      <xdr:row>7</xdr:row>
      <xdr:rowOff>85725</xdr:rowOff>
    </xdr:from>
    <xdr:ext cx="2200275" cy="323850"/>
    <xdr:sp>
      <xdr:nvSpPr>
        <xdr:cNvPr id="123" name="Shape 123">
          <a:hlinkClick r:id="rId1"/>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38100</xdr:colOff>
      <xdr:row>8</xdr:row>
      <xdr:rowOff>114300</xdr:rowOff>
    </xdr:from>
    <xdr:ext cx="2200275" cy="342900"/>
    <xdr:sp>
      <xdr:nvSpPr>
        <xdr:cNvPr id="124" name="Shape 124">
          <a:hlinkClick r:id="rId2"/>
        </xdr:cNvPr>
        <xdr:cNvSpPr/>
      </xdr:nvSpPr>
      <xdr:spPr>
        <a:xfrm>
          <a:off x="4250625" y="3613313"/>
          <a:ext cx="219075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38100</xdr:colOff>
      <xdr:row>10</xdr:row>
      <xdr:rowOff>0</xdr:rowOff>
    </xdr:from>
    <xdr:ext cx="2200275" cy="333375"/>
    <xdr:sp>
      <xdr:nvSpPr>
        <xdr:cNvPr id="125" name="Shape 125">
          <a:hlinkClick r:id="rId3"/>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38100</xdr:colOff>
      <xdr:row>11</xdr:row>
      <xdr:rowOff>38100</xdr:rowOff>
    </xdr:from>
    <xdr:ext cx="2200275" cy="333375"/>
    <xdr:sp>
      <xdr:nvSpPr>
        <xdr:cNvPr id="126" name="Shape 126">
          <a:hlinkClick r:id="rId4"/>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38100</xdr:colOff>
      <xdr:row>15</xdr:row>
      <xdr:rowOff>0</xdr:rowOff>
    </xdr:from>
    <xdr:ext cx="2200275" cy="323850"/>
    <xdr:sp>
      <xdr:nvSpPr>
        <xdr:cNvPr id="127" name="Shape 127">
          <a:hlinkClick r:id="rId5"/>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38100</xdr:colOff>
      <xdr:row>16</xdr:row>
      <xdr:rowOff>28575</xdr:rowOff>
    </xdr:from>
    <xdr:ext cx="2200275" cy="323850"/>
    <xdr:sp>
      <xdr:nvSpPr>
        <xdr:cNvPr id="128" name="Shape 128">
          <a:hlinkClick r:id="rId6"/>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17</xdr:row>
      <xdr:rowOff>95250</xdr:rowOff>
    </xdr:from>
    <xdr:ext cx="2200275" cy="333375"/>
    <xdr:sp>
      <xdr:nvSpPr>
        <xdr:cNvPr id="129" name="Shape 129">
          <a:hlinkClick r:id="rId7"/>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19</xdr:row>
      <xdr:rowOff>0</xdr:rowOff>
    </xdr:from>
    <xdr:ext cx="2200275" cy="323850"/>
    <xdr:sp>
      <xdr:nvSpPr>
        <xdr:cNvPr id="130" name="Shape 130">
          <a:hlinkClick r:id="rId8"/>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38100</xdr:colOff>
      <xdr:row>20</xdr:row>
      <xdr:rowOff>114300</xdr:rowOff>
    </xdr:from>
    <xdr:ext cx="2200275" cy="333375"/>
    <xdr:sp>
      <xdr:nvSpPr>
        <xdr:cNvPr id="131" name="Shape 131">
          <a:hlinkClick r:id="rId9"/>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xdr:col>
      <xdr:colOff>0</xdr:colOff>
      <xdr:row>25</xdr:row>
      <xdr:rowOff>19050</xdr:rowOff>
    </xdr:from>
    <xdr:ext cx="7924800" cy="238125"/>
    <xdr:grpSp>
      <xdr:nvGrpSpPr>
        <xdr:cNvPr id="2" name="Shape 2"/>
        <xdr:cNvGrpSpPr/>
      </xdr:nvGrpSpPr>
      <xdr:grpSpPr>
        <a:xfrm>
          <a:off x="1383600" y="3660938"/>
          <a:ext cx="7924800" cy="238125"/>
          <a:chOff x="1383600" y="3660938"/>
          <a:chExt cx="7924800" cy="238125"/>
        </a:xfrm>
      </xdr:grpSpPr>
      <xdr:grpSp>
        <xdr:nvGrpSpPr>
          <xdr:cNvPr id="133" name="Shape 133"/>
          <xdr:cNvGrpSpPr/>
        </xdr:nvGrpSpPr>
        <xdr:grpSpPr>
          <a:xfrm>
            <a:off x="1383600" y="3660938"/>
            <a:ext cx="7924800" cy="238125"/>
            <a:chOff x="1383600" y="3660938"/>
            <a:chExt cx="7924800" cy="238125"/>
          </a:xfrm>
        </xdr:grpSpPr>
        <xdr:sp>
          <xdr:nvSpPr>
            <xdr:cNvPr id="4" name="Shape 4"/>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4" name="Shape 134"/>
            <xdr:cNvGrpSpPr/>
          </xdr:nvGrpSpPr>
          <xdr:grpSpPr>
            <a:xfrm>
              <a:off x="1383600" y="3660938"/>
              <a:ext cx="7924800" cy="238125"/>
              <a:chOff x="1383600" y="3660938"/>
              <a:chExt cx="7924800" cy="238125"/>
            </a:xfrm>
          </xdr:grpSpPr>
          <xdr:sp>
            <xdr:nvSpPr>
              <xdr:cNvPr id="135" name="Shape 135"/>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6" name="Shape 136"/>
              <xdr:cNvGrpSpPr/>
            </xdr:nvGrpSpPr>
            <xdr:grpSpPr>
              <a:xfrm>
                <a:off x="1383600" y="3660938"/>
                <a:ext cx="7924800" cy="238125"/>
                <a:chOff x="1383600" y="3660938"/>
                <a:chExt cx="7924800" cy="238125"/>
              </a:xfrm>
            </xdr:grpSpPr>
            <xdr:sp>
              <xdr:nvSpPr>
                <xdr:cNvPr id="137" name="Shape 137"/>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8" name="Shape 138"/>
                <xdr:cNvGrpSpPr/>
              </xdr:nvGrpSpPr>
              <xdr:grpSpPr>
                <a:xfrm>
                  <a:off x="1383600" y="3660938"/>
                  <a:ext cx="7924800" cy="238125"/>
                  <a:chOff x="1383598" y="3660937"/>
                  <a:chExt cx="7924802" cy="238126"/>
                </a:xfrm>
              </xdr:grpSpPr>
              <xdr:sp>
                <xdr:nvSpPr>
                  <xdr:cNvPr id="139" name="Shape 139"/>
                  <xdr:cNvSpPr/>
                </xdr:nvSpPr>
                <xdr:spPr>
                  <a:xfrm>
                    <a:off x="1383598" y="3660937"/>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0" name="Shape 140"/>
                  <xdr:cNvGrpSpPr/>
                </xdr:nvGrpSpPr>
                <xdr:grpSpPr>
                  <a:xfrm>
                    <a:off x="1383598" y="3660937"/>
                    <a:ext cx="7924802" cy="238126"/>
                    <a:chOff x="828673" y="5127026"/>
                    <a:chExt cx="7924802" cy="245074"/>
                  </a:xfrm>
                </xdr:grpSpPr>
                <xdr:sp>
                  <xdr:nvSpPr>
                    <xdr:cNvPr id="141" name="Shape 141"/>
                    <xdr:cNvSpPr/>
                  </xdr:nvSpPr>
                  <xdr:spPr>
                    <a:xfrm>
                      <a:off x="828675" y="5127027"/>
                      <a:ext cx="792480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2" name="Shape 142"/>
                    <xdr:cNvGrpSpPr/>
                  </xdr:nvGrpSpPr>
                  <xdr:grpSpPr>
                    <a:xfrm>
                      <a:off x="828673" y="5127026"/>
                      <a:ext cx="7924799" cy="182480"/>
                      <a:chOff x="835865" y="5182621"/>
                      <a:chExt cx="8086530" cy="182480"/>
                    </a:xfrm>
                  </xdr:grpSpPr>
                  <xdr:grpSp>
                    <xdr:nvGrpSpPr>
                      <xdr:cNvPr id="143" name="Shape 143"/>
                      <xdr:cNvGrpSpPr/>
                    </xdr:nvGrpSpPr>
                    <xdr:grpSpPr>
                      <a:xfrm>
                        <a:off x="835865" y="5182621"/>
                        <a:ext cx="505408" cy="182480"/>
                        <a:chOff x="829805" y="8448798"/>
                        <a:chExt cx="490780" cy="178592"/>
                      </a:xfrm>
                    </xdr:grpSpPr>
                    <xdr:grpSp>
                      <xdr:nvGrpSpPr>
                        <xdr:cNvPr id="144" name="Shape 144"/>
                        <xdr:cNvGrpSpPr/>
                      </xdr:nvGrpSpPr>
                      <xdr:grpSpPr>
                        <a:xfrm>
                          <a:off x="829805" y="8448798"/>
                          <a:ext cx="122695" cy="178592"/>
                          <a:chOff x="1202266" y="1125361"/>
                          <a:chExt cx="496712" cy="666750"/>
                        </a:xfrm>
                      </xdr:grpSpPr>
                      <xdr:grpSp>
                        <xdr:nvGrpSpPr>
                          <xdr:cNvPr id="145" name="Shape 145"/>
                          <xdr:cNvGrpSpPr/>
                        </xdr:nvGrpSpPr>
                        <xdr:grpSpPr>
                          <a:xfrm>
                            <a:off x="1202266" y="1125361"/>
                            <a:ext cx="496712" cy="666750"/>
                            <a:chOff x="1202266" y="1125361"/>
                            <a:chExt cx="496712" cy="666750"/>
                          </a:xfrm>
                        </xdr:grpSpPr>
                        <xdr:sp>
                          <xdr:nvSpPr>
                            <xdr:cNvPr id="146" name="Shape 1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7" name="Shape 1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8" name="Shape 1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9" name="Shape 1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0" name="Shape 1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1" name="Shape 1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52" name="Shape 15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53" name="Shape 153"/>
                        <xdr:cNvGrpSpPr/>
                      </xdr:nvGrpSpPr>
                      <xdr:grpSpPr>
                        <a:xfrm>
                          <a:off x="952500" y="8448798"/>
                          <a:ext cx="122695" cy="178592"/>
                          <a:chOff x="1202266" y="1125361"/>
                          <a:chExt cx="496712" cy="666750"/>
                        </a:xfrm>
                      </xdr:grpSpPr>
                      <xdr:grpSp>
                        <xdr:nvGrpSpPr>
                          <xdr:cNvPr id="154" name="Shape 154"/>
                          <xdr:cNvGrpSpPr/>
                        </xdr:nvGrpSpPr>
                        <xdr:grpSpPr>
                          <a:xfrm>
                            <a:off x="1202266" y="1125361"/>
                            <a:ext cx="496712" cy="666750"/>
                            <a:chOff x="1202266" y="1125361"/>
                            <a:chExt cx="496712" cy="666750"/>
                          </a:xfrm>
                        </xdr:grpSpPr>
                        <xdr:sp>
                          <xdr:nvSpPr>
                            <xdr:cNvPr id="155" name="Shape 15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6" name="Shape 15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7" name="Shape 15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8" name="Shape 15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9" name="Shape 15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0" name="Shape 16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61" name="Shape 16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62" name="Shape 162"/>
                        <xdr:cNvGrpSpPr/>
                      </xdr:nvGrpSpPr>
                      <xdr:grpSpPr>
                        <a:xfrm>
                          <a:off x="1075195" y="8448798"/>
                          <a:ext cx="122695" cy="178592"/>
                          <a:chOff x="1202266" y="1125361"/>
                          <a:chExt cx="496712" cy="666750"/>
                        </a:xfrm>
                      </xdr:grpSpPr>
                      <xdr:grpSp>
                        <xdr:nvGrpSpPr>
                          <xdr:cNvPr id="163" name="Shape 163"/>
                          <xdr:cNvGrpSpPr/>
                        </xdr:nvGrpSpPr>
                        <xdr:grpSpPr>
                          <a:xfrm>
                            <a:off x="1202266" y="1125361"/>
                            <a:ext cx="496712" cy="666750"/>
                            <a:chOff x="1202266" y="1125361"/>
                            <a:chExt cx="496712" cy="666750"/>
                          </a:xfrm>
                        </xdr:grpSpPr>
                        <xdr:sp>
                          <xdr:nvSpPr>
                            <xdr:cNvPr id="164" name="Shape 16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5" name="Shape 16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6" name="Shape 16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7" name="Shape 16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8" name="Shape 16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9" name="Shape 16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70" name="Shape 17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71" name="Shape 171"/>
                        <xdr:cNvGrpSpPr/>
                      </xdr:nvGrpSpPr>
                      <xdr:grpSpPr>
                        <a:xfrm>
                          <a:off x="1197890" y="8448798"/>
                          <a:ext cx="122695" cy="178592"/>
                          <a:chOff x="1202266" y="1125361"/>
                          <a:chExt cx="496712" cy="666750"/>
                        </a:xfrm>
                      </xdr:grpSpPr>
                      <xdr:grpSp>
                        <xdr:nvGrpSpPr>
                          <xdr:cNvPr id="172" name="Shape 172"/>
                          <xdr:cNvGrpSpPr/>
                        </xdr:nvGrpSpPr>
                        <xdr:grpSpPr>
                          <a:xfrm>
                            <a:off x="1202266" y="1125361"/>
                            <a:ext cx="496712" cy="666750"/>
                            <a:chOff x="1202266" y="1125361"/>
                            <a:chExt cx="496712" cy="666750"/>
                          </a:xfrm>
                        </xdr:grpSpPr>
                        <xdr:sp>
                          <xdr:nvSpPr>
                            <xdr:cNvPr id="173" name="Shape 17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4" name="Shape 17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5" name="Shape 17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6" name="Shape 17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7" name="Shape 17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8" name="Shape 17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79" name="Shape 17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80" name="Shape 180"/>
                      <xdr:cNvGrpSpPr/>
                    </xdr:nvGrpSpPr>
                    <xdr:grpSpPr>
                      <a:xfrm>
                        <a:off x="1467625" y="5182621"/>
                        <a:ext cx="505408" cy="182480"/>
                        <a:chOff x="829805" y="8448798"/>
                        <a:chExt cx="490780" cy="178592"/>
                      </a:xfrm>
                    </xdr:grpSpPr>
                    <xdr:grpSp>
                      <xdr:nvGrpSpPr>
                        <xdr:cNvPr id="181" name="Shape 181"/>
                        <xdr:cNvGrpSpPr/>
                      </xdr:nvGrpSpPr>
                      <xdr:grpSpPr>
                        <a:xfrm>
                          <a:off x="829805" y="8448798"/>
                          <a:ext cx="122695" cy="178592"/>
                          <a:chOff x="1202266" y="1125361"/>
                          <a:chExt cx="496712" cy="666750"/>
                        </a:xfrm>
                      </xdr:grpSpPr>
                      <xdr:grpSp>
                        <xdr:nvGrpSpPr>
                          <xdr:cNvPr id="182" name="Shape 182"/>
                          <xdr:cNvGrpSpPr/>
                        </xdr:nvGrpSpPr>
                        <xdr:grpSpPr>
                          <a:xfrm>
                            <a:off x="1202266" y="1125361"/>
                            <a:ext cx="496712" cy="666750"/>
                            <a:chOff x="1202266" y="1125361"/>
                            <a:chExt cx="496712" cy="666750"/>
                          </a:xfrm>
                        </xdr:grpSpPr>
                        <xdr:sp>
                          <xdr:nvSpPr>
                            <xdr:cNvPr id="183" name="Shape 1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4" name="Shape 1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5" name="Shape 1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6" name="Shape 1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7" name="Shape 1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8" name="Shape 1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89" name="Shape 18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90" name="Shape 190"/>
                        <xdr:cNvGrpSpPr/>
                      </xdr:nvGrpSpPr>
                      <xdr:grpSpPr>
                        <a:xfrm>
                          <a:off x="952500" y="8448798"/>
                          <a:ext cx="122695" cy="178592"/>
                          <a:chOff x="1202266" y="1125361"/>
                          <a:chExt cx="496712" cy="666750"/>
                        </a:xfrm>
                      </xdr:grpSpPr>
                      <xdr:grpSp>
                        <xdr:nvGrpSpPr>
                          <xdr:cNvPr id="191" name="Shape 191"/>
                          <xdr:cNvGrpSpPr/>
                        </xdr:nvGrpSpPr>
                        <xdr:grpSpPr>
                          <a:xfrm>
                            <a:off x="1202266" y="1125361"/>
                            <a:ext cx="496712" cy="666750"/>
                            <a:chOff x="1202266" y="1125361"/>
                            <a:chExt cx="496712" cy="666750"/>
                          </a:xfrm>
                        </xdr:grpSpPr>
                        <xdr:sp>
                          <xdr:nvSpPr>
                            <xdr:cNvPr id="192" name="Shape 19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3" name="Shape 19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4" name="Shape 19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5" name="Shape 19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6" name="Shape 19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7" name="Shape 19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98" name="Shape 19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99" name="Shape 199"/>
                        <xdr:cNvGrpSpPr/>
                      </xdr:nvGrpSpPr>
                      <xdr:grpSpPr>
                        <a:xfrm>
                          <a:off x="1075195" y="8448798"/>
                          <a:ext cx="122695" cy="178592"/>
                          <a:chOff x="1202266" y="1125361"/>
                          <a:chExt cx="496712" cy="666750"/>
                        </a:xfrm>
                      </xdr:grpSpPr>
                      <xdr:grpSp>
                        <xdr:nvGrpSpPr>
                          <xdr:cNvPr id="200" name="Shape 200"/>
                          <xdr:cNvGrpSpPr/>
                        </xdr:nvGrpSpPr>
                        <xdr:grpSpPr>
                          <a:xfrm>
                            <a:off x="1202266" y="1125361"/>
                            <a:ext cx="496712" cy="666750"/>
                            <a:chOff x="1202266" y="1125361"/>
                            <a:chExt cx="496712" cy="666750"/>
                          </a:xfrm>
                        </xdr:grpSpPr>
                        <xdr:sp>
                          <xdr:nvSpPr>
                            <xdr:cNvPr id="201" name="Shape 20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2" name="Shape 20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3" name="Shape 20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4" name="Shape 20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5" name="Shape 20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6" name="Shape 20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07" name="Shape 20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08" name="Shape 208"/>
                        <xdr:cNvGrpSpPr/>
                      </xdr:nvGrpSpPr>
                      <xdr:grpSpPr>
                        <a:xfrm>
                          <a:off x="1197890" y="8448798"/>
                          <a:ext cx="122695" cy="178592"/>
                          <a:chOff x="1202266" y="1125361"/>
                          <a:chExt cx="496712" cy="666750"/>
                        </a:xfrm>
                      </xdr:grpSpPr>
                      <xdr:grpSp>
                        <xdr:nvGrpSpPr>
                          <xdr:cNvPr id="209" name="Shape 209"/>
                          <xdr:cNvGrpSpPr/>
                        </xdr:nvGrpSpPr>
                        <xdr:grpSpPr>
                          <a:xfrm>
                            <a:off x="1202266" y="1125361"/>
                            <a:ext cx="496712" cy="666750"/>
                            <a:chOff x="1202266" y="1125361"/>
                            <a:chExt cx="496712" cy="666750"/>
                          </a:xfrm>
                        </xdr:grpSpPr>
                        <xdr:sp>
                          <xdr:nvSpPr>
                            <xdr:cNvPr id="210" name="Shape 21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1" name="Shape 21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2" name="Shape 21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3" name="Shape 21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4" name="Shape 21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5" name="Shape 21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16" name="Shape 21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17" name="Shape 217"/>
                      <xdr:cNvGrpSpPr/>
                    </xdr:nvGrpSpPr>
                    <xdr:grpSpPr>
                      <a:xfrm>
                        <a:off x="2099385" y="5182621"/>
                        <a:ext cx="505408" cy="182480"/>
                        <a:chOff x="829805" y="8448798"/>
                        <a:chExt cx="490780" cy="178592"/>
                      </a:xfrm>
                    </xdr:grpSpPr>
                    <xdr:grpSp>
                      <xdr:nvGrpSpPr>
                        <xdr:cNvPr id="218" name="Shape 218"/>
                        <xdr:cNvGrpSpPr/>
                      </xdr:nvGrpSpPr>
                      <xdr:grpSpPr>
                        <a:xfrm>
                          <a:off x="829805" y="8448798"/>
                          <a:ext cx="122695" cy="178592"/>
                          <a:chOff x="1202266" y="1125361"/>
                          <a:chExt cx="496712" cy="666750"/>
                        </a:xfrm>
                      </xdr:grpSpPr>
                      <xdr:grpSp>
                        <xdr:nvGrpSpPr>
                          <xdr:cNvPr id="219" name="Shape 219"/>
                          <xdr:cNvGrpSpPr/>
                        </xdr:nvGrpSpPr>
                        <xdr:grpSpPr>
                          <a:xfrm>
                            <a:off x="1202266" y="1125361"/>
                            <a:ext cx="496712" cy="666750"/>
                            <a:chOff x="1202266" y="1125361"/>
                            <a:chExt cx="496712" cy="666750"/>
                          </a:xfrm>
                        </xdr:grpSpPr>
                        <xdr:sp>
                          <xdr:nvSpPr>
                            <xdr:cNvPr id="220" name="Shape 22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1" name="Shape 22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2" name="Shape 22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3" name="Shape 22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4" name="Shape 22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5" name="Shape 22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26" name="Shape 22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27" name="Shape 227"/>
                        <xdr:cNvGrpSpPr/>
                      </xdr:nvGrpSpPr>
                      <xdr:grpSpPr>
                        <a:xfrm>
                          <a:off x="952500" y="8448798"/>
                          <a:ext cx="122695" cy="178592"/>
                          <a:chOff x="1202266" y="1125361"/>
                          <a:chExt cx="496712" cy="666750"/>
                        </a:xfrm>
                      </xdr:grpSpPr>
                      <xdr:grpSp>
                        <xdr:nvGrpSpPr>
                          <xdr:cNvPr id="228" name="Shape 228"/>
                          <xdr:cNvGrpSpPr/>
                        </xdr:nvGrpSpPr>
                        <xdr:grpSpPr>
                          <a:xfrm>
                            <a:off x="1202266" y="1125361"/>
                            <a:ext cx="496712" cy="666750"/>
                            <a:chOff x="1202266" y="1125361"/>
                            <a:chExt cx="496712" cy="666750"/>
                          </a:xfrm>
                        </xdr:grpSpPr>
                        <xdr:sp>
                          <xdr:nvSpPr>
                            <xdr:cNvPr id="229" name="Shape 22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0" name="Shape 23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1" name="Shape 23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2" name="Shape 23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3" name="Shape 23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4" name="Shape 23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35" name="Shape 23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36" name="Shape 236"/>
                        <xdr:cNvGrpSpPr/>
                      </xdr:nvGrpSpPr>
                      <xdr:grpSpPr>
                        <a:xfrm>
                          <a:off x="1075195" y="8448798"/>
                          <a:ext cx="122695" cy="178592"/>
                          <a:chOff x="1202266" y="1125361"/>
                          <a:chExt cx="496712" cy="666750"/>
                        </a:xfrm>
                      </xdr:grpSpPr>
                      <xdr:grpSp>
                        <xdr:nvGrpSpPr>
                          <xdr:cNvPr id="237" name="Shape 237"/>
                          <xdr:cNvGrpSpPr/>
                        </xdr:nvGrpSpPr>
                        <xdr:grpSpPr>
                          <a:xfrm>
                            <a:off x="1202266" y="1125361"/>
                            <a:ext cx="496712" cy="666750"/>
                            <a:chOff x="1202266" y="1125361"/>
                            <a:chExt cx="496712" cy="666750"/>
                          </a:xfrm>
                        </xdr:grpSpPr>
                        <xdr:sp>
                          <xdr:nvSpPr>
                            <xdr:cNvPr id="238" name="Shape 23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9" name="Shape 23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0" name="Shape 24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1" name="Shape 24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2" name="Shape 24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3" name="Shape 24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44" name="Shape 24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45" name="Shape 245"/>
                        <xdr:cNvGrpSpPr/>
                      </xdr:nvGrpSpPr>
                      <xdr:grpSpPr>
                        <a:xfrm>
                          <a:off x="1197890" y="8448798"/>
                          <a:ext cx="122695" cy="178592"/>
                          <a:chOff x="1202266" y="1125361"/>
                          <a:chExt cx="496712" cy="666750"/>
                        </a:xfrm>
                      </xdr:grpSpPr>
                      <xdr:grpSp>
                        <xdr:nvGrpSpPr>
                          <xdr:cNvPr id="246" name="Shape 246"/>
                          <xdr:cNvGrpSpPr/>
                        </xdr:nvGrpSpPr>
                        <xdr:grpSpPr>
                          <a:xfrm>
                            <a:off x="1202266" y="1125361"/>
                            <a:ext cx="496712" cy="666750"/>
                            <a:chOff x="1202266" y="1125361"/>
                            <a:chExt cx="496712" cy="666750"/>
                          </a:xfrm>
                        </xdr:grpSpPr>
                        <xdr:sp>
                          <xdr:nvSpPr>
                            <xdr:cNvPr id="247" name="Shape 24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8" name="Shape 24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9" name="Shape 24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0" name="Shape 25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1" name="Shape 25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2" name="Shape 25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53" name="Shape 25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54" name="Shape 254"/>
                      <xdr:cNvGrpSpPr/>
                    </xdr:nvGrpSpPr>
                    <xdr:grpSpPr>
                      <a:xfrm>
                        <a:off x="2731145" y="5182621"/>
                        <a:ext cx="505408" cy="182480"/>
                        <a:chOff x="829805" y="8448798"/>
                        <a:chExt cx="490780" cy="178592"/>
                      </a:xfrm>
                    </xdr:grpSpPr>
                    <xdr:grpSp>
                      <xdr:nvGrpSpPr>
                        <xdr:cNvPr id="255" name="Shape 255"/>
                        <xdr:cNvGrpSpPr/>
                      </xdr:nvGrpSpPr>
                      <xdr:grpSpPr>
                        <a:xfrm>
                          <a:off x="829805" y="8448798"/>
                          <a:ext cx="122695" cy="178592"/>
                          <a:chOff x="1202266" y="1125361"/>
                          <a:chExt cx="496712" cy="666750"/>
                        </a:xfrm>
                      </xdr:grpSpPr>
                      <xdr:grpSp>
                        <xdr:nvGrpSpPr>
                          <xdr:cNvPr id="256" name="Shape 256"/>
                          <xdr:cNvGrpSpPr/>
                        </xdr:nvGrpSpPr>
                        <xdr:grpSpPr>
                          <a:xfrm>
                            <a:off x="1202266" y="1125361"/>
                            <a:ext cx="496712" cy="666750"/>
                            <a:chOff x="1202266" y="1125361"/>
                            <a:chExt cx="496712" cy="666750"/>
                          </a:xfrm>
                        </xdr:grpSpPr>
                        <xdr:sp>
                          <xdr:nvSpPr>
                            <xdr:cNvPr id="257" name="Shape 25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8" name="Shape 25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9" name="Shape 25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0" name="Shape 26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1" name="Shape 26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2" name="Shape 26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63" name="Shape 26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64" name="Shape 264"/>
                        <xdr:cNvGrpSpPr/>
                      </xdr:nvGrpSpPr>
                      <xdr:grpSpPr>
                        <a:xfrm>
                          <a:off x="952500" y="8448798"/>
                          <a:ext cx="122695" cy="178592"/>
                          <a:chOff x="1202266" y="1125361"/>
                          <a:chExt cx="496712" cy="666750"/>
                        </a:xfrm>
                      </xdr:grpSpPr>
                      <xdr:grpSp>
                        <xdr:nvGrpSpPr>
                          <xdr:cNvPr id="265" name="Shape 265"/>
                          <xdr:cNvGrpSpPr/>
                        </xdr:nvGrpSpPr>
                        <xdr:grpSpPr>
                          <a:xfrm>
                            <a:off x="1202266" y="1125361"/>
                            <a:ext cx="496712" cy="666750"/>
                            <a:chOff x="1202266" y="1125361"/>
                            <a:chExt cx="496712" cy="666750"/>
                          </a:xfrm>
                        </xdr:grpSpPr>
                        <xdr:sp>
                          <xdr:nvSpPr>
                            <xdr:cNvPr id="266" name="Shape 26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7" name="Shape 26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8" name="Shape 26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9" name="Shape 26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0" name="Shape 27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1" name="Shape 27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72" name="Shape 27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73" name="Shape 273"/>
                        <xdr:cNvGrpSpPr/>
                      </xdr:nvGrpSpPr>
                      <xdr:grpSpPr>
                        <a:xfrm>
                          <a:off x="1075195" y="8448798"/>
                          <a:ext cx="122695" cy="178592"/>
                          <a:chOff x="1202266" y="1125361"/>
                          <a:chExt cx="496712" cy="666750"/>
                        </a:xfrm>
                      </xdr:grpSpPr>
                      <xdr:grpSp>
                        <xdr:nvGrpSpPr>
                          <xdr:cNvPr id="274" name="Shape 274"/>
                          <xdr:cNvGrpSpPr/>
                        </xdr:nvGrpSpPr>
                        <xdr:grpSpPr>
                          <a:xfrm>
                            <a:off x="1202266" y="1125361"/>
                            <a:ext cx="496712" cy="666750"/>
                            <a:chOff x="1202266" y="1125361"/>
                            <a:chExt cx="496712" cy="666750"/>
                          </a:xfrm>
                        </xdr:grpSpPr>
                        <xdr:sp>
                          <xdr:nvSpPr>
                            <xdr:cNvPr id="275" name="Shape 27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6" name="Shape 27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7" name="Shape 27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8" name="Shape 27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9" name="Shape 27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0" name="Shape 28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81" name="Shape 28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82" name="Shape 282"/>
                        <xdr:cNvGrpSpPr/>
                      </xdr:nvGrpSpPr>
                      <xdr:grpSpPr>
                        <a:xfrm>
                          <a:off x="1197890" y="8448798"/>
                          <a:ext cx="122695" cy="178592"/>
                          <a:chOff x="1202266" y="1125361"/>
                          <a:chExt cx="496712" cy="666750"/>
                        </a:xfrm>
                      </xdr:grpSpPr>
                      <xdr:grpSp>
                        <xdr:nvGrpSpPr>
                          <xdr:cNvPr id="283" name="Shape 283"/>
                          <xdr:cNvGrpSpPr/>
                        </xdr:nvGrpSpPr>
                        <xdr:grpSpPr>
                          <a:xfrm>
                            <a:off x="1202266" y="1125361"/>
                            <a:ext cx="496712" cy="666750"/>
                            <a:chOff x="1202266" y="1125361"/>
                            <a:chExt cx="496712" cy="666750"/>
                          </a:xfrm>
                        </xdr:grpSpPr>
                        <xdr:sp>
                          <xdr:nvSpPr>
                            <xdr:cNvPr id="284" name="Shape 28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5" name="Shape 28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6" name="Shape 28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7" name="Shape 28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8" name="Shape 28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9" name="Shape 28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90" name="Shape 29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91" name="Shape 291"/>
                      <xdr:cNvGrpSpPr/>
                    </xdr:nvGrpSpPr>
                    <xdr:grpSpPr>
                      <a:xfrm>
                        <a:off x="3362905" y="5182621"/>
                        <a:ext cx="505408" cy="182480"/>
                        <a:chOff x="829805" y="8448798"/>
                        <a:chExt cx="490780" cy="178592"/>
                      </a:xfrm>
                    </xdr:grpSpPr>
                    <xdr:grpSp>
                      <xdr:nvGrpSpPr>
                        <xdr:cNvPr id="292" name="Shape 292"/>
                        <xdr:cNvGrpSpPr/>
                      </xdr:nvGrpSpPr>
                      <xdr:grpSpPr>
                        <a:xfrm>
                          <a:off x="829805" y="8448798"/>
                          <a:ext cx="122695" cy="178592"/>
                          <a:chOff x="1202266" y="1125361"/>
                          <a:chExt cx="496712" cy="666750"/>
                        </a:xfrm>
                      </xdr:grpSpPr>
                      <xdr:grpSp>
                        <xdr:nvGrpSpPr>
                          <xdr:cNvPr id="293" name="Shape 293"/>
                          <xdr:cNvGrpSpPr/>
                        </xdr:nvGrpSpPr>
                        <xdr:grpSpPr>
                          <a:xfrm>
                            <a:off x="1202266" y="1125361"/>
                            <a:ext cx="496712" cy="666750"/>
                            <a:chOff x="1202266" y="1125361"/>
                            <a:chExt cx="496712" cy="666750"/>
                          </a:xfrm>
                        </xdr:grpSpPr>
                        <xdr:sp>
                          <xdr:nvSpPr>
                            <xdr:cNvPr id="294" name="Shape 2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5" name="Shape 2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6" name="Shape 2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7" name="Shape 2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8" name="Shape 2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9" name="Shape 2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00" name="Shape 30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01" name="Shape 301"/>
                        <xdr:cNvGrpSpPr/>
                      </xdr:nvGrpSpPr>
                      <xdr:grpSpPr>
                        <a:xfrm>
                          <a:off x="952500" y="8448798"/>
                          <a:ext cx="122695" cy="178592"/>
                          <a:chOff x="1202266" y="1125361"/>
                          <a:chExt cx="496712" cy="666750"/>
                        </a:xfrm>
                      </xdr:grpSpPr>
                      <xdr:grpSp>
                        <xdr:nvGrpSpPr>
                          <xdr:cNvPr id="302" name="Shape 302"/>
                          <xdr:cNvGrpSpPr/>
                        </xdr:nvGrpSpPr>
                        <xdr:grpSpPr>
                          <a:xfrm>
                            <a:off x="1202266" y="1125361"/>
                            <a:ext cx="496712" cy="666750"/>
                            <a:chOff x="1202266" y="1125361"/>
                            <a:chExt cx="496712" cy="666750"/>
                          </a:xfrm>
                        </xdr:grpSpPr>
                        <xdr:sp>
                          <xdr:nvSpPr>
                            <xdr:cNvPr id="303" name="Shape 3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4" name="Shape 3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5" name="Shape 3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6" name="Shape 3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7" name="Shape 3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8" name="Shape 3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09" name="Shape 30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10" name="Shape 310"/>
                        <xdr:cNvGrpSpPr/>
                      </xdr:nvGrpSpPr>
                      <xdr:grpSpPr>
                        <a:xfrm>
                          <a:off x="1075195" y="8448798"/>
                          <a:ext cx="122695" cy="178592"/>
                          <a:chOff x="1202266" y="1125361"/>
                          <a:chExt cx="496712" cy="666750"/>
                        </a:xfrm>
                      </xdr:grpSpPr>
                      <xdr:grpSp>
                        <xdr:nvGrpSpPr>
                          <xdr:cNvPr id="311" name="Shape 311"/>
                          <xdr:cNvGrpSpPr/>
                        </xdr:nvGrpSpPr>
                        <xdr:grpSpPr>
                          <a:xfrm>
                            <a:off x="1202266" y="1125361"/>
                            <a:ext cx="496712" cy="666750"/>
                            <a:chOff x="1202266" y="1125361"/>
                            <a:chExt cx="496712" cy="666750"/>
                          </a:xfrm>
                        </xdr:grpSpPr>
                        <xdr:sp>
                          <xdr:nvSpPr>
                            <xdr:cNvPr id="312" name="Shape 3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3" name="Shape 3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4" name="Shape 3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5" name="Shape 3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6" name="Shape 3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7" name="Shape 3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18" name="Shape 31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19" name="Shape 319"/>
                        <xdr:cNvGrpSpPr/>
                      </xdr:nvGrpSpPr>
                      <xdr:grpSpPr>
                        <a:xfrm>
                          <a:off x="1197890" y="8448798"/>
                          <a:ext cx="122695" cy="178592"/>
                          <a:chOff x="1202266" y="1125361"/>
                          <a:chExt cx="496712" cy="666750"/>
                        </a:xfrm>
                      </xdr:grpSpPr>
                      <xdr:grpSp>
                        <xdr:nvGrpSpPr>
                          <xdr:cNvPr id="320" name="Shape 320"/>
                          <xdr:cNvGrpSpPr/>
                        </xdr:nvGrpSpPr>
                        <xdr:grpSpPr>
                          <a:xfrm>
                            <a:off x="1202266" y="1125361"/>
                            <a:ext cx="496712" cy="666750"/>
                            <a:chOff x="1202266" y="1125361"/>
                            <a:chExt cx="496712" cy="666750"/>
                          </a:xfrm>
                        </xdr:grpSpPr>
                        <xdr:sp>
                          <xdr:nvSpPr>
                            <xdr:cNvPr id="321" name="Shape 32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2" name="Shape 32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3" name="Shape 32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4" name="Shape 32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5" name="Shape 32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6" name="Shape 32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27" name="Shape 32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28" name="Shape 328"/>
                      <xdr:cNvGrpSpPr/>
                    </xdr:nvGrpSpPr>
                    <xdr:grpSpPr>
                      <a:xfrm>
                        <a:off x="3994666" y="5182621"/>
                        <a:ext cx="505408" cy="182480"/>
                        <a:chOff x="829805" y="8448798"/>
                        <a:chExt cx="490780" cy="178592"/>
                      </a:xfrm>
                    </xdr:grpSpPr>
                    <xdr:grpSp>
                      <xdr:nvGrpSpPr>
                        <xdr:cNvPr id="329" name="Shape 329"/>
                        <xdr:cNvGrpSpPr/>
                      </xdr:nvGrpSpPr>
                      <xdr:grpSpPr>
                        <a:xfrm>
                          <a:off x="829805" y="8448798"/>
                          <a:ext cx="122695" cy="178592"/>
                          <a:chOff x="1202266" y="1125361"/>
                          <a:chExt cx="496712" cy="666750"/>
                        </a:xfrm>
                      </xdr:grpSpPr>
                      <xdr:grpSp>
                        <xdr:nvGrpSpPr>
                          <xdr:cNvPr id="330" name="Shape 330"/>
                          <xdr:cNvGrpSpPr/>
                        </xdr:nvGrpSpPr>
                        <xdr:grpSpPr>
                          <a:xfrm>
                            <a:off x="1202266" y="1125361"/>
                            <a:ext cx="496712" cy="666750"/>
                            <a:chOff x="1202266" y="1125361"/>
                            <a:chExt cx="496712" cy="666750"/>
                          </a:xfrm>
                        </xdr:grpSpPr>
                        <xdr:sp>
                          <xdr:nvSpPr>
                            <xdr:cNvPr id="331" name="Shape 33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2" name="Shape 33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3" name="Shape 33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4" name="Shape 33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5" name="Shape 33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6" name="Shape 33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37" name="Shape 33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38" name="Shape 338"/>
                        <xdr:cNvGrpSpPr/>
                      </xdr:nvGrpSpPr>
                      <xdr:grpSpPr>
                        <a:xfrm>
                          <a:off x="952500" y="8448798"/>
                          <a:ext cx="122695" cy="178592"/>
                          <a:chOff x="1202266" y="1125361"/>
                          <a:chExt cx="496712" cy="666750"/>
                        </a:xfrm>
                      </xdr:grpSpPr>
                      <xdr:grpSp>
                        <xdr:nvGrpSpPr>
                          <xdr:cNvPr id="339" name="Shape 339"/>
                          <xdr:cNvGrpSpPr/>
                        </xdr:nvGrpSpPr>
                        <xdr:grpSpPr>
                          <a:xfrm>
                            <a:off x="1202266" y="1125361"/>
                            <a:ext cx="496712" cy="666750"/>
                            <a:chOff x="1202266" y="1125361"/>
                            <a:chExt cx="496712" cy="666750"/>
                          </a:xfrm>
                        </xdr:grpSpPr>
                        <xdr:sp>
                          <xdr:nvSpPr>
                            <xdr:cNvPr id="340" name="Shape 34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1" name="Shape 34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2" name="Shape 34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3" name="Shape 34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4" name="Shape 34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5" name="Shape 34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46" name="Shape 34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47" name="Shape 347"/>
                        <xdr:cNvGrpSpPr/>
                      </xdr:nvGrpSpPr>
                      <xdr:grpSpPr>
                        <a:xfrm>
                          <a:off x="1075195" y="8448798"/>
                          <a:ext cx="122695" cy="178592"/>
                          <a:chOff x="1202266" y="1125361"/>
                          <a:chExt cx="496712" cy="666750"/>
                        </a:xfrm>
                      </xdr:grpSpPr>
                      <xdr:grpSp>
                        <xdr:nvGrpSpPr>
                          <xdr:cNvPr id="348" name="Shape 348"/>
                          <xdr:cNvGrpSpPr/>
                        </xdr:nvGrpSpPr>
                        <xdr:grpSpPr>
                          <a:xfrm>
                            <a:off x="1202266" y="1125361"/>
                            <a:ext cx="496712" cy="666750"/>
                            <a:chOff x="1202266" y="1125361"/>
                            <a:chExt cx="496712" cy="666750"/>
                          </a:xfrm>
                        </xdr:grpSpPr>
                        <xdr:sp>
                          <xdr:nvSpPr>
                            <xdr:cNvPr id="349" name="Shape 34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0" name="Shape 35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1" name="Shape 35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2" name="Shape 35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3" name="Shape 35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4" name="Shape 35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55" name="Shape 35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56" name="Shape 356"/>
                        <xdr:cNvGrpSpPr/>
                      </xdr:nvGrpSpPr>
                      <xdr:grpSpPr>
                        <a:xfrm>
                          <a:off x="1197890" y="8448798"/>
                          <a:ext cx="122695" cy="178592"/>
                          <a:chOff x="1202266" y="1125361"/>
                          <a:chExt cx="496712" cy="666750"/>
                        </a:xfrm>
                      </xdr:grpSpPr>
                      <xdr:grpSp>
                        <xdr:nvGrpSpPr>
                          <xdr:cNvPr id="357" name="Shape 357"/>
                          <xdr:cNvGrpSpPr/>
                        </xdr:nvGrpSpPr>
                        <xdr:grpSpPr>
                          <a:xfrm>
                            <a:off x="1202266" y="1125361"/>
                            <a:ext cx="496712" cy="666750"/>
                            <a:chOff x="1202266" y="1125361"/>
                            <a:chExt cx="496712" cy="666750"/>
                          </a:xfrm>
                        </xdr:grpSpPr>
                        <xdr:sp>
                          <xdr:nvSpPr>
                            <xdr:cNvPr id="358" name="Shape 35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9" name="Shape 35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0" name="Shape 36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1" name="Shape 36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2" name="Shape 36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3" name="Shape 36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64" name="Shape 36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65" name="Shape 365"/>
                      <xdr:cNvGrpSpPr/>
                    </xdr:nvGrpSpPr>
                    <xdr:grpSpPr>
                      <a:xfrm>
                        <a:off x="4626426" y="5182621"/>
                        <a:ext cx="505408" cy="182480"/>
                        <a:chOff x="829805" y="8448798"/>
                        <a:chExt cx="490780" cy="178592"/>
                      </a:xfrm>
                    </xdr:grpSpPr>
                    <xdr:grpSp>
                      <xdr:nvGrpSpPr>
                        <xdr:cNvPr id="366" name="Shape 366"/>
                        <xdr:cNvGrpSpPr/>
                      </xdr:nvGrpSpPr>
                      <xdr:grpSpPr>
                        <a:xfrm>
                          <a:off x="829805" y="8448798"/>
                          <a:ext cx="122695" cy="178592"/>
                          <a:chOff x="1202266" y="1125361"/>
                          <a:chExt cx="496712" cy="666750"/>
                        </a:xfrm>
                      </xdr:grpSpPr>
                      <xdr:grpSp>
                        <xdr:nvGrpSpPr>
                          <xdr:cNvPr id="367" name="Shape 367"/>
                          <xdr:cNvGrpSpPr/>
                        </xdr:nvGrpSpPr>
                        <xdr:grpSpPr>
                          <a:xfrm>
                            <a:off x="1202266" y="1125361"/>
                            <a:ext cx="496712" cy="666750"/>
                            <a:chOff x="1202266" y="1125361"/>
                            <a:chExt cx="496712" cy="666750"/>
                          </a:xfrm>
                        </xdr:grpSpPr>
                        <xdr:sp>
                          <xdr:nvSpPr>
                            <xdr:cNvPr id="368" name="Shape 36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9" name="Shape 36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0" name="Shape 37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1" name="Shape 37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2" name="Shape 37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3" name="Shape 37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74" name="Shape 37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75" name="Shape 375"/>
                        <xdr:cNvGrpSpPr/>
                      </xdr:nvGrpSpPr>
                      <xdr:grpSpPr>
                        <a:xfrm>
                          <a:off x="952500" y="8448798"/>
                          <a:ext cx="122695" cy="178592"/>
                          <a:chOff x="1202266" y="1125361"/>
                          <a:chExt cx="496712" cy="666750"/>
                        </a:xfrm>
                      </xdr:grpSpPr>
                      <xdr:grpSp>
                        <xdr:nvGrpSpPr>
                          <xdr:cNvPr id="376" name="Shape 376"/>
                          <xdr:cNvGrpSpPr/>
                        </xdr:nvGrpSpPr>
                        <xdr:grpSpPr>
                          <a:xfrm>
                            <a:off x="1202266" y="1125361"/>
                            <a:ext cx="496712" cy="666750"/>
                            <a:chOff x="1202266" y="1125361"/>
                            <a:chExt cx="496712" cy="666750"/>
                          </a:xfrm>
                        </xdr:grpSpPr>
                        <xdr:sp>
                          <xdr:nvSpPr>
                            <xdr:cNvPr id="377" name="Shape 37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8" name="Shape 37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9" name="Shape 37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0" name="Shape 38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1" name="Shape 38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2" name="Shape 38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83" name="Shape 38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84" name="Shape 384"/>
                        <xdr:cNvGrpSpPr/>
                      </xdr:nvGrpSpPr>
                      <xdr:grpSpPr>
                        <a:xfrm>
                          <a:off x="1075195" y="8448798"/>
                          <a:ext cx="122695" cy="178592"/>
                          <a:chOff x="1202266" y="1125361"/>
                          <a:chExt cx="496712" cy="666750"/>
                        </a:xfrm>
                      </xdr:grpSpPr>
                      <xdr:grpSp>
                        <xdr:nvGrpSpPr>
                          <xdr:cNvPr id="385" name="Shape 385"/>
                          <xdr:cNvGrpSpPr/>
                        </xdr:nvGrpSpPr>
                        <xdr:grpSpPr>
                          <a:xfrm>
                            <a:off x="1202266" y="1125361"/>
                            <a:ext cx="496712" cy="666750"/>
                            <a:chOff x="1202266" y="1125361"/>
                            <a:chExt cx="496712" cy="666750"/>
                          </a:xfrm>
                        </xdr:grpSpPr>
                        <xdr:sp>
                          <xdr:nvSpPr>
                            <xdr:cNvPr id="386" name="Shape 38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7" name="Shape 38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8" name="Shape 38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9" name="Shape 38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0" name="Shape 39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1" name="Shape 39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92" name="Shape 39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93" name="Shape 393"/>
                        <xdr:cNvGrpSpPr/>
                      </xdr:nvGrpSpPr>
                      <xdr:grpSpPr>
                        <a:xfrm>
                          <a:off x="1197890" y="8448798"/>
                          <a:ext cx="122695" cy="178592"/>
                          <a:chOff x="1202266" y="1125361"/>
                          <a:chExt cx="496712" cy="666750"/>
                        </a:xfrm>
                      </xdr:grpSpPr>
                      <xdr:grpSp>
                        <xdr:nvGrpSpPr>
                          <xdr:cNvPr id="394" name="Shape 394"/>
                          <xdr:cNvGrpSpPr/>
                        </xdr:nvGrpSpPr>
                        <xdr:grpSpPr>
                          <a:xfrm>
                            <a:off x="1202266" y="1125361"/>
                            <a:ext cx="496712" cy="666750"/>
                            <a:chOff x="1202266" y="1125361"/>
                            <a:chExt cx="496712" cy="666750"/>
                          </a:xfrm>
                        </xdr:grpSpPr>
                        <xdr:sp>
                          <xdr:nvSpPr>
                            <xdr:cNvPr id="395" name="Shape 39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6" name="Shape 39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7" name="Shape 39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8" name="Shape 39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9" name="Shape 39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0" name="Shape 40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01" name="Shape 40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02" name="Shape 402"/>
                      <xdr:cNvGrpSpPr/>
                    </xdr:nvGrpSpPr>
                    <xdr:grpSpPr>
                      <a:xfrm>
                        <a:off x="5258186" y="5182621"/>
                        <a:ext cx="505408" cy="182480"/>
                        <a:chOff x="829805" y="8448798"/>
                        <a:chExt cx="490780" cy="178592"/>
                      </a:xfrm>
                    </xdr:grpSpPr>
                    <xdr:grpSp>
                      <xdr:nvGrpSpPr>
                        <xdr:cNvPr id="403" name="Shape 403"/>
                        <xdr:cNvGrpSpPr/>
                      </xdr:nvGrpSpPr>
                      <xdr:grpSpPr>
                        <a:xfrm>
                          <a:off x="829805" y="8448798"/>
                          <a:ext cx="122695" cy="178592"/>
                          <a:chOff x="1202266" y="1125361"/>
                          <a:chExt cx="496712" cy="666750"/>
                        </a:xfrm>
                      </xdr:grpSpPr>
                      <xdr:grpSp>
                        <xdr:nvGrpSpPr>
                          <xdr:cNvPr id="404" name="Shape 404"/>
                          <xdr:cNvGrpSpPr/>
                        </xdr:nvGrpSpPr>
                        <xdr:grpSpPr>
                          <a:xfrm>
                            <a:off x="1202266" y="1125361"/>
                            <a:ext cx="496712" cy="666750"/>
                            <a:chOff x="1202266" y="1125361"/>
                            <a:chExt cx="496712" cy="666750"/>
                          </a:xfrm>
                        </xdr:grpSpPr>
                        <xdr:sp>
                          <xdr:nvSpPr>
                            <xdr:cNvPr id="405" name="Shape 40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6" name="Shape 40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7" name="Shape 40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8" name="Shape 40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9" name="Shape 40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0" name="Shape 41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11" name="Shape 41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12" name="Shape 412"/>
                        <xdr:cNvGrpSpPr/>
                      </xdr:nvGrpSpPr>
                      <xdr:grpSpPr>
                        <a:xfrm>
                          <a:off x="952500" y="8448798"/>
                          <a:ext cx="122695" cy="178592"/>
                          <a:chOff x="1202266" y="1125361"/>
                          <a:chExt cx="496712" cy="666750"/>
                        </a:xfrm>
                      </xdr:grpSpPr>
                      <xdr:grpSp>
                        <xdr:nvGrpSpPr>
                          <xdr:cNvPr id="413" name="Shape 413"/>
                          <xdr:cNvGrpSpPr/>
                        </xdr:nvGrpSpPr>
                        <xdr:grpSpPr>
                          <a:xfrm>
                            <a:off x="1202266" y="1125361"/>
                            <a:ext cx="496712" cy="666750"/>
                            <a:chOff x="1202266" y="1125361"/>
                            <a:chExt cx="496712" cy="666750"/>
                          </a:xfrm>
                        </xdr:grpSpPr>
                        <xdr:sp>
                          <xdr:nvSpPr>
                            <xdr:cNvPr id="414" name="Shape 41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5" name="Shape 41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6" name="Shape 41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7" name="Shape 41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8" name="Shape 41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9" name="Shape 41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20" name="Shape 42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21" name="Shape 421"/>
                        <xdr:cNvGrpSpPr/>
                      </xdr:nvGrpSpPr>
                      <xdr:grpSpPr>
                        <a:xfrm>
                          <a:off x="1075195" y="8448798"/>
                          <a:ext cx="122695" cy="178592"/>
                          <a:chOff x="1202266" y="1125361"/>
                          <a:chExt cx="496712" cy="666750"/>
                        </a:xfrm>
                      </xdr:grpSpPr>
                      <xdr:grpSp>
                        <xdr:nvGrpSpPr>
                          <xdr:cNvPr id="422" name="Shape 422"/>
                          <xdr:cNvGrpSpPr/>
                        </xdr:nvGrpSpPr>
                        <xdr:grpSpPr>
                          <a:xfrm>
                            <a:off x="1202266" y="1125361"/>
                            <a:ext cx="496712" cy="666750"/>
                            <a:chOff x="1202266" y="1125361"/>
                            <a:chExt cx="496712" cy="666750"/>
                          </a:xfrm>
                        </xdr:grpSpPr>
                        <xdr:sp>
                          <xdr:nvSpPr>
                            <xdr:cNvPr id="423" name="Shape 42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4" name="Shape 42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5" name="Shape 42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6" name="Shape 42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7" name="Shape 42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8" name="Shape 42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29" name="Shape 42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30" name="Shape 430"/>
                        <xdr:cNvGrpSpPr/>
                      </xdr:nvGrpSpPr>
                      <xdr:grpSpPr>
                        <a:xfrm>
                          <a:off x="1197890" y="8448798"/>
                          <a:ext cx="122695" cy="178592"/>
                          <a:chOff x="1202266" y="1125361"/>
                          <a:chExt cx="496712" cy="666750"/>
                        </a:xfrm>
                      </xdr:grpSpPr>
                      <xdr:grpSp>
                        <xdr:nvGrpSpPr>
                          <xdr:cNvPr id="431" name="Shape 431"/>
                          <xdr:cNvGrpSpPr/>
                        </xdr:nvGrpSpPr>
                        <xdr:grpSpPr>
                          <a:xfrm>
                            <a:off x="1202266" y="1125361"/>
                            <a:ext cx="496712" cy="666750"/>
                            <a:chOff x="1202266" y="1125361"/>
                            <a:chExt cx="496712" cy="666750"/>
                          </a:xfrm>
                        </xdr:grpSpPr>
                        <xdr:sp>
                          <xdr:nvSpPr>
                            <xdr:cNvPr id="432" name="Shape 43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3" name="Shape 43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4" name="Shape 43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5" name="Shape 43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6" name="Shape 43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7" name="Shape 43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38" name="Shape 43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39" name="Shape 439"/>
                      <xdr:cNvGrpSpPr/>
                    </xdr:nvGrpSpPr>
                    <xdr:grpSpPr>
                      <a:xfrm>
                        <a:off x="5889947" y="5182621"/>
                        <a:ext cx="505408" cy="182480"/>
                        <a:chOff x="829805" y="8448798"/>
                        <a:chExt cx="490780" cy="178592"/>
                      </a:xfrm>
                    </xdr:grpSpPr>
                    <xdr:grpSp>
                      <xdr:nvGrpSpPr>
                        <xdr:cNvPr id="440" name="Shape 440"/>
                        <xdr:cNvGrpSpPr/>
                      </xdr:nvGrpSpPr>
                      <xdr:grpSpPr>
                        <a:xfrm>
                          <a:off x="829805" y="8448798"/>
                          <a:ext cx="122695" cy="178592"/>
                          <a:chOff x="1202266" y="1125361"/>
                          <a:chExt cx="496712" cy="666750"/>
                        </a:xfrm>
                      </xdr:grpSpPr>
                      <xdr:grpSp>
                        <xdr:nvGrpSpPr>
                          <xdr:cNvPr id="441" name="Shape 441"/>
                          <xdr:cNvGrpSpPr/>
                        </xdr:nvGrpSpPr>
                        <xdr:grpSpPr>
                          <a:xfrm>
                            <a:off x="1202266" y="1125361"/>
                            <a:ext cx="496712" cy="666750"/>
                            <a:chOff x="1202266" y="1125361"/>
                            <a:chExt cx="496712" cy="666750"/>
                          </a:xfrm>
                        </xdr:grpSpPr>
                        <xdr:sp>
                          <xdr:nvSpPr>
                            <xdr:cNvPr id="442" name="Shape 4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3" name="Shape 4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4" name="Shape 4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5" name="Shape 4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6" name="Shape 4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7" name="Shape 4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48" name="Shape 44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49" name="Shape 449"/>
                        <xdr:cNvGrpSpPr/>
                      </xdr:nvGrpSpPr>
                      <xdr:grpSpPr>
                        <a:xfrm>
                          <a:off x="952500" y="8448798"/>
                          <a:ext cx="122695" cy="178592"/>
                          <a:chOff x="1202266" y="1125361"/>
                          <a:chExt cx="496712" cy="666750"/>
                        </a:xfrm>
                      </xdr:grpSpPr>
                      <xdr:grpSp>
                        <xdr:nvGrpSpPr>
                          <xdr:cNvPr id="450" name="Shape 450"/>
                          <xdr:cNvGrpSpPr/>
                        </xdr:nvGrpSpPr>
                        <xdr:grpSpPr>
                          <a:xfrm>
                            <a:off x="1202266" y="1125361"/>
                            <a:ext cx="496712" cy="666750"/>
                            <a:chOff x="1202266" y="1125361"/>
                            <a:chExt cx="496712" cy="666750"/>
                          </a:xfrm>
                        </xdr:grpSpPr>
                        <xdr:sp>
                          <xdr:nvSpPr>
                            <xdr:cNvPr id="451" name="Shape 4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2" name="Shape 4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3" name="Shape 4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4" name="Shape 4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5" name="Shape 4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6" name="Shape 4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57" name="Shape 45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58" name="Shape 458"/>
                        <xdr:cNvGrpSpPr/>
                      </xdr:nvGrpSpPr>
                      <xdr:grpSpPr>
                        <a:xfrm>
                          <a:off x="1075195" y="8448798"/>
                          <a:ext cx="122695" cy="178592"/>
                          <a:chOff x="1202266" y="1125361"/>
                          <a:chExt cx="496712" cy="666750"/>
                        </a:xfrm>
                      </xdr:grpSpPr>
                      <xdr:grpSp>
                        <xdr:nvGrpSpPr>
                          <xdr:cNvPr id="459" name="Shape 459"/>
                          <xdr:cNvGrpSpPr/>
                        </xdr:nvGrpSpPr>
                        <xdr:grpSpPr>
                          <a:xfrm>
                            <a:off x="1202266" y="1125361"/>
                            <a:ext cx="496712" cy="666750"/>
                            <a:chOff x="1202266" y="1125361"/>
                            <a:chExt cx="496712" cy="666750"/>
                          </a:xfrm>
                        </xdr:grpSpPr>
                        <xdr:sp>
                          <xdr:nvSpPr>
                            <xdr:cNvPr id="460" name="Shape 46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1" name="Shape 46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2" name="Shape 46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3" name="Shape 46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4" name="Shape 46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5" name="Shape 46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66" name="Shape 46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67" name="Shape 467"/>
                        <xdr:cNvGrpSpPr/>
                      </xdr:nvGrpSpPr>
                      <xdr:grpSpPr>
                        <a:xfrm>
                          <a:off x="1197890" y="8448798"/>
                          <a:ext cx="122695" cy="178592"/>
                          <a:chOff x="1202266" y="1125361"/>
                          <a:chExt cx="496712" cy="666750"/>
                        </a:xfrm>
                      </xdr:grpSpPr>
                      <xdr:grpSp>
                        <xdr:nvGrpSpPr>
                          <xdr:cNvPr id="468" name="Shape 468"/>
                          <xdr:cNvGrpSpPr/>
                        </xdr:nvGrpSpPr>
                        <xdr:grpSpPr>
                          <a:xfrm>
                            <a:off x="1202266" y="1125361"/>
                            <a:ext cx="496712" cy="666750"/>
                            <a:chOff x="1202266" y="1125361"/>
                            <a:chExt cx="496712" cy="666750"/>
                          </a:xfrm>
                        </xdr:grpSpPr>
                        <xdr:sp>
                          <xdr:nvSpPr>
                            <xdr:cNvPr id="469" name="Shape 46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0" name="Shape 47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1" name="Shape 47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2" name="Shape 47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3" name="Shape 47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4" name="Shape 47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75" name="Shape 47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76" name="Shape 476"/>
                      <xdr:cNvGrpSpPr/>
                    </xdr:nvGrpSpPr>
                    <xdr:grpSpPr>
                      <a:xfrm>
                        <a:off x="6521706" y="5182621"/>
                        <a:ext cx="505408" cy="182480"/>
                        <a:chOff x="829805" y="8448798"/>
                        <a:chExt cx="490780" cy="178592"/>
                      </a:xfrm>
                    </xdr:grpSpPr>
                    <xdr:grpSp>
                      <xdr:nvGrpSpPr>
                        <xdr:cNvPr id="477" name="Shape 477"/>
                        <xdr:cNvGrpSpPr/>
                      </xdr:nvGrpSpPr>
                      <xdr:grpSpPr>
                        <a:xfrm>
                          <a:off x="829805" y="8448798"/>
                          <a:ext cx="122695" cy="178592"/>
                          <a:chOff x="1202266" y="1125361"/>
                          <a:chExt cx="496712" cy="666750"/>
                        </a:xfrm>
                      </xdr:grpSpPr>
                      <xdr:grpSp>
                        <xdr:nvGrpSpPr>
                          <xdr:cNvPr id="478" name="Shape 478"/>
                          <xdr:cNvGrpSpPr/>
                        </xdr:nvGrpSpPr>
                        <xdr:grpSpPr>
                          <a:xfrm>
                            <a:off x="1202266" y="1125361"/>
                            <a:ext cx="496712" cy="666750"/>
                            <a:chOff x="1202266" y="1125361"/>
                            <a:chExt cx="496712" cy="666750"/>
                          </a:xfrm>
                        </xdr:grpSpPr>
                        <xdr:sp>
                          <xdr:nvSpPr>
                            <xdr:cNvPr id="479" name="Shape 4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0" name="Shape 4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1" name="Shape 4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2" name="Shape 4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3" name="Shape 4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4" name="Shape 4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85" name="Shape 48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86" name="Shape 486"/>
                        <xdr:cNvGrpSpPr/>
                      </xdr:nvGrpSpPr>
                      <xdr:grpSpPr>
                        <a:xfrm>
                          <a:off x="952500" y="8448798"/>
                          <a:ext cx="122695" cy="178592"/>
                          <a:chOff x="1202266" y="1125361"/>
                          <a:chExt cx="496712" cy="666750"/>
                        </a:xfrm>
                      </xdr:grpSpPr>
                      <xdr:grpSp>
                        <xdr:nvGrpSpPr>
                          <xdr:cNvPr id="487" name="Shape 487"/>
                          <xdr:cNvGrpSpPr/>
                        </xdr:nvGrpSpPr>
                        <xdr:grpSpPr>
                          <a:xfrm>
                            <a:off x="1202266" y="1125361"/>
                            <a:ext cx="496712" cy="666750"/>
                            <a:chOff x="1202266" y="1125361"/>
                            <a:chExt cx="496712" cy="666750"/>
                          </a:xfrm>
                        </xdr:grpSpPr>
                        <xdr:sp>
                          <xdr:nvSpPr>
                            <xdr:cNvPr id="488" name="Shape 4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9" name="Shape 4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0" name="Shape 4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1" name="Shape 4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2" name="Shape 4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3" name="Shape 4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94" name="Shape 49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95" name="Shape 495"/>
                        <xdr:cNvGrpSpPr/>
                      </xdr:nvGrpSpPr>
                      <xdr:grpSpPr>
                        <a:xfrm>
                          <a:off x="1075195" y="8448798"/>
                          <a:ext cx="122695" cy="178592"/>
                          <a:chOff x="1202266" y="1125361"/>
                          <a:chExt cx="496712" cy="666750"/>
                        </a:xfrm>
                      </xdr:grpSpPr>
                      <xdr:grpSp>
                        <xdr:nvGrpSpPr>
                          <xdr:cNvPr id="496" name="Shape 496"/>
                          <xdr:cNvGrpSpPr/>
                        </xdr:nvGrpSpPr>
                        <xdr:grpSpPr>
                          <a:xfrm>
                            <a:off x="1202266" y="1125361"/>
                            <a:ext cx="496712" cy="666750"/>
                            <a:chOff x="1202266" y="1125361"/>
                            <a:chExt cx="496712" cy="666750"/>
                          </a:xfrm>
                        </xdr:grpSpPr>
                        <xdr:sp>
                          <xdr:nvSpPr>
                            <xdr:cNvPr id="497" name="Shape 49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8" name="Shape 49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9" name="Shape 49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0" name="Shape 50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1" name="Shape 50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2" name="Shape 50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03" name="Shape 50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04" name="Shape 504"/>
                        <xdr:cNvGrpSpPr/>
                      </xdr:nvGrpSpPr>
                      <xdr:grpSpPr>
                        <a:xfrm>
                          <a:off x="1197890" y="8448798"/>
                          <a:ext cx="122695" cy="178592"/>
                          <a:chOff x="1202266" y="1125361"/>
                          <a:chExt cx="496712" cy="666750"/>
                        </a:xfrm>
                      </xdr:grpSpPr>
                      <xdr:grpSp>
                        <xdr:nvGrpSpPr>
                          <xdr:cNvPr id="505" name="Shape 505"/>
                          <xdr:cNvGrpSpPr/>
                        </xdr:nvGrpSpPr>
                        <xdr:grpSpPr>
                          <a:xfrm>
                            <a:off x="1202266" y="1125361"/>
                            <a:ext cx="496712" cy="666750"/>
                            <a:chOff x="1202266" y="1125361"/>
                            <a:chExt cx="496712" cy="666750"/>
                          </a:xfrm>
                        </xdr:grpSpPr>
                        <xdr:sp>
                          <xdr:nvSpPr>
                            <xdr:cNvPr id="506" name="Shape 50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7" name="Shape 50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8" name="Shape 50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9" name="Shape 50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0" name="Shape 51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1" name="Shape 51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12" name="Shape 51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13" name="Shape 513"/>
                      <xdr:cNvGrpSpPr/>
                    </xdr:nvGrpSpPr>
                    <xdr:grpSpPr>
                      <a:xfrm>
                        <a:off x="7153467" y="5182621"/>
                        <a:ext cx="505408" cy="182480"/>
                        <a:chOff x="829805" y="8448798"/>
                        <a:chExt cx="490780" cy="178592"/>
                      </a:xfrm>
                    </xdr:grpSpPr>
                    <xdr:grpSp>
                      <xdr:nvGrpSpPr>
                        <xdr:cNvPr id="514" name="Shape 514"/>
                        <xdr:cNvGrpSpPr/>
                      </xdr:nvGrpSpPr>
                      <xdr:grpSpPr>
                        <a:xfrm>
                          <a:off x="829805" y="8448798"/>
                          <a:ext cx="122695" cy="178592"/>
                          <a:chOff x="1202266" y="1125361"/>
                          <a:chExt cx="496712" cy="666750"/>
                        </a:xfrm>
                      </xdr:grpSpPr>
                      <xdr:grpSp>
                        <xdr:nvGrpSpPr>
                          <xdr:cNvPr id="515" name="Shape 515"/>
                          <xdr:cNvGrpSpPr/>
                        </xdr:nvGrpSpPr>
                        <xdr:grpSpPr>
                          <a:xfrm>
                            <a:off x="1202266" y="1125361"/>
                            <a:ext cx="496712" cy="666750"/>
                            <a:chOff x="1202266" y="1125361"/>
                            <a:chExt cx="496712" cy="666750"/>
                          </a:xfrm>
                        </xdr:grpSpPr>
                        <xdr:sp>
                          <xdr:nvSpPr>
                            <xdr:cNvPr id="516" name="Shape 5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7" name="Shape 5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8" name="Shape 5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9" name="Shape 5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0" name="Shape 5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1" name="Shape 5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22" name="Shape 52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23" name="Shape 523"/>
                        <xdr:cNvGrpSpPr/>
                      </xdr:nvGrpSpPr>
                      <xdr:grpSpPr>
                        <a:xfrm>
                          <a:off x="952500" y="8448798"/>
                          <a:ext cx="122695" cy="178592"/>
                          <a:chOff x="1202266" y="1125361"/>
                          <a:chExt cx="496712" cy="666750"/>
                        </a:xfrm>
                      </xdr:grpSpPr>
                      <xdr:grpSp>
                        <xdr:nvGrpSpPr>
                          <xdr:cNvPr id="524" name="Shape 524"/>
                          <xdr:cNvGrpSpPr/>
                        </xdr:nvGrpSpPr>
                        <xdr:grpSpPr>
                          <a:xfrm>
                            <a:off x="1202266" y="1125361"/>
                            <a:ext cx="496712" cy="666750"/>
                            <a:chOff x="1202266" y="1125361"/>
                            <a:chExt cx="496712" cy="666750"/>
                          </a:xfrm>
                        </xdr:grpSpPr>
                        <xdr:sp>
                          <xdr:nvSpPr>
                            <xdr:cNvPr id="525" name="Shape 5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6" name="Shape 5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7" name="Shape 5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8" name="Shape 5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9" name="Shape 5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0" name="Shape 5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31" name="Shape 53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32" name="Shape 532"/>
                        <xdr:cNvGrpSpPr/>
                      </xdr:nvGrpSpPr>
                      <xdr:grpSpPr>
                        <a:xfrm>
                          <a:off x="1075195" y="8448798"/>
                          <a:ext cx="122695" cy="178592"/>
                          <a:chOff x="1202266" y="1125361"/>
                          <a:chExt cx="496712" cy="666750"/>
                        </a:xfrm>
                      </xdr:grpSpPr>
                      <xdr:grpSp>
                        <xdr:nvGrpSpPr>
                          <xdr:cNvPr id="533" name="Shape 533"/>
                          <xdr:cNvGrpSpPr/>
                        </xdr:nvGrpSpPr>
                        <xdr:grpSpPr>
                          <a:xfrm>
                            <a:off x="1202266" y="1125361"/>
                            <a:ext cx="496712" cy="666750"/>
                            <a:chOff x="1202266" y="1125361"/>
                            <a:chExt cx="496712" cy="666750"/>
                          </a:xfrm>
                        </xdr:grpSpPr>
                        <xdr:sp>
                          <xdr:nvSpPr>
                            <xdr:cNvPr id="534" name="Shape 53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5" name="Shape 53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6" name="Shape 53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7" name="Shape 53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8" name="Shape 53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9" name="Shape 53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40" name="Shape 54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41" name="Shape 541"/>
                        <xdr:cNvGrpSpPr/>
                      </xdr:nvGrpSpPr>
                      <xdr:grpSpPr>
                        <a:xfrm>
                          <a:off x="1197890" y="8448798"/>
                          <a:ext cx="122695" cy="178592"/>
                          <a:chOff x="1202266" y="1125361"/>
                          <a:chExt cx="496712" cy="666750"/>
                        </a:xfrm>
                      </xdr:grpSpPr>
                      <xdr:grpSp>
                        <xdr:nvGrpSpPr>
                          <xdr:cNvPr id="542" name="Shape 542"/>
                          <xdr:cNvGrpSpPr/>
                        </xdr:nvGrpSpPr>
                        <xdr:grpSpPr>
                          <a:xfrm>
                            <a:off x="1202266" y="1125361"/>
                            <a:ext cx="496712" cy="666750"/>
                            <a:chOff x="1202266" y="1125361"/>
                            <a:chExt cx="496712" cy="666750"/>
                          </a:xfrm>
                        </xdr:grpSpPr>
                        <xdr:sp>
                          <xdr:nvSpPr>
                            <xdr:cNvPr id="543" name="Shape 54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4" name="Shape 54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5" name="Shape 54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6" name="Shape 54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7" name="Shape 54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8" name="Shape 54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49" name="Shape 54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50" name="Shape 550"/>
                      <xdr:cNvGrpSpPr/>
                    </xdr:nvGrpSpPr>
                    <xdr:grpSpPr>
                      <a:xfrm>
                        <a:off x="7785227" y="5182621"/>
                        <a:ext cx="505408" cy="182480"/>
                        <a:chOff x="829805" y="8448798"/>
                        <a:chExt cx="490780" cy="178592"/>
                      </a:xfrm>
                    </xdr:grpSpPr>
                    <xdr:grpSp>
                      <xdr:nvGrpSpPr>
                        <xdr:cNvPr id="551" name="Shape 551"/>
                        <xdr:cNvGrpSpPr/>
                      </xdr:nvGrpSpPr>
                      <xdr:grpSpPr>
                        <a:xfrm>
                          <a:off x="829805" y="8448798"/>
                          <a:ext cx="122695" cy="178592"/>
                          <a:chOff x="1202266" y="1125361"/>
                          <a:chExt cx="496712" cy="666750"/>
                        </a:xfrm>
                      </xdr:grpSpPr>
                      <xdr:grpSp>
                        <xdr:nvGrpSpPr>
                          <xdr:cNvPr id="552" name="Shape 552"/>
                          <xdr:cNvGrpSpPr/>
                        </xdr:nvGrpSpPr>
                        <xdr:grpSpPr>
                          <a:xfrm>
                            <a:off x="1202266" y="1125361"/>
                            <a:ext cx="496712" cy="666750"/>
                            <a:chOff x="1202266" y="1125361"/>
                            <a:chExt cx="496712" cy="666750"/>
                          </a:xfrm>
                        </xdr:grpSpPr>
                        <xdr:sp>
                          <xdr:nvSpPr>
                            <xdr:cNvPr id="553" name="Shape 5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4" name="Shape 5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5" name="Shape 5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6" name="Shape 5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7" name="Shape 5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8" name="Shape 5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59" name="Shape 55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60" name="Shape 560"/>
                        <xdr:cNvGrpSpPr/>
                      </xdr:nvGrpSpPr>
                      <xdr:grpSpPr>
                        <a:xfrm>
                          <a:off x="952500" y="8448798"/>
                          <a:ext cx="122695" cy="178592"/>
                          <a:chOff x="1202266" y="1125361"/>
                          <a:chExt cx="496712" cy="666750"/>
                        </a:xfrm>
                      </xdr:grpSpPr>
                      <xdr:grpSp>
                        <xdr:nvGrpSpPr>
                          <xdr:cNvPr id="561" name="Shape 561"/>
                          <xdr:cNvGrpSpPr/>
                        </xdr:nvGrpSpPr>
                        <xdr:grpSpPr>
                          <a:xfrm>
                            <a:off x="1202266" y="1125361"/>
                            <a:ext cx="496712" cy="666750"/>
                            <a:chOff x="1202266" y="1125361"/>
                            <a:chExt cx="496712" cy="666750"/>
                          </a:xfrm>
                        </xdr:grpSpPr>
                        <xdr:sp>
                          <xdr:nvSpPr>
                            <xdr:cNvPr id="562" name="Shape 5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3" name="Shape 5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4" name="Shape 5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5" name="Shape 5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6" name="Shape 5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7" name="Shape 5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68" name="Shape 56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69" name="Shape 569"/>
                        <xdr:cNvGrpSpPr/>
                      </xdr:nvGrpSpPr>
                      <xdr:grpSpPr>
                        <a:xfrm>
                          <a:off x="1075195" y="8448798"/>
                          <a:ext cx="122695" cy="178592"/>
                          <a:chOff x="1202266" y="1125361"/>
                          <a:chExt cx="496712" cy="666750"/>
                        </a:xfrm>
                      </xdr:grpSpPr>
                      <xdr:grpSp>
                        <xdr:nvGrpSpPr>
                          <xdr:cNvPr id="570" name="Shape 570"/>
                          <xdr:cNvGrpSpPr/>
                        </xdr:nvGrpSpPr>
                        <xdr:grpSpPr>
                          <a:xfrm>
                            <a:off x="1202266" y="1125361"/>
                            <a:ext cx="496712" cy="666750"/>
                            <a:chOff x="1202266" y="1125361"/>
                            <a:chExt cx="496712" cy="666750"/>
                          </a:xfrm>
                        </xdr:grpSpPr>
                        <xdr:sp>
                          <xdr:nvSpPr>
                            <xdr:cNvPr id="571" name="Shape 57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2" name="Shape 57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3" name="Shape 57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4" name="Shape 57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5" name="Shape 57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6" name="Shape 57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77" name="Shape 57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78" name="Shape 578"/>
                        <xdr:cNvGrpSpPr/>
                      </xdr:nvGrpSpPr>
                      <xdr:grpSpPr>
                        <a:xfrm>
                          <a:off x="1197890" y="8448798"/>
                          <a:ext cx="122695" cy="178592"/>
                          <a:chOff x="1202266" y="1125361"/>
                          <a:chExt cx="496712" cy="666750"/>
                        </a:xfrm>
                      </xdr:grpSpPr>
                      <xdr:grpSp>
                        <xdr:nvGrpSpPr>
                          <xdr:cNvPr id="579" name="Shape 579"/>
                          <xdr:cNvGrpSpPr/>
                        </xdr:nvGrpSpPr>
                        <xdr:grpSpPr>
                          <a:xfrm>
                            <a:off x="1202266" y="1125361"/>
                            <a:ext cx="496712" cy="666750"/>
                            <a:chOff x="1202266" y="1125361"/>
                            <a:chExt cx="496712" cy="666750"/>
                          </a:xfrm>
                        </xdr:grpSpPr>
                        <xdr:sp>
                          <xdr:nvSpPr>
                            <xdr:cNvPr id="580" name="Shape 58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1" name="Shape 58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2" name="Shape 58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3" name="Shape 58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4" name="Shape 58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5" name="Shape 58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86" name="Shape 58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87" name="Shape 587"/>
                      <xdr:cNvGrpSpPr/>
                    </xdr:nvGrpSpPr>
                    <xdr:grpSpPr>
                      <a:xfrm>
                        <a:off x="8416987" y="5182621"/>
                        <a:ext cx="505408" cy="182480"/>
                        <a:chOff x="829805" y="8448798"/>
                        <a:chExt cx="490780" cy="178592"/>
                      </a:xfrm>
                    </xdr:grpSpPr>
                    <xdr:grpSp>
                      <xdr:nvGrpSpPr>
                        <xdr:cNvPr id="588" name="Shape 588"/>
                        <xdr:cNvGrpSpPr/>
                      </xdr:nvGrpSpPr>
                      <xdr:grpSpPr>
                        <a:xfrm>
                          <a:off x="829805" y="8448798"/>
                          <a:ext cx="122695" cy="178592"/>
                          <a:chOff x="1202266" y="1125361"/>
                          <a:chExt cx="496712" cy="666750"/>
                        </a:xfrm>
                      </xdr:grpSpPr>
                      <xdr:grpSp>
                        <xdr:nvGrpSpPr>
                          <xdr:cNvPr id="589" name="Shape 589"/>
                          <xdr:cNvGrpSpPr/>
                        </xdr:nvGrpSpPr>
                        <xdr:grpSpPr>
                          <a:xfrm>
                            <a:off x="1202266" y="1125361"/>
                            <a:ext cx="496712" cy="666750"/>
                            <a:chOff x="1202266" y="1125361"/>
                            <a:chExt cx="496712" cy="666750"/>
                          </a:xfrm>
                        </xdr:grpSpPr>
                        <xdr:sp>
                          <xdr:nvSpPr>
                            <xdr:cNvPr id="590" name="Shape 59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1" name="Shape 59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2" name="Shape 59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3" name="Shape 59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4" name="Shape 59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5" name="Shape 59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96" name="Shape 59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97" name="Shape 597"/>
                        <xdr:cNvGrpSpPr/>
                      </xdr:nvGrpSpPr>
                      <xdr:grpSpPr>
                        <a:xfrm>
                          <a:off x="952500" y="8448798"/>
                          <a:ext cx="122695" cy="178592"/>
                          <a:chOff x="1202266" y="1125361"/>
                          <a:chExt cx="496712" cy="666750"/>
                        </a:xfrm>
                      </xdr:grpSpPr>
                      <xdr:grpSp>
                        <xdr:nvGrpSpPr>
                          <xdr:cNvPr id="598" name="Shape 598"/>
                          <xdr:cNvGrpSpPr/>
                        </xdr:nvGrpSpPr>
                        <xdr:grpSpPr>
                          <a:xfrm>
                            <a:off x="1202266" y="1125361"/>
                            <a:ext cx="496712" cy="666750"/>
                            <a:chOff x="1202266" y="1125361"/>
                            <a:chExt cx="496712" cy="666750"/>
                          </a:xfrm>
                        </xdr:grpSpPr>
                        <xdr:sp>
                          <xdr:nvSpPr>
                            <xdr:cNvPr id="599" name="Shape 59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0" name="Shape 60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1" name="Shape 60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2" name="Shape 60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3" name="Shape 60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4" name="Shape 60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05" name="Shape 60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06" name="Shape 606"/>
                        <xdr:cNvGrpSpPr/>
                      </xdr:nvGrpSpPr>
                      <xdr:grpSpPr>
                        <a:xfrm>
                          <a:off x="1075195" y="8448798"/>
                          <a:ext cx="122695" cy="178592"/>
                          <a:chOff x="1202266" y="1125361"/>
                          <a:chExt cx="496712" cy="666750"/>
                        </a:xfrm>
                      </xdr:grpSpPr>
                      <xdr:grpSp>
                        <xdr:nvGrpSpPr>
                          <xdr:cNvPr id="607" name="Shape 607"/>
                          <xdr:cNvGrpSpPr/>
                        </xdr:nvGrpSpPr>
                        <xdr:grpSpPr>
                          <a:xfrm>
                            <a:off x="1202266" y="1125361"/>
                            <a:ext cx="496712" cy="666750"/>
                            <a:chOff x="1202266" y="1125361"/>
                            <a:chExt cx="496712" cy="666750"/>
                          </a:xfrm>
                        </xdr:grpSpPr>
                        <xdr:sp>
                          <xdr:nvSpPr>
                            <xdr:cNvPr id="608" name="Shape 60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9" name="Shape 60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0" name="Shape 61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1" name="Shape 61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2" name="Shape 61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3" name="Shape 61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14" name="Shape 61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15" name="Shape 615"/>
                        <xdr:cNvGrpSpPr/>
                      </xdr:nvGrpSpPr>
                      <xdr:grpSpPr>
                        <a:xfrm>
                          <a:off x="1197890" y="8448798"/>
                          <a:ext cx="122695" cy="178592"/>
                          <a:chOff x="1202266" y="1125361"/>
                          <a:chExt cx="496712" cy="666750"/>
                        </a:xfrm>
                      </xdr:grpSpPr>
                      <xdr:grpSp>
                        <xdr:nvGrpSpPr>
                          <xdr:cNvPr id="616" name="Shape 616"/>
                          <xdr:cNvGrpSpPr/>
                        </xdr:nvGrpSpPr>
                        <xdr:grpSpPr>
                          <a:xfrm>
                            <a:off x="1202266" y="1125361"/>
                            <a:ext cx="496712" cy="666750"/>
                            <a:chOff x="1202266" y="1125361"/>
                            <a:chExt cx="496712" cy="666750"/>
                          </a:xfrm>
                        </xdr:grpSpPr>
                        <xdr:sp>
                          <xdr:nvSpPr>
                            <xdr:cNvPr id="617" name="Shape 61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8" name="Shape 61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9" name="Shape 61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0" name="Shape 62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1" name="Shape 62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2" name="Shape 62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23" name="Shape 62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624" name="Shape 624"/>
                    <xdr:cNvSpPr/>
                  </xdr:nvSpPr>
                  <xdr:spPr>
                    <a:xfrm>
                      <a:off x="847725" y="52959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2</xdr:col>
      <xdr:colOff>95250</xdr:colOff>
      <xdr:row>42</xdr:row>
      <xdr:rowOff>19050</xdr:rowOff>
    </xdr:from>
    <xdr:ext cx="7905750" cy="247650"/>
    <xdr:grpSp>
      <xdr:nvGrpSpPr>
        <xdr:cNvPr id="2" name="Shape 2"/>
        <xdr:cNvGrpSpPr/>
      </xdr:nvGrpSpPr>
      <xdr:grpSpPr>
        <a:xfrm>
          <a:off x="1393125" y="3656175"/>
          <a:ext cx="7905750" cy="247650"/>
          <a:chOff x="1393125" y="3656175"/>
          <a:chExt cx="7905750" cy="247650"/>
        </a:xfrm>
      </xdr:grpSpPr>
      <xdr:grpSp>
        <xdr:nvGrpSpPr>
          <xdr:cNvPr id="626" name="Shape 626"/>
          <xdr:cNvGrpSpPr/>
        </xdr:nvGrpSpPr>
        <xdr:grpSpPr>
          <a:xfrm>
            <a:off x="1393125" y="3656175"/>
            <a:ext cx="79057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27" name="Shape 627"/>
            <xdr:cNvGrpSpPr/>
          </xdr:nvGrpSpPr>
          <xdr:grpSpPr>
            <a:xfrm>
              <a:off x="1393125" y="3656175"/>
              <a:ext cx="7905750" cy="247650"/>
              <a:chOff x="1393125" y="3656175"/>
              <a:chExt cx="7905750" cy="247650"/>
            </a:xfrm>
          </xdr:grpSpPr>
          <xdr:sp>
            <xdr:nvSpPr>
              <xdr:cNvPr id="628" name="Shape 628"/>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29" name="Shape 629"/>
              <xdr:cNvGrpSpPr/>
            </xdr:nvGrpSpPr>
            <xdr:grpSpPr>
              <a:xfrm>
                <a:off x="1393125" y="3656175"/>
                <a:ext cx="7905750" cy="247650"/>
                <a:chOff x="1393125" y="3656175"/>
                <a:chExt cx="7905750" cy="247650"/>
              </a:xfrm>
            </xdr:grpSpPr>
            <xdr:sp>
              <xdr:nvSpPr>
                <xdr:cNvPr id="630" name="Shape 630"/>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1" name="Shape 631"/>
                <xdr:cNvGrpSpPr/>
              </xdr:nvGrpSpPr>
              <xdr:grpSpPr>
                <a:xfrm>
                  <a:off x="1393125" y="3656175"/>
                  <a:ext cx="7905750" cy="247650"/>
                  <a:chOff x="1393125" y="3656174"/>
                  <a:chExt cx="7905750" cy="247651"/>
                </a:xfrm>
              </xdr:grpSpPr>
              <xdr:sp>
                <xdr:nvSpPr>
                  <xdr:cNvPr id="632" name="Shape 632"/>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3" name="Shape 633"/>
                  <xdr:cNvGrpSpPr/>
                </xdr:nvGrpSpPr>
                <xdr:grpSpPr>
                  <a:xfrm>
                    <a:off x="1393125" y="3656174"/>
                    <a:ext cx="7905750" cy="247651"/>
                    <a:chOff x="800100" y="8441726"/>
                    <a:chExt cx="7905750" cy="245074"/>
                  </a:xfrm>
                </xdr:grpSpPr>
                <xdr:sp>
                  <xdr:nvSpPr>
                    <xdr:cNvPr id="634" name="Shape 634"/>
                    <xdr:cNvSpPr/>
                  </xdr:nvSpPr>
                  <xdr:spPr>
                    <a:xfrm>
                      <a:off x="800100" y="844172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5" name="Shape 635"/>
                    <xdr:cNvGrpSpPr/>
                  </xdr:nvGrpSpPr>
                  <xdr:grpSpPr>
                    <a:xfrm>
                      <a:off x="828673" y="8441726"/>
                      <a:ext cx="7305674" cy="178592"/>
                      <a:chOff x="835865" y="8564968"/>
                      <a:chExt cx="7454770" cy="182480"/>
                    </a:xfrm>
                  </xdr:grpSpPr>
                  <xdr:grpSp>
                    <xdr:nvGrpSpPr>
                      <xdr:cNvPr id="636" name="Shape 636"/>
                      <xdr:cNvGrpSpPr/>
                    </xdr:nvGrpSpPr>
                    <xdr:grpSpPr>
                      <a:xfrm>
                        <a:off x="835865" y="8564968"/>
                        <a:ext cx="505408" cy="182480"/>
                        <a:chOff x="829805" y="8448798"/>
                        <a:chExt cx="490780" cy="178592"/>
                      </a:xfrm>
                    </xdr:grpSpPr>
                    <xdr:grpSp>
                      <xdr:nvGrpSpPr>
                        <xdr:cNvPr id="637" name="Shape 637"/>
                        <xdr:cNvGrpSpPr/>
                      </xdr:nvGrpSpPr>
                      <xdr:grpSpPr>
                        <a:xfrm>
                          <a:off x="829805" y="8448798"/>
                          <a:ext cx="122695" cy="178592"/>
                          <a:chOff x="1202266" y="1125361"/>
                          <a:chExt cx="496712" cy="666750"/>
                        </a:xfrm>
                      </xdr:grpSpPr>
                      <xdr:grpSp>
                        <xdr:nvGrpSpPr>
                          <xdr:cNvPr id="638" name="Shape 638"/>
                          <xdr:cNvGrpSpPr/>
                        </xdr:nvGrpSpPr>
                        <xdr:grpSpPr>
                          <a:xfrm>
                            <a:off x="1202266" y="1125361"/>
                            <a:ext cx="496712" cy="666750"/>
                            <a:chOff x="1202266" y="1125361"/>
                            <a:chExt cx="496712" cy="666750"/>
                          </a:xfrm>
                        </xdr:grpSpPr>
                        <xdr:sp>
                          <xdr:nvSpPr>
                            <xdr:cNvPr id="639" name="Shape 63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0" name="Shape 64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1" name="Shape 64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2" name="Shape 64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3" name="Shape 64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4" name="Shape 64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45" name="Shape 64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46" name="Shape 646"/>
                        <xdr:cNvGrpSpPr/>
                      </xdr:nvGrpSpPr>
                      <xdr:grpSpPr>
                        <a:xfrm>
                          <a:off x="952500" y="8448798"/>
                          <a:ext cx="122695" cy="178592"/>
                          <a:chOff x="1202266" y="1125361"/>
                          <a:chExt cx="496712" cy="666750"/>
                        </a:xfrm>
                      </xdr:grpSpPr>
                      <xdr:grpSp>
                        <xdr:nvGrpSpPr>
                          <xdr:cNvPr id="647" name="Shape 647"/>
                          <xdr:cNvGrpSpPr/>
                        </xdr:nvGrpSpPr>
                        <xdr:grpSpPr>
                          <a:xfrm>
                            <a:off x="1202266" y="1125361"/>
                            <a:ext cx="496712" cy="666750"/>
                            <a:chOff x="1202266" y="1125361"/>
                            <a:chExt cx="496712" cy="666750"/>
                          </a:xfrm>
                        </xdr:grpSpPr>
                        <xdr:sp>
                          <xdr:nvSpPr>
                            <xdr:cNvPr id="648" name="Shape 64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9" name="Shape 64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0" name="Shape 65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1" name="Shape 65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2" name="Shape 65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3" name="Shape 65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54" name="Shape 65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55" name="Shape 655"/>
                        <xdr:cNvGrpSpPr/>
                      </xdr:nvGrpSpPr>
                      <xdr:grpSpPr>
                        <a:xfrm>
                          <a:off x="1075195" y="8448798"/>
                          <a:ext cx="122695" cy="178592"/>
                          <a:chOff x="1202266" y="1125361"/>
                          <a:chExt cx="496712" cy="666750"/>
                        </a:xfrm>
                      </xdr:grpSpPr>
                      <xdr:grpSp>
                        <xdr:nvGrpSpPr>
                          <xdr:cNvPr id="656" name="Shape 656"/>
                          <xdr:cNvGrpSpPr/>
                        </xdr:nvGrpSpPr>
                        <xdr:grpSpPr>
                          <a:xfrm>
                            <a:off x="1202266" y="1125361"/>
                            <a:ext cx="496712" cy="666750"/>
                            <a:chOff x="1202266" y="1125361"/>
                            <a:chExt cx="496712" cy="666750"/>
                          </a:xfrm>
                        </xdr:grpSpPr>
                        <xdr:sp>
                          <xdr:nvSpPr>
                            <xdr:cNvPr id="657" name="Shape 65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8" name="Shape 65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9" name="Shape 65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0" name="Shape 66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1" name="Shape 66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2" name="Shape 66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63" name="Shape 66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64" name="Shape 664"/>
                        <xdr:cNvGrpSpPr/>
                      </xdr:nvGrpSpPr>
                      <xdr:grpSpPr>
                        <a:xfrm>
                          <a:off x="1197890" y="8448798"/>
                          <a:ext cx="122695" cy="178592"/>
                          <a:chOff x="1202266" y="1125361"/>
                          <a:chExt cx="496712" cy="666750"/>
                        </a:xfrm>
                      </xdr:grpSpPr>
                      <xdr:grpSp>
                        <xdr:nvGrpSpPr>
                          <xdr:cNvPr id="665" name="Shape 665"/>
                          <xdr:cNvGrpSpPr/>
                        </xdr:nvGrpSpPr>
                        <xdr:grpSpPr>
                          <a:xfrm>
                            <a:off x="1202266" y="1125361"/>
                            <a:ext cx="496712" cy="666750"/>
                            <a:chOff x="1202266" y="1125361"/>
                            <a:chExt cx="496712" cy="666750"/>
                          </a:xfrm>
                        </xdr:grpSpPr>
                        <xdr:sp>
                          <xdr:nvSpPr>
                            <xdr:cNvPr id="666" name="Shape 66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7" name="Shape 66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8" name="Shape 66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9" name="Shape 66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0" name="Shape 67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1" name="Shape 67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72" name="Shape 67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673" name="Shape 673"/>
                      <xdr:cNvGrpSpPr/>
                    </xdr:nvGrpSpPr>
                    <xdr:grpSpPr>
                      <a:xfrm>
                        <a:off x="1467625" y="8564968"/>
                        <a:ext cx="505408" cy="182480"/>
                        <a:chOff x="829805" y="8448798"/>
                        <a:chExt cx="490780" cy="178592"/>
                      </a:xfrm>
                    </xdr:grpSpPr>
                    <xdr:grpSp>
                      <xdr:nvGrpSpPr>
                        <xdr:cNvPr id="674" name="Shape 674"/>
                        <xdr:cNvGrpSpPr/>
                      </xdr:nvGrpSpPr>
                      <xdr:grpSpPr>
                        <a:xfrm>
                          <a:off x="829805" y="8448798"/>
                          <a:ext cx="122695" cy="178592"/>
                          <a:chOff x="1202266" y="1125361"/>
                          <a:chExt cx="496712" cy="666750"/>
                        </a:xfrm>
                      </xdr:grpSpPr>
                      <xdr:grpSp>
                        <xdr:nvGrpSpPr>
                          <xdr:cNvPr id="675" name="Shape 675"/>
                          <xdr:cNvGrpSpPr/>
                        </xdr:nvGrpSpPr>
                        <xdr:grpSpPr>
                          <a:xfrm>
                            <a:off x="1202266" y="1125361"/>
                            <a:ext cx="496712" cy="666750"/>
                            <a:chOff x="1202266" y="1125361"/>
                            <a:chExt cx="496712" cy="666750"/>
                          </a:xfrm>
                        </xdr:grpSpPr>
                        <xdr:sp>
                          <xdr:nvSpPr>
                            <xdr:cNvPr id="676" name="Shape 67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7" name="Shape 67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8" name="Shape 67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9" name="Shape 67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0" name="Shape 68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1" name="Shape 68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82" name="Shape 68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83" name="Shape 683"/>
                        <xdr:cNvGrpSpPr/>
                      </xdr:nvGrpSpPr>
                      <xdr:grpSpPr>
                        <a:xfrm>
                          <a:off x="952500" y="8448798"/>
                          <a:ext cx="122695" cy="178592"/>
                          <a:chOff x="1202266" y="1125361"/>
                          <a:chExt cx="496712" cy="666750"/>
                        </a:xfrm>
                      </xdr:grpSpPr>
                      <xdr:grpSp>
                        <xdr:nvGrpSpPr>
                          <xdr:cNvPr id="684" name="Shape 684"/>
                          <xdr:cNvGrpSpPr/>
                        </xdr:nvGrpSpPr>
                        <xdr:grpSpPr>
                          <a:xfrm>
                            <a:off x="1202266" y="1125361"/>
                            <a:ext cx="496712" cy="666750"/>
                            <a:chOff x="1202266" y="1125361"/>
                            <a:chExt cx="496712" cy="666750"/>
                          </a:xfrm>
                        </xdr:grpSpPr>
                        <xdr:sp>
                          <xdr:nvSpPr>
                            <xdr:cNvPr id="685" name="Shape 68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6" name="Shape 68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7" name="Shape 68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8" name="Shape 68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9" name="Shape 68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0" name="Shape 69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91" name="Shape 69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92" name="Shape 692"/>
                        <xdr:cNvGrpSpPr/>
                      </xdr:nvGrpSpPr>
                      <xdr:grpSpPr>
                        <a:xfrm>
                          <a:off x="1075195" y="8448798"/>
                          <a:ext cx="122695" cy="178592"/>
                          <a:chOff x="1202266" y="1125361"/>
                          <a:chExt cx="496712" cy="666750"/>
                        </a:xfrm>
                      </xdr:grpSpPr>
                      <xdr:grpSp>
                        <xdr:nvGrpSpPr>
                          <xdr:cNvPr id="693" name="Shape 693"/>
                          <xdr:cNvGrpSpPr/>
                        </xdr:nvGrpSpPr>
                        <xdr:grpSpPr>
                          <a:xfrm>
                            <a:off x="1202266" y="1125361"/>
                            <a:ext cx="496712" cy="666750"/>
                            <a:chOff x="1202266" y="1125361"/>
                            <a:chExt cx="496712" cy="666750"/>
                          </a:xfrm>
                        </xdr:grpSpPr>
                        <xdr:sp>
                          <xdr:nvSpPr>
                            <xdr:cNvPr id="694" name="Shape 6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5" name="Shape 6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6" name="Shape 6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7" name="Shape 6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8" name="Shape 6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9" name="Shape 6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00" name="Shape 70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01" name="Shape 701"/>
                        <xdr:cNvGrpSpPr/>
                      </xdr:nvGrpSpPr>
                      <xdr:grpSpPr>
                        <a:xfrm>
                          <a:off x="1197890" y="8448798"/>
                          <a:ext cx="122695" cy="178592"/>
                          <a:chOff x="1202266" y="1125361"/>
                          <a:chExt cx="496712" cy="666750"/>
                        </a:xfrm>
                      </xdr:grpSpPr>
                      <xdr:grpSp>
                        <xdr:nvGrpSpPr>
                          <xdr:cNvPr id="702" name="Shape 702"/>
                          <xdr:cNvGrpSpPr/>
                        </xdr:nvGrpSpPr>
                        <xdr:grpSpPr>
                          <a:xfrm>
                            <a:off x="1202266" y="1125361"/>
                            <a:ext cx="496712" cy="666750"/>
                            <a:chOff x="1202266" y="1125361"/>
                            <a:chExt cx="496712" cy="666750"/>
                          </a:xfrm>
                        </xdr:grpSpPr>
                        <xdr:sp>
                          <xdr:nvSpPr>
                            <xdr:cNvPr id="703" name="Shape 7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4" name="Shape 7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5" name="Shape 7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6" name="Shape 7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7" name="Shape 7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8" name="Shape 7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09" name="Shape 70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10" name="Shape 710"/>
                      <xdr:cNvGrpSpPr/>
                    </xdr:nvGrpSpPr>
                    <xdr:grpSpPr>
                      <a:xfrm>
                        <a:off x="2099385" y="8564968"/>
                        <a:ext cx="505408" cy="182480"/>
                        <a:chOff x="829805" y="8448798"/>
                        <a:chExt cx="490780" cy="178592"/>
                      </a:xfrm>
                    </xdr:grpSpPr>
                    <xdr:grpSp>
                      <xdr:nvGrpSpPr>
                        <xdr:cNvPr id="711" name="Shape 711"/>
                        <xdr:cNvGrpSpPr/>
                      </xdr:nvGrpSpPr>
                      <xdr:grpSpPr>
                        <a:xfrm>
                          <a:off x="829805" y="8448798"/>
                          <a:ext cx="122695" cy="178592"/>
                          <a:chOff x="1202266" y="1125361"/>
                          <a:chExt cx="496712" cy="666750"/>
                        </a:xfrm>
                      </xdr:grpSpPr>
                      <xdr:grpSp>
                        <xdr:nvGrpSpPr>
                          <xdr:cNvPr id="712" name="Shape 712"/>
                          <xdr:cNvGrpSpPr/>
                        </xdr:nvGrpSpPr>
                        <xdr:grpSpPr>
                          <a:xfrm>
                            <a:off x="1202266" y="1125361"/>
                            <a:ext cx="496712" cy="666750"/>
                            <a:chOff x="1202266" y="1125361"/>
                            <a:chExt cx="496712" cy="666750"/>
                          </a:xfrm>
                        </xdr:grpSpPr>
                        <xdr:sp>
                          <xdr:nvSpPr>
                            <xdr:cNvPr id="713" name="Shape 71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4" name="Shape 71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5" name="Shape 71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6" name="Shape 71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7" name="Shape 71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8" name="Shape 71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19" name="Shape 71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20" name="Shape 720"/>
                        <xdr:cNvGrpSpPr/>
                      </xdr:nvGrpSpPr>
                      <xdr:grpSpPr>
                        <a:xfrm>
                          <a:off x="952500" y="8448798"/>
                          <a:ext cx="122695" cy="178592"/>
                          <a:chOff x="1202266" y="1125361"/>
                          <a:chExt cx="496712" cy="666750"/>
                        </a:xfrm>
                      </xdr:grpSpPr>
                      <xdr:grpSp>
                        <xdr:nvGrpSpPr>
                          <xdr:cNvPr id="721" name="Shape 721"/>
                          <xdr:cNvGrpSpPr/>
                        </xdr:nvGrpSpPr>
                        <xdr:grpSpPr>
                          <a:xfrm>
                            <a:off x="1202266" y="1125361"/>
                            <a:ext cx="496712" cy="666750"/>
                            <a:chOff x="1202266" y="1125361"/>
                            <a:chExt cx="496712" cy="666750"/>
                          </a:xfrm>
                        </xdr:grpSpPr>
                        <xdr:sp>
                          <xdr:nvSpPr>
                            <xdr:cNvPr id="722" name="Shape 72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3" name="Shape 72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4" name="Shape 72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5" name="Shape 72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6" name="Shape 72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7" name="Shape 72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28" name="Shape 72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29" name="Shape 729"/>
                        <xdr:cNvGrpSpPr/>
                      </xdr:nvGrpSpPr>
                      <xdr:grpSpPr>
                        <a:xfrm>
                          <a:off x="1075195" y="8448798"/>
                          <a:ext cx="122695" cy="178592"/>
                          <a:chOff x="1202266" y="1125361"/>
                          <a:chExt cx="496712" cy="666750"/>
                        </a:xfrm>
                      </xdr:grpSpPr>
                      <xdr:grpSp>
                        <xdr:nvGrpSpPr>
                          <xdr:cNvPr id="730" name="Shape 730"/>
                          <xdr:cNvGrpSpPr/>
                        </xdr:nvGrpSpPr>
                        <xdr:grpSpPr>
                          <a:xfrm>
                            <a:off x="1202266" y="1125361"/>
                            <a:ext cx="496712" cy="666750"/>
                            <a:chOff x="1202266" y="1125361"/>
                            <a:chExt cx="496712" cy="666750"/>
                          </a:xfrm>
                        </xdr:grpSpPr>
                        <xdr:sp>
                          <xdr:nvSpPr>
                            <xdr:cNvPr id="731" name="Shape 73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2" name="Shape 73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3" name="Shape 73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4" name="Shape 73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5" name="Shape 73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6" name="Shape 73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37" name="Shape 73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38" name="Shape 738"/>
                        <xdr:cNvGrpSpPr/>
                      </xdr:nvGrpSpPr>
                      <xdr:grpSpPr>
                        <a:xfrm>
                          <a:off x="1197890" y="8448798"/>
                          <a:ext cx="122695" cy="178592"/>
                          <a:chOff x="1202266" y="1125361"/>
                          <a:chExt cx="496712" cy="666750"/>
                        </a:xfrm>
                      </xdr:grpSpPr>
                      <xdr:grpSp>
                        <xdr:nvGrpSpPr>
                          <xdr:cNvPr id="739" name="Shape 739"/>
                          <xdr:cNvGrpSpPr/>
                        </xdr:nvGrpSpPr>
                        <xdr:grpSpPr>
                          <a:xfrm>
                            <a:off x="1202266" y="1125361"/>
                            <a:ext cx="496712" cy="666750"/>
                            <a:chOff x="1202266" y="1125361"/>
                            <a:chExt cx="496712" cy="666750"/>
                          </a:xfrm>
                        </xdr:grpSpPr>
                        <xdr:sp>
                          <xdr:nvSpPr>
                            <xdr:cNvPr id="740" name="Shape 74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1" name="Shape 74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2" name="Shape 74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3" name="Shape 74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4" name="Shape 74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5" name="Shape 74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46" name="Shape 74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47" name="Shape 747"/>
                      <xdr:cNvGrpSpPr/>
                    </xdr:nvGrpSpPr>
                    <xdr:grpSpPr>
                      <a:xfrm>
                        <a:off x="2731145" y="8564968"/>
                        <a:ext cx="505408" cy="182480"/>
                        <a:chOff x="829805" y="8448798"/>
                        <a:chExt cx="490780" cy="178592"/>
                      </a:xfrm>
                    </xdr:grpSpPr>
                    <xdr:grpSp>
                      <xdr:nvGrpSpPr>
                        <xdr:cNvPr id="748" name="Shape 748"/>
                        <xdr:cNvGrpSpPr/>
                      </xdr:nvGrpSpPr>
                      <xdr:grpSpPr>
                        <a:xfrm>
                          <a:off x="829805" y="8448798"/>
                          <a:ext cx="122695" cy="178592"/>
                          <a:chOff x="1202266" y="1125361"/>
                          <a:chExt cx="496712" cy="666750"/>
                        </a:xfrm>
                      </xdr:grpSpPr>
                      <xdr:grpSp>
                        <xdr:nvGrpSpPr>
                          <xdr:cNvPr id="749" name="Shape 749"/>
                          <xdr:cNvGrpSpPr/>
                        </xdr:nvGrpSpPr>
                        <xdr:grpSpPr>
                          <a:xfrm>
                            <a:off x="1202266" y="1125361"/>
                            <a:ext cx="496712" cy="666750"/>
                            <a:chOff x="1202266" y="1125361"/>
                            <a:chExt cx="496712" cy="666750"/>
                          </a:xfrm>
                        </xdr:grpSpPr>
                        <xdr:sp>
                          <xdr:nvSpPr>
                            <xdr:cNvPr id="750" name="Shape 75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1" name="Shape 75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2" name="Shape 75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3" name="Shape 75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4" name="Shape 75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5" name="Shape 75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56" name="Shape 75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57" name="Shape 757"/>
                        <xdr:cNvGrpSpPr/>
                      </xdr:nvGrpSpPr>
                      <xdr:grpSpPr>
                        <a:xfrm>
                          <a:off x="952500" y="8448798"/>
                          <a:ext cx="122695" cy="178592"/>
                          <a:chOff x="1202266" y="1125361"/>
                          <a:chExt cx="496712" cy="666750"/>
                        </a:xfrm>
                      </xdr:grpSpPr>
                      <xdr:grpSp>
                        <xdr:nvGrpSpPr>
                          <xdr:cNvPr id="758" name="Shape 758"/>
                          <xdr:cNvGrpSpPr/>
                        </xdr:nvGrpSpPr>
                        <xdr:grpSpPr>
                          <a:xfrm>
                            <a:off x="1202266" y="1125361"/>
                            <a:ext cx="496712" cy="666750"/>
                            <a:chOff x="1202266" y="1125361"/>
                            <a:chExt cx="496712" cy="666750"/>
                          </a:xfrm>
                        </xdr:grpSpPr>
                        <xdr:sp>
                          <xdr:nvSpPr>
                            <xdr:cNvPr id="759" name="Shape 75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0" name="Shape 76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1" name="Shape 76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2" name="Shape 76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3" name="Shape 76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4" name="Shape 76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65" name="Shape 76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66" name="Shape 766"/>
                        <xdr:cNvGrpSpPr/>
                      </xdr:nvGrpSpPr>
                      <xdr:grpSpPr>
                        <a:xfrm>
                          <a:off x="1075195" y="8448798"/>
                          <a:ext cx="122695" cy="178592"/>
                          <a:chOff x="1202266" y="1125361"/>
                          <a:chExt cx="496712" cy="666750"/>
                        </a:xfrm>
                      </xdr:grpSpPr>
                      <xdr:grpSp>
                        <xdr:nvGrpSpPr>
                          <xdr:cNvPr id="767" name="Shape 767"/>
                          <xdr:cNvGrpSpPr/>
                        </xdr:nvGrpSpPr>
                        <xdr:grpSpPr>
                          <a:xfrm>
                            <a:off x="1202266" y="1125361"/>
                            <a:ext cx="496712" cy="666750"/>
                            <a:chOff x="1202266" y="1125361"/>
                            <a:chExt cx="496712" cy="666750"/>
                          </a:xfrm>
                        </xdr:grpSpPr>
                        <xdr:sp>
                          <xdr:nvSpPr>
                            <xdr:cNvPr id="768" name="Shape 76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9" name="Shape 76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0" name="Shape 77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1" name="Shape 77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2" name="Shape 77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3" name="Shape 77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74" name="Shape 77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75" name="Shape 775"/>
                        <xdr:cNvGrpSpPr/>
                      </xdr:nvGrpSpPr>
                      <xdr:grpSpPr>
                        <a:xfrm>
                          <a:off x="1197890" y="8448798"/>
                          <a:ext cx="122695" cy="178592"/>
                          <a:chOff x="1202266" y="1125361"/>
                          <a:chExt cx="496712" cy="666750"/>
                        </a:xfrm>
                      </xdr:grpSpPr>
                      <xdr:grpSp>
                        <xdr:nvGrpSpPr>
                          <xdr:cNvPr id="776" name="Shape 776"/>
                          <xdr:cNvGrpSpPr/>
                        </xdr:nvGrpSpPr>
                        <xdr:grpSpPr>
                          <a:xfrm>
                            <a:off x="1202266" y="1125361"/>
                            <a:ext cx="496712" cy="666750"/>
                            <a:chOff x="1202266" y="1125361"/>
                            <a:chExt cx="496712" cy="666750"/>
                          </a:xfrm>
                        </xdr:grpSpPr>
                        <xdr:sp>
                          <xdr:nvSpPr>
                            <xdr:cNvPr id="777" name="Shape 77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8" name="Shape 77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9" name="Shape 77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0" name="Shape 78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1" name="Shape 78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2" name="Shape 78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83" name="Shape 78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84" name="Shape 784"/>
                      <xdr:cNvGrpSpPr/>
                    </xdr:nvGrpSpPr>
                    <xdr:grpSpPr>
                      <a:xfrm>
                        <a:off x="3362905" y="8564968"/>
                        <a:ext cx="505408" cy="182480"/>
                        <a:chOff x="829805" y="8448798"/>
                        <a:chExt cx="490780" cy="178592"/>
                      </a:xfrm>
                    </xdr:grpSpPr>
                    <xdr:grpSp>
                      <xdr:nvGrpSpPr>
                        <xdr:cNvPr id="785" name="Shape 785"/>
                        <xdr:cNvGrpSpPr/>
                      </xdr:nvGrpSpPr>
                      <xdr:grpSpPr>
                        <a:xfrm>
                          <a:off x="829805" y="8448798"/>
                          <a:ext cx="122695" cy="178592"/>
                          <a:chOff x="1202266" y="1125361"/>
                          <a:chExt cx="496712" cy="666750"/>
                        </a:xfrm>
                      </xdr:grpSpPr>
                      <xdr:grpSp>
                        <xdr:nvGrpSpPr>
                          <xdr:cNvPr id="786" name="Shape 786"/>
                          <xdr:cNvGrpSpPr/>
                        </xdr:nvGrpSpPr>
                        <xdr:grpSpPr>
                          <a:xfrm>
                            <a:off x="1202266" y="1125361"/>
                            <a:ext cx="496712" cy="666750"/>
                            <a:chOff x="1202266" y="1125361"/>
                            <a:chExt cx="496712" cy="666750"/>
                          </a:xfrm>
                        </xdr:grpSpPr>
                        <xdr:sp>
                          <xdr:nvSpPr>
                            <xdr:cNvPr id="787" name="Shape 78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8" name="Shape 78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9" name="Shape 78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0" name="Shape 79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1" name="Shape 79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2" name="Shape 79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93" name="Shape 79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94" name="Shape 794"/>
                        <xdr:cNvGrpSpPr/>
                      </xdr:nvGrpSpPr>
                      <xdr:grpSpPr>
                        <a:xfrm>
                          <a:off x="952500" y="8448798"/>
                          <a:ext cx="122695" cy="178592"/>
                          <a:chOff x="1202266" y="1125361"/>
                          <a:chExt cx="496712" cy="666750"/>
                        </a:xfrm>
                      </xdr:grpSpPr>
                      <xdr:grpSp>
                        <xdr:nvGrpSpPr>
                          <xdr:cNvPr id="795" name="Shape 795"/>
                          <xdr:cNvGrpSpPr/>
                        </xdr:nvGrpSpPr>
                        <xdr:grpSpPr>
                          <a:xfrm>
                            <a:off x="1202266" y="1125361"/>
                            <a:ext cx="496712" cy="666750"/>
                            <a:chOff x="1202266" y="1125361"/>
                            <a:chExt cx="496712" cy="666750"/>
                          </a:xfrm>
                        </xdr:grpSpPr>
                        <xdr:sp>
                          <xdr:nvSpPr>
                            <xdr:cNvPr id="796" name="Shape 79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7" name="Shape 79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8" name="Shape 79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9" name="Shape 79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0" name="Shape 80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1" name="Shape 80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02" name="Shape 80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03" name="Shape 803"/>
                        <xdr:cNvGrpSpPr/>
                      </xdr:nvGrpSpPr>
                      <xdr:grpSpPr>
                        <a:xfrm>
                          <a:off x="1075195" y="8448798"/>
                          <a:ext cx="122695" cy="178592"/>
                          <a:chOff x="1202266" y="1125361"/>
                          <a:chExt cx="496712" cy="666750"/>
                        </a:xfrm>
                      </xdr:grpSpPr>
                      <xdr:grpSp>
                        <xdr:nvGrpSpPr>
                          <xdr:cNvPr id="804" name="Shape 804"/>
                          <xdr:cNvGrpSpPr/>
                        </xdr:nvGrpSpPr>
                        <xdr:grpSpPr>
                          <a:xfrm>
                            <a:off x="1202266" y="1125361"/>
                            <a:ext cx="496712" cy="666750"/>
                            <a:chOff x="1202266" y="1125361"/>
                            <a:chExt cx="496712" cy="666750"/>
                          </a:xfrm>
                        </xdr:grpSpPr>
                        <xdr:sp>
                          <xdr:nvSpPr>
                            <xdr:cNvPr id="805" name="Shape 80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6" name="Shape 80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7" name="Shape 80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8" name="Shape 80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9" name="Shape 80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0" name="Shape 81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11" name="Shape 81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12" name="Shape 812"/>
                        <xdr:cNvGrpSpPr/>
                      </xdr:nvGrpSpPr>
                      <xdr:grpSpPr>
                        <a:xfrm>
                          <a:off x="1197890" y="8448798"/>
                          <a:ext cx="122695" cy="178592"/>
                          <a:chOff x="1202266" y="1125361"/>
                          <a:chExt cx="496712" cy="666750"/>
                        </a:xfrm>
                      </xdr:grpSpPr>
                      <xdr:grpSp>
                        <xdr:nvGrpSpPr>
                          <xdr:cNvPr id="813" name="Shape 813"/>
                          <xdr:cNvGrpSpPr/>
                        </xdr:nvGrpSpPr>
                        <xdr:grpSpPr>
                          <a:xfrm>
                            <a:off x="1202266" y="1125361"/>
                            <a:ext cx="496712" cy="666750"/>
                            <a:chOff x="1202266" y="1125361"/>
                            <a:chExt cx="496712" cy="666750"/>
                          </a:xfrm>
                        </xdr:grpSpPr>
                        <xdr:sp>
                          <xdr:nvSpPr>
                            <xdr:cNvPr id="814" name="Shape 81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5" name="Shape 81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6" name="Shape 81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7" name="Shape 81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8" name="Shape 81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9" name="Shape 81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20" name="Shape 82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21" name="Shape 821"/>
                      <xdr:cNvGrpSpPr/>
                    </xdr:nvGrpSpPr>
                    <xdr:grpSpPr>
                      <a:xfrm>
                        <a:off x="3994666" y="8564968"/>
                        <a:ext cx="505408" cy="182480"/>
                        <a:chOff x="829805" y="8448798"/>
                        <a:chExt cx="490780" cy="178592"/>
                      </a:xfrm>
                    </xdr:grpSpPr>
                    <xdr:grpSp>
                      <xdr:nvGrpSpPr>
                        <xdr:cNvPr id="822" name="Shape 822"/>
                        <xdr:cNvGrpSpPr/>
                      </xdr:nvGrpSpPr>
                      <xdr:grpSpPr>
                        <a:xfrm>
                          <a:off x="829805" y="8448798"/>
                          <a:ext cx="122695" cy="178592"/>
                          <a:chOff x="1202266" y="1125361"/>
                          <a:chExt cx="496712" cy="666750"/>
                        </a:xfrm>
                      </xdr:grpSpPr>
                      <xdr:grpSp>
                        <xdr:nvGrpSpPr>
                          <xdr:cNvPr id="823" name="Shape 823"/>
                          <xdr:cNvGrpSpPr/>
                        </xdr:nvGrpSpPr>
                        <xdr:grpSpPr>
                          <a:xfrm>
                            <a:off x="1202266" y="1125361"/>
                            <a:ext cx="496712" cy="666750"/>
                            <a:chOff x="1202266" y="1125361"/>
                            <a:chExt cx="496712" cy="666750"/>
                          </a:xfrm>
                        </xdr:grpSpPr>
                        <xdr:sp>
                          <xdr:nvSpPr>
                            <xdr:cNvPr id="824" name="Shape 82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5" name="Shape 82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6" name="Shape 82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7" name="Shape 82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8" name="Shape 82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9" name="Shape 82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30" name="Shape 83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31" name="Shape 831"/>
                        <xdr:cNvGrpSpPr/>
                      </xdr:nvGrpSpPr>
                      <xdr:grpSpPr>
                        <a:xfrm>
                          <a:off x="952500" y="8448798"/>
                          <a:ext cx="122695" cy="178592"/>
                          <a:chOff x="1202266" y="1125361"/>
                          <a:chExt cx="496712" cy="666750"/>
                        </a:xfrm>
                      </xdr:grpSpPr>
                      <xdr:grpSp>
                        <xdr:nvGrpSpPr>
                          <xdr:cNvPr id="832" name="Shape 832"/>
                          <xdr:cNvGrpSpPr/>
                        </xdr:nvGrpSpPr>
                        <xdr:grpSpPr>
                          <a:xfrm>
                            <a:off x="1202266" y="1125361"/>
                            <a:ext cx="496712" cy="666750"/>
                            <a:chOff x="1202266" y="1125361"/>
                            <a:chExt cx="496712" cy="666750"/>
                          </a:xfrm>
                        </xdr:grpSpPr>
                        <xdr:sp>
                          <xdr:nvSpPr>
                            <xdr:cNvPr id="833" name="Shape 83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4" name="Shape 83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5" name="Shape 83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6" name="Shape 83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7" name="Shape 83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8" name="Shape 83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39" name="Shape 83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40" name="Shape 840"/>
                        <xdr:cNvGrpSpPr/>
                      </xdr:nvGrpSpPr>
                      <xdr:grpSpPr>
                        <a:xfrm>
                          <a:off x="1075195" y="8448798"/>
                          <a:ext cx="122695" cy="178592"/>
                          <a:chOff x="1202266" y="1125361"/>
                          <a:chExt cx="496712" cy="666750"/>
                        </a:xfrm>
                      </xdr:grpSpPr>
                      <xdr:grpSp>
                        <xdr:nvGrpSpPr>
                          <xdr:cNvPr id="841" name="Shape 841"/>
                          <xdr:cNvGrpSpPr/>
                        </xdr:nvGrpSpPr>
                        <xdr:grpSpPr>
                          <a:xfrm>
                            <a:off x="1202266" y="1125361"/>
                            <a:ext cx="496712" cy="666750"/>
                            <a:chOff x="1202266" y="1125361"/>
                            <a:chExt cx="496712" cy="666750"/>
                          </a:xfrm>
                        </xdr:grpSpPr>
                        <xdr:sp>
                          <xdr:nvSpPr>
                            <xdr:cNvPr id="842" name="Shape 8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3" name="Shape 8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4" name="Shape 8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5" name="Shape 8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6" name="Shape 8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7" name="Shape 8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48" name="Shape 84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49" name="Shape 849"/>
                        <xdr:cNvGrpSpPr/>
                      </xdr:nvGrpSpPr>
                      <xdr:grpSpPr>
                        <a:xfrm>
                          <a:off x="1197890" y="8448798"/>
                          <a:ext cx="122695" cy="178592"/>
                          <a:chOff x="1202266" y="1125361"/>
                          <a:chExt cx="496712" cy="666750"/>
                        </a:xfrm>
                      </xdr:grpSpPr>
                      <xdr:grpSp>
                        <xdr:nvGrpSpPr>
                          <xdr:cNvPr id="850" name="Shape 850"/>
                          <xdr:cNvGrpSpPr/>
                        </xdr:nvGrpSpPr>
                        <xdr:grpSpPr>
                          <a:xfrm>
                            <a:off x="1202266" y="1125361"/>
                            <a:ext cx="496712" cy="666750"/>
                            <a:chOff x="1202266" y="1125361"/>
                            <a:chExt cx="496712" cy="666750"/>
                          </a:xfrm>
                        </xdr:grpSpPr>
                        <xdr:sp>
                          <xdr:nvSpPr>
                            <xdr:cNvPr id="851" name="Shape 8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2" name="Shape 8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3" name="Shape 8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4" name="Shape 8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5" name="Shape 8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6" name="Shape 8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57" name="Shape 85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58" name="Shape 858"/>
                      <xdr:cNvGrpSpPr/>
                    </xdr:nvGrpSpPr>
                    <xdr:grpSpPr>
                      <a:xfrm>
                        <a:off x="4626426" y="8564968"/>
                        <a:ext cx="505408" cy="182480"/>
                        <a:chOff x="829805" y="8448798"/>
                        <a:chExt cx="490780" cy="178592"/>
                      </a:xfrm>
                    </xdr:grpSpPr>
                    <xdr:grpSp>
                      <xdr:nvGrpSpPr>
                        <xdr:cNvPr id="859" name="Shape 859"/>
                        <xdr:cNvGrpSpPr/>
                      </xdr:nvGrpSpPr>
                      <xdr:grpSpPr>
                        <a:xfrm>
                          <a:off x="829805" y="8448798"/>
                          <a:ext cx="122695" cy="178592"/>
                          <a:chOff x="1202266" y="1125361"/>
                          <a:chExt cx="496712" cy="666750"/>
                        </a:xfrm>
                      </xdr:grpSpPr>
                      <xdr:grpSp>
                        <xdr:nvGrpSpPr>
                          <xdr:cNvPr id="860" name="Shape 860"/>
                          <xdr:cNvGrpSpPr/>
                        </xdr:nvGrpSpPr>
                        <xdr:grpSpPr>
                          <a:xfrm>
                            <a:off x="1202266" y="1125361"/>
                            <a:ext cx="496712" cy="666750"/>
                            <a:chOff x="1202266" y="1125361"/>
                            <a:chExt cx="496712" cy="666750"/>
                          </a:xfrm>
                        </xdr:grpSpPr>
                        <xdr:sp>
                          <xdr:nvSpPr>
                            <xdr:cNvPr id="861" name="Shape 86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2" name="Shape 86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3" name="Shape 86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4" name="Shape 86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5" name="Shape 86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6" name="Shape 86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67" name="Shape 86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68" name="Shape 868"/>
                        <xdr:cNvGrpSpPr/>
                      </xdr:nvGrpSpPr>
                      <xdr:grpSpPr>
                        <a:xfrm>
                          <a:off x="952500" y="8448798"/>
                          <a:ext cx="122695" cy="178592"/>
                          <a:chOff x="1202266" y="1125361"/>
                          <a:chExt cx="496712" cy="666750"/>
                        </a:xfrm>
                      </xdr:grpSpPr>
                      <xdr:grpSp>
                        <xdr:nvGrpSpPr>
                          <xdr:cNvPr id="869" name="Shape 869"/>
                          <xdr:cNvGrpSpPr/>
                        </xdr:nvGrpSpPr>
                        <xdr:grpSpPr>
                          <a:xfrm>
                            <a:off x="1202266" y="1125361"/>
                            <a:ext cx="496712" cy="666750"/>
                            <a:chOff x="1202266" y="1125361"/>
                            <a:chExt cx="496712" cy="666750"/>
                          </a:xfrm>
                        </xdr:grpSpPr>
                        <xdr:sp>
                          <xdr:nvSpPr>
                            <xdr:cNvPr id="870" name="Shape 87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1" name="Shape 87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2" name="Shape 87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3" name="Shape 87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4" name="Shape 87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5" name="Shape 87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76" name="Shape 87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77" name="Shape 877"/>
                        <xdr:cNvGrpSpPr/>
                      </xdr:nvGrpSpPr>
                      <xdr:grpSpPr>
                        <a:xfrm>
                          <a:off x="1075195" y="8448798"/>
                          <a:ext cx="122695" cy="178592"/>
                          <a:chOff x="1202266" y="1125361"/>
                          <a:chExt cx="496712" cy="666750"/>
                        </a:xfrm>
                      </xdr:grpSpPr>
                      <xdr:grpSp>
                        <xdr:nvGrpSpPr>
                          <xdr:cNvPr id="878" name="Shape 878"/>
                          <xdr:cNvGrpSpPr/>
                        </xdr:nvGrpSpPr>
                        <xdr:grpSpPr>
                          <a:xfrm>
                            <a:off x="1202266" y="1125361"/>
                            <a:ext cx="496712" cy="666750"/>
                            <a:chOff x="1202266" y="1125361"/>
                            <a:chExt cx="496712" cy="666750"/>
                          </a:xfrm>
                        </xdr:grpSpPr>
                        <xdr:sp>
                          <xdr:nvSpPr>
                            <xdr:cNvPr id="879" name="Shape 8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0" name="Shape 8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1" name="Shape 8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2" name="Shape 8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3" name="Shape 8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4" name="Shape 8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85" name="Shape 88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86" name="Shape 886"/>
                        <xdr:cNvGrpSpPr/>
                      </xdr:nvGrpSpPr>
                      <xdr:grpSpPr>
                        <a:xfrm>
                          <a:off x="1197890" y="8448798"/>
                          <a:ext cx="122695" cy="178592"/>
                          <a:chOff x="1202266" y="1125361"/>
                          <a:chExt cx="496712" cy="666750"/>
                        </a:xfrm>
                      </xdr:grpSpPr>
                      <xdr:grpSp>
                        <xdr:nvGrpSpPr>
                          <xdr:cNvPr id="887" name="Shape 887"/>
                          <xdr:cNvGrpSpPr/>
                        </xdr:nvGrpSpPr>
                        <xdr:grpSpPr>
                          <a:xfrm>
                            <a:off x="1202266" y="1125361"/>
                            <a:ext cx="496712" cy="666750"/>
                            <a:chOff x="1202266" y="1125361"/>
                            <a:chExt cx="496712" cy="666750"/>
                          </a:xfrm>
                        </xdr:grpSpPr>
                        <xdr:sp>
                          <xdr:nvSpPr>
                            <xdr:cNvPr id="888" name="Shape 8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9" name="Shape 8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0" name="Shape 8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1" name="Shape 8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2" name="Shape 8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3" name="Shape 8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94" name="Shape 89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95" name="Shape 895"/>
                      <xdr:cNvGrpSpPr/>
                    </xdr:nvGrpSpPr>
                    <xdr:grpSpPr>
                      <a:xfrm>
                        <a:off x="5258186" y="8564968"/>
                        <a:ext cx="505408" cy="182480"/>
                        <a:chOff x="829805" y="8448798"/>
                        <a:chExt cx="490780" cy="178592"/>
                      </a:xfrm>
                    </xdr:grpSpPr>
                    <xdr:grpSp>
                      <xdr:nvGrpSpPr>
                        <xdr:cNvPr id="896" name="Shape 896"/>
                        <xdr:cNvGrpSpPr/>
                      </xdr:nvGrpSpPr>
                      <xdr:grpSpPr>
                        <a:xfrm>
                          <a:off x="829805" y="8448798"/>
                          <a:ext cx="122695" cy="178592"/>
                          <a:chOff x="1202266" y="1125361"/>
                          <a:chExt cx="496712" cy="666750"/>
                        </a:xfrm>
                      </xdr:grpSpPr>
                      <xdr:grpSp>
                        <xdr:nvGrpSpPr>
                          <xdr:cNvPr id="897" name="Shape 897"/>
                          <xdr:cNvGrpSpPr/>
                        </xdr:nvGrpSpPr>
                        <xdr:grpSpPr>
                          <a:xfrm>
                            <a:off x="1202266" y="1125361"/>
                            <a:ext cx="496712" cy="666750"/>
                            <a:chOff x="1202266" y="1125361"/>
                            <a:chExt cx="496712" cy="666750"/>
                          </a:xfrm>
                        </xdr:grpSpPr>
                        <xdr:sp>
                          <xdr:nvSpPr>
                            <xdr:cNvPr id="898" name="Shape 89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9" name="Shape 89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0" name="Shape 90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1" name="Shape 90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2" name="Shape 90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3" name="Shape 90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04" name="Shape 90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05" name="Shape 905"/>
                        <xdr:cNvGrpSpPr/>
                      </xdr:nvGrpSpPr>
                      <xdr:grpSpPr>
                        <a:xfrm>
                          <a:off x="952500" y="8448798"/>
                          <a:ext cx="122695" cy="178592"/>
                          <a:chOff x="1202266" y="1125361"/>
                          <a:chExt cx="496712" cy="666750"/>
                        </a:xfrm>
                      </xdr:grpSpPr>
                      <xdr:grpSp>
                        <xdr:nvGrpSpPr>
                          <xdr:cNvPr id="906" name="Shape 906"/>
                          <xdr:cNvGrpSpPr/>
                        </xdr:nvGrpSpPr>
                        <xdr:grpSpPr>
                          <a:xfrm>
                            <a:off x="1202266" y="1125361"/>
                            <a:ext cx="496712" cy="666750"/>
                            <a:chOff x="1202266" y="1125361"/>
                            <a:chExt cx="496712" cy="666750"/>
                          </a:xfrm>
                        </xdr:grpSpPr>
                        <xdr:sp>
                          <xdr:nvSpPr>
                            <xdr:cNvPr id="907" name="Shape 90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8" name="Shape 90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9" name="Shape 90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0" name="Shape 91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1" name="Shape 91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2" name="Shape 91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13" name="Shape 91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14" name="Shape 914"/>
                        <xdr:cNvGrpSpPr/>
                      </xdr:nvGrpSpPr>
                      <xdr:grpSpPr>
                        <a:xfrm>
                          <a:off x="1075195" y="8448798"/>
                          <a:ext cx="122695" cy="178592"/>
                          <a:chOff x="1202266" y="1125361"/>
                          <a:chExt cx="496712" cy="666750"/>
                        </a:xfrm>
                      </xdr:grpSpPr>
                      <xdr:grpSp>
                        <xdr:nvGrpSpPr>
                          <xdr:cNvPr id="915" name="Shape 915"/>
                          <xdr:cNvGrpSpPr/>
                        </xdr:nvGrpSpPr>
                        <xdr:grpSpPr>
                          <a:xfrm>
                            <a:off x="1202266" y="1125361"/>
                            <a:ext cx="496712" cy="666750"/>
                            <a:chOff x="1202266" y="1125361"/>
                            <a:chExt cx="496712" cy="666750"/>
                          </a:xfrm>
                        </xdr:grpSpPr>
                        <xdr:sp>
                          <xdr:nvSpPr>
                            <xdr:cNvPr id="916" name="Shape 9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7" name="Shape 9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8" name="Shape 9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9" name="Shape 9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0" name="Shape 9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1" name="Shape 9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22" name="Shape 92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23" name="Shape 923"/>
                        <xdr:cNvGrpSpPr/>
                      </xdr:nvGrpSpPr>
                      <xdr:grpSpPr>
                        <a:xfrm>
                          <a:off x="1197890" y="8448798"/>
                          <a:ext cx="122695" cy="178592"/>
                          <a:chOff x="1202266" y="1125361"/>
                          <a:chExt cx="496712" cy="666750"/>
                        </a:xfrm>
                      </xdr:grpSpPr>
                      <xdr:grpSp>
                        <xdr:nvGrpSpPr>
                          <xdr:cNvPr id="924" name="Shape 924"/>
                          <xdr:cNvGrpSpPr/>
                        </xdr:nvGrpSpPr>
                        <xdr:grpSpPr>
                          <a:xfrm>
                            <a:off x="1202266" y="1125361"/>
                            <a:ext cx="496712" cy="666750"/>
                            <a:chOff x="1202266" y="1125361"/>
                            <a:chExt cx="496712" cy="666750"/>
                          </a:xfrm>
                        </xdr:grpSpPr>
                        <xdr:sp>
                          <xdr:nvSpPr>
                            <xdr:cNvPr id="925" name="Shape 9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6" name="Shape 9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7" name="Shape 9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8" name="Shape 9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9" name="Shape 9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0" name="Shape 9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31" name="Shape 93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32" name="Shape 932"/>
                      <xdr:cNvGrpSpPr/>
                    </xdr:nvGrpSpPr>
                    <xdr:grpSpPr>
                      <a:xfrm>
                        <a:off x="5889947" y="8564968"/>
                        <a:ext cx="505408" cy="182480"/>
                        <a:chOff x="829805" y="8448798"/>
                        <a:chExt cx="490780" cy="178592"/>
                      </a:xfrm>
                    </xdr:grpSpPr>
                    <xdr:grpSp>
                      <xdr:nvGrpSpPr>
                        <xdr:cNvPr id="933" name="Shape 933"/>
                        <xdr:cNvGrpSpPr/>
                      </xdr:nvGrpSpPr>
                      <xdr:grpSpPr>
                        <a:xfrm>
                          <a:off x="829805" y="8448798"/>
                          <a:ext cx="122695" cy="178592"/>
                          <a:chOff x="1202266" y="1125361"/>
                          <a:chExt cx="496712" cy="666750"/>
                        </a:xfrm>
                      </xdr:grpSpPr>
                      <xdr:grpSp>
                        <xdr:nvGrpSpPr>
                          <xdr:cNvPr id="934" name="Shape 934"/>
                          <xdr:cNvGrpSpPr/>
                        </xdr:nvGrpSpPr>
                        <xdr:grpSpPr>
                          <a:xfrm>
                            <a:off x="1202266" y="1125361"/>
                            <a:ext cx="496712" cy="666750"/>
                            <a:chOff x="1202266" y="1125361"/>
                            <a:chExt cx="496712" cy="666750"/>
                          </a:xfrm>
                        </xdr:grpSpPr>
                        <xdr:sp>
                          <xdr:nvSpPr>
                            <xdr:cNvPr id="935" name="Shape 93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6" name="Shape 93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7" name="Shape 93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8" name="Shape 93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9" name="Shape 93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0" name="Shape 94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41" name="Shape 94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42" name="Shape 942"/>
                        <xdr:cNvGrpSpPr/>
                      </xdr:nvGrpSpPr>
                      <xdr:grpSpPr>
                        <a:xfrm>
                          <a:off x="952500" y="8448798"/>
                          <a:ext cx="122695" cy="178592"/>
                          <a:chOff x="1202266" y="1125361"/>
                          <a:chExt cx="496712" cy="666750"/>
                        </a:xfrm>
                      </xdr:grpSpPr>
                      <xdr:grpSp>
                        <xdr:nvGrpSpPr>
                          <xdr:cNvPr id="943" name="Shape 943"/>
                          <xdr:cNvGrpSpPr/>
                        </xdr:nvGrpSpPr>
                        <xdr:grpSpPr>
                          <a:xfrm>
                            <a:off x="1202266" y="1125361"/>
                            <a:ext cx="496712" cy="666750"/>
                            <a:chOff x="1202266" y="1125361"/>
                            <a:chExt cx="496712" cy="666750"/>
                          </a:xfrm>
                        </xdr:grpSpPr>
                        <xdr:sp>
                          <xdr:nvSpPr>
                            <xdr:cNvPr id="944" name="Shape 94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5" name="Shape 94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6" name="Shape 94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7" name="Shape 94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8" name="Shape 94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9" name="Shape 94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50" name="Shape 95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51" name="Shape 951"/>
                        <xdr:cNvGrpSpPr/>
                      </xdr:nvGrpSpPr>
                      <xdr:grpSpPr>
                        <a:xfrm>
                          <a:off x="1075195" y="8448798"/>
                          <a:ext cx="122695" cy="178592"/>
                          <a:chOff x="1202266" y="1125361"/>
                          <a:chExt cx="496712" cy="666750"/>
                        </a:xfrm>
                      </xdr:grpSpPr>
                      <xdr:grpSp>
                        <xdr:nvGrpSpPr>
                          <xdr:cNvPr id="952" name="Shape 952"/>
                          <xdr:cNvGrpSpPr/>
                        </xdr:nvGrpSpPr>
                        <xdr:grpSpPr>
                          <a:xfrm>
                            <a:off x="1202266" y="1125361"/>
                            <a:ext cx="496712" cy="666750"/>
                            <a:chOff x="1202266" y="1125361"/>
                            <a:chExt cx="496712" cy="666750"/>
                          </a:xfrm>
                        </xdr:grpSpPr>
                        <xdr:sp>
                          <xdr:nvSpPr>
                            <xdr:cNvPr id="953" name="Shape 9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4" name="Shape 9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5" name="Shape 9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6" name="Shape 9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7" name="Shape 9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8" name="Shape 9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59" name="Shape 95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60" name="Shape 960"/>
                        <xdr:cNvGrpSpPr/>
                      </xdr:nvGrpSpPr>
                      <xdr:grpSpPr>
                        <a:xfrm>
                          <a:off x="1197890" y="8448798"/>
                          <a:ext cx="122695" cy="178592"/>
                          <a:chOff x="1202266" y="1125361"/>
                          <a:chExt cx="496712" cy="666750"/>
                        </a:xfrm>
                      </xdr:grpSpPr>
                      <xdr:grpSp>
                        <xdr:nvGrpSpPr>
                          <xdr:cNvPr id="961" name="Shape 961"/>
                          <xdr:cNvGrpSpPr/>
                        </xdr:nvGrpSpPr>
                        <xdr:grpSpPr>
                          <a:xfrm>
                            <a:off x="1202266" y="1125361"/>
                            <a:ext cx="496712" cy="666750"/>
                            <a:chOff x="1202266" y="1125361"/>
                            <a:chExt cx="496712" cy="666750"/>
                          </a:xfrm>
                        </xdr:grpSpPr>
                        <xdr:sp>
                          <xdr:nvSpPr>
                            <xdr:cNvPr id="962" name="Shape 9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3" name="Shape 9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4" name="Shape 9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5" name="Shape 9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6" name="Shape 9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7" name="Shape 9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68" name="Shape 96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69" name="Shape 969"/>
                      <xdr:cNvGrpSpPr/>
                    </xdr:nvGrpSpPr>
                    <xdr:grpSpPr>
                      <a:xfrm>
                        <a:off x="6521706" y="8564968"/>
                        <a:ext cx="505408" cy="182480"/>
                        <a:chOff x="829805" y="8448798"/>
                        <a:chExt cx="490780" cy="178592"/>
                      </a:xfrm>
                    </xdr:grpSpPr>
                    <xdr:grpSp>
                      <xdr:nvGrpSpPr>
                        <xdr:cNvPr id="970" name="Shape 970"/>
                        <xdr:cNvGrpSpPr/>
                      </xdr:nvGrpSpPr>
                      <xdr:grpSpPr>
                        <a:xfrm>
                          <a:off x="829805" y="8448798"/>
                          <a:ext cx="122695" cy="178592"/>
                          <a:chOff x="1202266" y="1125361"/>
                          <a:chExt cx="496712" cy="666750"/>
                        </a:xfrm>
                      </xdr:grpSpPr>
                      <xdr:grpSp>
                        <xdr:nvGrpSpPr>
                          <xdr:cNvPr id="971" name="Shape 971"/>
                          <xdr:cNvGrpSpPr/>
                        </xdr:nvGrpSpPr>
                        <xdr:grpSpPr>
                          <a:xfrm>
                            <a:off x="1202266" y="1125361"/>
                            <a:ext cx="496712" cy="666750"/>
                            <a:chOff x="1202266" y="1125361"/>
                            <a:chExt cx="496712" cy="666750"/>
                          </a:xfrm>
                        </xdr:grpSpPr>
                        <xdr:sp>
                          <xdr:nvSpPr>
                            <xdr:cNvPr id="972" name="Shape 97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3" name="Shape 97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4" name="Shape 97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5" name="Shape 97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6" name="Shape 97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7" name="Shape 97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78" name="Shape 97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79" name="Shape 979"/>
                        <xdr:cNvGrpSpPr/>
                      </xdr:nvGrpSpPr>
                      <xdr:grpSpPr>
                        <a:xfrm>
                          <a:off x="952500" y="8448798"/>
                          <a:ext cx="122695" cy="178592"/>
                          <a:chOff x="1202266" y="1125361"/>
                          <a:chExt cx="496712" cy="666750"/>
                        </a:xfrm>
                      </xdr:grpSpPr>
                      <xdr:grpSp>
                        <xdr:nvGrpSpPr>
                          <xdr:cNvPr id="980" name="Shape 980"/>
                          <xdr:cNvGrpSpPr/>
                        </xdr:nvGrpSpPr>
                        <xdr:grpSpPr>
                          <a:xfrm>
                            <a:off x="1202266" y="1125361"/>
                            <a:ext cx="496712" cy="666750"/>
                            <a:chOff x="1202266" y="1125361"/>
                            <a:chExt cx="496712" cy="666750"/>
                          </a:xfrm>
                        </xdr:grpSpPr>
                        <xdr:sp>
                          <xdr:nvSpPr>
                            <xdr:cNvPr id="981" name="Shape 98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2" name="Shape 98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3" name="Shape 98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4" name="Shape 98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5" name="Shape 98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6" name="Shape 98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87" name="Shape 98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88" name="Shape 988"/>
                        <xdr:cNvGrpSpPr/>
                      </xdr:nvGrpSpPr>
                      <xdr:grpSpPr>
                        <a:xfrm>
                          <a:off x="1075195" y="8448798"/>
                          <a:ext cx="122695" cy="178592"/>
                          <a:chOff x="1202266" y="1125361"/>
                          <a:chExt cx="496712" cy="666750"/>
                        </a:xfrm>
                      </xdr:grpSpPr>
                      <xdr:grpSp>
                        <xdr:nvGrpSpPr>
                          <xdr:cNvPr id="989" name="Shape 989"/>
                          <xdr:cNvGrpSpPr/>
                        </xdr:nvGrpSpPr>
                        <xdr:grpSpPr>
                          <a:xfrm>
                            <a:off x="1202266" y="1125361"/>
                            <a:ext cx="496712" cy="666750"/>
                            <a:chOff x="1202266" y="1125361"/>
                            <a:chExt cx="496712" cy="666750"/>
                          </a:xfrm>
                        </xdr:grpSpPr>
                        <xdr:sp>
                          <xdr:nvSpPr>
                            <xdr:cNvPr id="990" name="Shape 99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1" name="Shape 99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2" name="Shape 99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3" name="Shape 99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4" name="Shape 99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5" name="Shape 99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96" name="Shape 99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97" name="Shape 997"/>
                        <xdr:cNvGrpSpPr/>
                      </xdr:nvGrpSpPr>
                      <xdr:grpSpPr>
                        <a:xfrm>
                          <a:off x="1197890" y="8448798"/>
                          <a:ext cx="122695" cy="178592"/>
                          <a:chOff x="1202266" y="1125361"/>
                          <a:chExt cx="496712" cy="666750"/>
                        </a:xfrm>
                      </xdr:grpSpPr>
                      <xdr:grpSp>
                        <xdr:nvGrpSpPr>
                          <xdr:cNvPr id="998" name="Shape 998"/>
                          <xdr:cNvGrpSpPr/>
                        </xdr:nvGrpSpPr>
                        <xdr:grpSpPr>
                          <a:xfrm>
                            <a:off x="1202266" y="1125361"/>
                            <a:ext cx="496712" cy="666750"/>
                            <a:chOff x="1202266" y="1125361"/>
                            <a:chExt cx="496712" cy="666750"/>
                          </a:xfrm>
                        </xdr:grpSpPr>
                        <xdr:sp>
                          <xdr:nvSpPr>
                            <xdr:cNvPr id="999" name="Shape 99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0" name="Shape 100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1" name="Shape 100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2" name="Shape 100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3" name="Shape 100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4" name="Shape 100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05" name="Shape 100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06" name="Shape 1006"/>
                      <xdr:cNvGrpSpPr/>
                    </xdr:nvGrpSpPr>
                    <xdr:grpSpPr>
                      <a:xfrm>
                        <a:off x="7153467" y="8564968"/>
                        <a:ext cx="505408" cy="182480"/>
                        <a:chOff x="829805" y="8448798"/>
                        <a:chExt cx="490780" cy="178592"/>
                      </a:xfrm>
                    </xdr:grpSpPr>
                    <xdr:grpSp>
                      <xdr:nvGrpSpPr>
                        <xdr:cNvPr id="1007" name="Shape 1007"/>
                        <xdr:cNvGrpSpPr/>
                      </xdr:nvGrpSpPr>
                      <xdr:grpSpPr>
                        <a:xfrm>
                          <a:off x="829805" y="8448798"/>
                          <a:ext cx="122695" cy="178592"/>
                          <a:chOff x="1202266" y="1125361"/>
                          <a:chExt cx="496712" cy="666750"/>
                        </a:xfrm>
                      </xdr:grpSpPr>
                      <xdr:grpSp>
                        <xdr:nvGrpSpPr>
                          <xdr:cNvPr id="1008" name="Shape 1008"/>
                          <xdr:cNvGrpSpPr/>
                        </xdr:nvGrpSpPr>
                        <xdr:grpSpPr>
                          <a:xfrm>
                            <a:off x="1202266" y="1125361"/>
                            <a:ext cx="496712" cy="666750"/>
                            <a:chOff x="1202266" y="1125361"/>
                            <a:chExt cx="496712" cy="666750"/>
                          </a:xfrm>
                        </xdr:grpSpPr>
                        <xdr:sp>
                          <xdr:nvSpPr>
                            <xdr:cNvPr id="1009" name="Shape 100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0" name="Shape 101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1" name="Shape 101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2" name="Shape 101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3" name="Shape 101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4" name="Shape 101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15" name="Shape 101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16" name="Shape 1016"/>
                        <xdr:cNvGrpSpPr/>
                      </xdr:nvGrpSpPr>
                      <xdr:grpSpPr>
                        <a:xfrm>
                          <a:off x="952500" y="8448798"/>
                          <a:ext cx="122695" cy="178592"/>
                          <a:chOff x="1202266" y="1125361"/>
                          <a:chExt cx="496712" cy="666750"/>
                        </a:xfrm>
                      </xdr:grpSpPr>
                      <xdr:grpSp>
                        <xdr:nvGrpSpPr>
                          <xdr:cNvPr id="1017" name="Shape 1017"/>
                          <xdr:cNvGrpSpPr/>
                        </xdr:nvGrpSpPr>
                        <xdr:grpSpPr>
                          <a:xfrm>
                            <a:off x="1202266" y="1125361"/>
                            <a:ext cx="496712" cy="666750"/>
                            <a:chOff x="1202266" y="1125361"/>
                            <a:chExt cx="496712" cy="666750"/>
                          </a:xfrm>
                        </xdr:grpSpPr>
                        <xdr:sp>
                          <xdr:nvSpPr>
                            <xdr:cNvPr id="1018" name="Shape 101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9" name="Shape 101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0" name="Shape 102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1" name="Shape 102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2" name="Shape 102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3" name="Shape 102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24" name="Shape 102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25" name="Shape 1025"/>
                        <xdr:cNvGrpSpPr/>
                      </xdr:nvGrpSpPr>
                      <xdr:grpSpPr>
                        <a:xfrm>
                          <a:off x="1075195" y="8448798"/>
                          <a:ext cx="122695" cy="178592"/>
                          <a:chOff x="1202266" y="1125361"/>
                          <a:chExt cx="496712" cy="666750"/>
                        </a:xfrm>
                      </xdr:grpSpPr>
                      <xdr:grpSp>
                        <xdr:nvGrpSpPr>
                          <xdr:cNvPr id="1026" name="Shape 1026"/>
                          <xdr:cNvGrpSpPr/>
                        </xdr:nvGrpSpPr>
                        <xdr:grpSpPr>
                          <a:xfrm>
                            <a:off x="1202266" y="1125361"/>
                            <a:ext cx="496712" cy="666750"/>
                            <a:chOff x="1202266" y="1125361"/>
                            <a:chExt cx="496712" cy="666750"/>
                          </a:xfrm>
                        </xdr:grpSpPr>
                        <xdr:sp>
                          <xdr:nvSpPr>
                            <xdr:cNvPr id="1027" name="Shape 102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8" name="Shape 102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9" name="Shape 102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0" name="Shape 103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1" name="Shape 103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2" name="Shape 103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33" name="Shape 103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34" name="Shape 1034"/>
                        <xdr:cNvGrpSpPr/>
                      </xdr:nvGrpSpPr>
                      <xdr:grpSpPr>
                        <a:xfrm>
                          <a:off x="1197890" y="8448798"/>
                          <a:ext cx="122695" cy="178592"/>
                          <a:chOff x="1202266" y="1125361"/>
                          <a:chExt cx="496712" cy="666750"/>
                        </a:xfrm>
                      </xdr:grpSpPr>
                      <xdr:grpSp>
                        <xdr:nvGrpSpPr>
                          <xdr:cNvPr id="1035" name="Shape 1035"/>
                          <xdr:cNvGrpSpPr/>
                        </xdr:nvGrpSpPr>
                        <xdr:grpSpPr>
                          <a:xfrm>
                            <a:off x="1202266" y="1125361"/>
                            <a:ext cx="496712" cy="666750"/>
                            <a:chOff x="1202266" y="1125361"/>
                            <a:chExt cx="496712" cy="666750"/>
                          </a:xfrm>
                        </xdr:grpSpPr>
                        <xdr:sp>
                          <xdr:nvSpPr>
                            <xdr:cNvPr id="1036" name="Shape 103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7" name="Shape 103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8" name="Shape 103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9" name="Shape 103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0" name="Shape 104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1" name="Shape 104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42" name="Shape 104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43" name="Shape 1043"/>
                      <xdr:cNvGrpSpPr/>
                    </xdr:nvGrpSpPr>
                    <xdr:grpSpPr>
                      <a:xfrm>
                        <a:off x="7785227" y="8564968"/>
                        <a:ext cx="505408" cy="182480"/>
                        <a:chOff x="829805" y="8448798"/>
                        <a:chExt cx="490780" cy="178592"/>
                      </a:xfrm>
                    </xdr:grpSpPr>
                    <xdr:grpSp>
                      <xdr:nvGrpSpPr>
                        <xdr:cNvPr id="1044" name="Shape 1044"/>
                        <xdr:cNvGrpSpPr/>
                      </xdr:nvGrpSpPr>
                      <xdr:grpSpPr>
                        <a:xfrm>
                          <a:off x="829805" y="8448798"/>
                          <a:ext cx="122695" cy="178592"/>
                          <a:chOff x="1202266" y="1125361"/>
                          <a:chExt cx="496712" cy="666750"/>
                        </a:xfrm>
                      </xdr:grpSpPr>
                      <xdr:grpSp>
                        <xdr:nvGrpSpPr>
                          <xdr:cNvPr id="1045" name="Shape 1045"/>
                          <xdr:cNvGrpSpPr/>
                        </xdr:nvGrpSpPr>
                        <xdr:grpSpPr>
                          <a:xfrm>
                            <a:off x="1202266" y="1125361"/>
                            <a:ext cx="496712" cy="666750"/>
                            <a:chOff x="1202266" y="1125361"/>
                            <a:chExt cx="496712" cy="666750"/>
                          </a:xfrm>
                        </xdr:grpSpPr>
                        <xdr:sp>
                          <xdr:nvSpPr>
                            <xdr:cNvPr id="1046" name="Shape 10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7" name="Shape 10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8" name="Shape 10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9" name="Shape 10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0" name="Shape 10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1" name="Shape 10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52" name="Shape 105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53" name="Shape 1053"/>
                        <xdr:cNvGrpSpPr/>
                      </xdr:nvGrpSpPr>
                      <xdr:grpSpPr>
                        <a:xfrm>
                          <a:off x="952500" y="8448798"/>
                          <a:ext cx="122695" cy="178592"/>
                          <a:chOff x="1202266" y="1125361"/>
                          <a:chExt cx="496712" cy="666750"/>
                        </a:xfrm>
                      </xdr:grpSpPr>
                      <xdr:grpSp>
                        <xdr:nvGrpSpPr>
                          <xdr:cNvPr id="1054" name="Shape 1054"/>
                          <xdr:cNvGrpSpPr/>
                        </xdr:nvGrpSpPr>
                        <xdr:grpSpPr>
                          <a:xfrm>
                            <a:off x="1202266" y="1125361"/>
                            <a:ext cx="496712" cy="666750"/>
                            <a:chOff x="1202266" y="1125361"/>
                            <a:chExt cx="496712" cy="666750"/>
                          </a:xfrm>
                        </xdr:grpSpPr>
                        <xdr:sp>
                          <xdr:nvSpPr>
                            <xdr:cNvPr id="1055" name="Shape 105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6" name="Shape 105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7" name="Shape 105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8" name="Shape 105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9" name="Shape 105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0" name="Shape 106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61" name="Shape 106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62" name="Shape 1062"/>
                        <xdr:cNvGrpSpPr/>
                      </xdr:nvGrpSpPr>
                      <xdr:grpSpPr>
                        <a:xfrm>
                          <a:off x="1075195" y="8448798"/>
                          <a:ext cx="122695" cy="178592"/>
                          <a:chOff x="1202266" y="1125361"/>
                          <a:chExt cx="496712" cy="666750"/>
                        </a:xfrm>
                      </xdr:grpSpPr>
                      <xdr:grpSp>
                        <xdr:nvGrpSpPr>
                          <xdr:cNvPr id="1063" name="Shape 1063"/>
                          <xdr:cNvGrpSpPr/>
                        </xdr:nvGrpSpPr>
                        <xdr:grpSpPr>
                          <a:xfrm>
                            <a:off x="1202266" y="1125361"/>
                            <a:ext cx="496712" cy="666750"/>
                            <a:chOff x="1202266" y="1125361"/>
                            <a:chExt cx="496712" cy="666750"/>
                          </a:xfrm>
                        </xdr:grpSpPr>
                        <xdr:sp>
                          <xdr:nvSpPr>
                            <xdr:cNvPr id="1064" name="Shape 106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5" name="Shape 106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6" name="Shape 106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7" name="Shape 106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8" name="Shape 106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9" name="Shape 106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70" name="Shape 107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71" name="Shape 1071"/>
                        <xdr:cNvGrpSpPr/>
                      </xdr:nvGrpSpPr>
                      <xdr:grpSpPr>
                        <a:xfrm>
                          <a:off x="1197890" y="8448798"/>
                          <a:ext cx="122695" cy="178592"/>
                          <a:chOff x="1202266" y="1125361"/>
                          <a:chExt cx="496712" cy="666750"/>
                        </a:xfrm>
                      </xdr:grpSpPr>
                      <xdr:grpSp>
                        <xdr:nvGrpSpPr>
                          <xdr:cNvPr id="1072" name="Shape 1072"/>
                          <xdr:cNvGrpSpPr/>
                        </xdr:nvGrpSpPr>
                        <xdr:grpSpPr>
                          <a:xfrm>
                            <a:off x="1202266" y="1125361"/>
                            <a:ext cx="496712" cy="666750"/>
                            <a:chOff x="1202266" y="1125361"/>
                            <a:chExt cx="496712" cy="666750"/>
                          </a:xfrm>
                        </xdr:grpSpPr>
                        <xdr:sp>
                          <xdr:nvSpPr>
                            <xdr:cNvPr id="1073" name="Shape 107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4" name="Shape 107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5" name="Shape 107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6" name="Shape 107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7" name="Shape 107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8" name="Shape 107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79" name="Shape 107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080" name="Shape 1080"/>
                    <xdr:cNvSpPr/>
                  </xdr:nvSpPr>
                  <xdr:spPr>
                    <a:xfrm>
                      <a:off x="800100" y="86106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2</xdr:col>
      <xdr:colOff>19050</xdr:colOff>
      <xdr:row>59</xdr:row>
      <xdr:rowOff>19050</xdr:rowOff>
    </xdr:from>
    <xdr:ext cx="7905750" cy="247650"/>
    <xdr:grpSp>
      <xdr:nvGrpSpPr>
        <xdr:cNvPr id="2" name="Shape 2"/>
        <xdr:cNvGrpSpPr/>
      </xdr:nvGrpSpPr>
      <xdr:grpSpPr>
        <a:xfrm>
          <a:off x="1393125" y="3656175"/>
          <a:ext cx="7905750" cy="247650"/>
          <a:chOff x="1393125" y="3656175"/>
          <a:chExt cx="7905750" cy="247650"/>
        </a:xfrm>
      </xdr:grpSpPr>
      <xdr:grpSp>
        <xdr:nvGrpSpPr>
          <xdr:cNvPr id="1081" name="Shape 1081"/>
          <xdr:cNvGrpSpPr/>
        </xdr:nvGrpSpPr>
        <xdr:grpSpPr>
          <a:xfrm>
            <a:off x="1393125" y="3656175"/>
            <a:ext cx="79057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82" name="Shape 1082"/>
            <xdr:cNvGrpSpPr/>
          </xdr:nvGrpSpPr>
          <xdr:grpSpPr>
            <a:xfrm>
              <a:off x="1393125" y="3656175"/>
              <a:ext cx="7905750" cy="247650"/>
              <a:chOff x="1393125" y="3656175"/>
              <a:chExt cx="7905750" cy="247650"/>
            </a:xfrm>
          </xdr:grpSpPr>
          <xdr:sp>
            <xdr:nvSpPr>
              <xdr:cNvPr id="1083" name="Shape 1083"/>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4" name="Shape 1084"/>
              <xdr:cNvGrpSpPr/>
            </xdr:nvGrpSpPr>
            <xdr:grpSpPr>
              <a:xfrm>
                <a:off x="1393125" y="3656175"/>
                <a:ext cx="7905750" cy="247650"/>
                <a:chOff x="1393125" y="3656175"/>
                <a:chExt cx="7905750" cy="247650"/>
              </a:xfrm>
            </xdr:grpSpPr>
            <xdr:sp>
              <xdr:nvSpPr>
                <xdr:cNvPr id="1085" name="Shape 1085"/>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6" name="Shape 1086"/>
                <xdr:cNvGrpSpPr/>
              </xdr:nvGrpSpPr>
              <xdr:grpSpPr>
                <a:xfrm>
                  <a:off x="1393125" y="3656175"/>
                  <a:ext cx="7905750" cy="247650"/>
                  <a:chOff x="1393125" y="3656174"/>
                  <a:chExt cx="7905750" cy="247651"/>
                </a:xfrm>
              </xdr:grpSpPr>
              <xdr:sp>
                <xdr:nvSpPr>
                  <xdr:cNvPr id="1087" name="Shape 1087"/>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8" name="Shape 1088"/>
                  <xdr:cNvGrpSpPr/>
                </xdr:nvGrpSpPr>
                <xdr:grpSpPr>
                  <a:xfrm>
                    <a:off x="1393125" y="3656174"/>
                    <a:ext cx="7905750" cy="247651"/>
                    <a:chOff x="723900" y="11737376"/>
                    <a:chExt cx="7905750" cy="245074"/>
                  </a:xfrm>
                </xdr:grpSpPr>
                <xdr:sp>
                  <xdr:nvSpPr>
                    <xdr:cNvPr id="1089" name="Shape 1089"/>
                    <xdr:cNvSpPr/>
                  </xdr:nvSpPr>
                  <xdr:spPr>
                    <a:xfrm>
                      <a:off x="723900" y="1173737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0" name="Shape 1090"/>
                    <xdr:cNvGrpSpPr/>
                  </xdr:nvGrpSpPr>
                  <xdr:grpSpPr>
                    <a:xfrm>
                      <a:off x="828673" y="11737376"/>
                      <a:ext cx="5448300" cy="178592"/>
                      <a:chOff x="835865" y="11927876"/>
                      <a:chExt cx="5559490" cy="182480"/>
                    </a:xfrm>
                  </xdr:grpSpPr>
                  <xdr:grpSp>
                    <xdr:nvGrpSpPr>
                      <xdr:cNvPr id="1091" name="Shape 1091"/>
                      <xdr:cNvGrpSpPr/>
                    </xdr:nvGrpSpPr>
                    <xdr:grpSpPr>
                      <a:xfrm>
                        <a:off x="835865" y="11927876"/>
                        <a:ext cx="505408" cy="182480"/>
                        <a:chOff x="829805" y="8448798"/>
                        <a:chExt cx="490780" cy="178592"/>
                      </a:xfrm>
                    </xdr:grpSpPr>
                    <xdr:grpSp>
                      <xdr:nvGrpSpPr>
                        <xdr:cNvPr id="1092" name="Shape 1092"/>
                        <xdr:cNvGrpSpPr/>
                      </xdr:nvGrpSpPr>
                      <xdr:grpSpPr>
                        <a:xfrm>
                          <a:off x="829805" y="8448798"/>
                          <a:ext cx="122695" cy="178592"/>
                          <a:chOff x="1202266" y="1125361"/>
                          <a:chExt cx="496712" cy="666750"/>
                        </a:xfrm>
                      </xdr:grpSpPr>
                      <xdr:grpSp>
                        <xdr:nvGrpSpPr>
                          <xdr:cNvPr id="1093" name="Shape 1093"/>
                          <xdr:cNvGrpSpPr/>
                        </xdr:nvGrpSpPr>
                        <xdr:grpSpPr>
                          <a:xfrm>
                            <a:off x="1202266" y="1125361"/>
                            <a:ext cx="496712" cy="666750"/>
                            <a:chOff x="1202266" y="1125361"/>
                            <a:chExt cx="496712" cy="666750"/>
                          </a:xfrm>
                        </xdr:grpSpPr>
                        <xdr:sp>
                          <xdr:nvSpPr>
                            <xdr:cNvPr id="1094" name="Shape 10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5" name="Shape 10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6" name="Shape 10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7" name="Shape 10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8" name="Shape 10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9" name="Shape 10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00" name="Shape 110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01" name="Shape 1101"/>
                        <xdr:cNvGrpSpPr/>
                      </xdr:nvGrpSpPr>
                      <xdr:grpSpPr>
                        <a:xfrm>
                          <a:off x="952500" y="8448798"/>
                          <a:ext cx="122695" cy="178592"/>
                          <a:chOff x="1202266" y="1125361"/>
                          <a:chExt cx="496712" cy="666750"/>
                        </a:xfrm>
                      </xdr:grpSpPr>
                      <xdr:grpSp>
                        <xdr:nvGrpSpPr>
                          <xdr:cNvPr id="1102" name="Shape 1102"/>
                          <xdr:cNvGrpSpPr/>
                        </xdr:nvGrpSpPr>
                        <xdr:grpSpPr>
                          <a:xfrm>
                            <a:off x="1202266" y="1125361"/>
                            <a:ext cx="496712" cy="666750"/>
                            <a:chOff x="1202266" y="1125361"/>
                            <a:chExt cx="496712" cy="666750"/>
                          </a:xfrm>
                        </xdr:grpSpPr>
                        <xdr:sp>
                          <xdr:nvSpPr>
                            <xdr:cNvPr id="1103" name="Shape 11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4" name="Shape 11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5" name="Shape 11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6" name="Shape 11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7" name="Shape 11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8" name="Shape 11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09" name="Shape 110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10" name="Shape 1110"/>
                        <xdr:cNvGrpSpPr/>
                      </xdr:nvGrpSpPr>
                      <xdr:grpSpPr>
                        <a:xfrm>
                          <a:off x="1075195" y="8448798"/>
                          <a:ext cx="122695" cy="178592"/>
                          <a:chOff x="1202266" y="1125361"/>
                          <a:chExt cx="496712" cy="666750"/>
                        </a:xfrm>
                      </xdr:grpSpPr>
                      <xdr:grpSp>
                        <xdr:nvGrpSpPr>
                          <xdr:cNvPr id="1111" name="Shape 1111"/>
                          <xdr:cNvGrpSpPr/>
                        </xdr:nvGrpSpPr>
                        <xdr:grpSpPr>
                          <a:xfrm>
                            <a:off x="1202266" y="1125361"/>
                            <a:ext cx="496712" cy="666750"/>
                            <a:chOff x="1202266" y="1125361"/>
                            <a:chExt cx="496712" cy="666750"/>
                          </a:xfrm>
                        </xdr:grpSpPr>
                        <xdr:sp>
                          <xdr:nvSpPr>
                            <xdr:cNvPr id="1112" name="Shape 11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3" name="Shape 11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4" name="Shape 11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5" name="Shape 11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6" name="Shape 11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7" name="Shape 11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18" name="Shape 111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19" name="Shape 1119"/>
                        <xdr:cNvGrpSpPr/>
                      </xdr:nvGrpSpPr>
                      <xdr:grpSpPr>
                        <a:xfrm>
                          <a:off x="1197890" y="8448798"/>
                          <a:ext cx="122695" cy="178592"/>
                          <a:chOff x="1202266" y="1125361"/>
                          <a:chExt cx="496712" cy="666750"/>
                        </a:xfrm>
                      </xdr:grpSpPr>
                      <xdr:grpSp>
                        <xdr:nvGrpSpPr>
                          <xdr:cNvPr id="1120" name="Shape 1120"/>
                          <xdr:cNvGrpSpPr/>
                        </xdr:nvGrpSpPr>
                        <xdr:grpSpPr>
                          <a:xfrm>
                            <a:off x="1202266" y="1125361"/>
                            <a:ext cx="496712" cy="666750"/>
                            <a:chOff x="1202266" y="1125361"/>
                            <a:chExt cx="496712" cy="666750"/>
                          </a:xfrm>
                        </xdr:grpSpPr>
                        <xdr:sp>
                          <xdr:nvSpPr>
                            <xdr:cNvPr id="1121" name="Shape 112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2" name="Shape 112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3" name="Shape 112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4" name="Shape 112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5" name="Shape 112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6" name="Shape 112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27" name="Shape 112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28" name="Shape 1128"/>
                      <xdr:cNvGrpSpPr/>
                    </xdr:nvGrpSpPr>
                    <xdr:grpSpPr>
                      <a:xfrm>
                        <a:off x="1467625" y="11927876"/>
                        <a:ext cx="505408" cy="182480"/>
                        <a:chOff x="829805" y="8448798"/>
                        <a:chExt cx="490780" cy="178592"/>
                      </a:xfrm>
                    </xdr:grpSpPr>
                    <xdr:grpSp>
                      <xdr:nvGrpSpPr>
                        <xdr:cNvPr id="1129" name="Shape 1129"/>
                        <xdr:cNvGrpSpPr/>
                      </xdr:nvGrpSpPr>
                      <xdr:grpSpPr>
                        <a:xfrm>
                          <a:off x="829805" y="8448798"/>
                          <a:ext cx="122695" cy="178592"/>
                          <a:chOff x="1202266" y="1125361"/>
                          <a:chExt cx="496712" cy="666750"/>
                        </a:xfrm>
                      </xdr:grpSpPr>
                      <xdr:grpSp>
                        <xdr:nvGrpSpPr>
                          <xdr:cNvPr id="1130" name="Shape 1130"/>
                          <xdr:cNvGrpSpPr/>
                        </xdr:nvGrpSpPr>
                        <xdr:grpSpPr>
                          <a:xfrm>
                            <a:off x="1202266" y="1125361"/>
                            <a:ext cx="496712" cy="666750"/>
                            <a:chOff x="1202266" y="1125361"/>
                            <a:chExt cx="496712" cy="666750"/>
                          </a:xfrm>
                        </xdr:grpSpPr>
                        <xdr:sp>
                          <xdr:nvSpPr>
                            <xdr:cNvPr id="1131" name="Shape 113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2" name="Shape 113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3" name="Shape 113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4" name="Shape 113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5" name="Shape 113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6" name="Shape 113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37" name="Shape 113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38" name="Shape 1138"/>
                        <xdr:cNvGrpSpPr/>
                      </xdr:nvGrpSpPr>
                      <xdr:grpSpPr>
                        <a:xfrm>
                          <a:off x="952500" y="8448798"/>
                          <a:ext cx="122695" cy="178592"/>
                          <a:chOff x="1202266" y="1125361"/>
                          <a:chExt cx="496712" cy="666750"/>
                        </a:xfrm>
                      </xdr:grpSpPr>
                      <xdr:grpSp>
                        <xdr:nvGrpSpPr>
                          <xdr:cNvPr id="1139" name="Shape 1139"/>
                          <xdr:cNvGrpSpPr/>
                        </xdr:nvGrpSpPr>
                        <xdr:grpSpPr>
                          <a:xfrm>
                            <a:off x="1202266" y="1125361"/>
                            <a:ext cx="496712" cy="666750"/>
                            <a:chOff x="1202266" y="1125361"/>
                            <a:chExt cx="496712" cy="666750"/>
                          </a:xfrm>
                        </xdr:grpSpPr>
                        <xdr:sp>
                          <xdr:nvSpPr>
                            <xdr:cNvPr id="1140" name="Shape 114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1" name="Shape 114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2" name="Shape 114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3" name="Shape 114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4" name="Shape 114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5" name="Shape 114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46" name="Shape 114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47" name="Shape 1147"/>
                        <xdr:cNvGrpSpPr/>
                      </xdr:nvGrpSpPr>
                      <xdr:grpSpPr>
                        <a:xfrm>
                          <a:off x="1075195" y="8448798"/>
                          <a:ext cx="122695" cy="178592"/>
                          <a:chOff x="1202266" y="1125361"/>
                          <a:chExt cx="496712" cy="666750"/>
                        </a:xfrm>
                      </xdr:grpSpPr>
                      <xdr:grpSp>
                        <xdr:nvGrpSpPr>
                          <xdr:cNvPr id="1148" name="Shape 1148"/>
                          <xdr:cNvGrpSpPr/>
                        </xdr:nvGrpSpPr>
                        <xdr:grpSpPr>
                          <a:xfrm>
                            <a:off x="1202266" y="1125361"/>
                            <a:ext cx="496712" cy="666750"/>
                            <a:chOff x="1202266" y="1125361"/>
                            <a:chExt cx="496712" cy="666750"/>
                          </a:xfrm>
                        </xdr:grpSpPr>
                        <xdr:sp>
                          <xdr:nvSpPr>
                            <xdr:cNvPr id="1149" name="Shape 114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0" name="Shape 115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1" name="Shape 115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2" name="Shape 115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3" name="Shape 115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4" name="Shape 115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55" name="Shape 115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56" name="Shape 1156"/>
                        <xdr:cNvGrpSpPr/>
                      </xdr:nvGrpSpPr>
                      <xdr:grpSpPr>
                        <a:xfrm>
                          <a:off x="1197890" y="8448798"/>
                          <a:ext cx="122695" cy="178592"/>
                          <a:chOff x="1202266" y="1125361"/>
                          <a:chExt cx="496712" cy="666750"/>
                        </a:xfrm>
                      </xdr:grpSpPr>
                      <xdr:grpSp>
                        <xdr:nvGrpSpPr>
                          <xdr:cNvPr id="1157" name="Shape 1157"/>
                          <xdr:cNvGrpSpPr/>
                        </xdr:nvGrpSpPr>
                        <xdr:grpSpPr>
                          <a:xfrm>
                            <a:off x="1202266" y="1125361"/>
                            <a:ext cx="496712" cy="666750"/>
                            <a:chOff x="1202266" y="1125361"/>
                            <a:chExt cx="496712" cy="666750"/>
                          </a:xfrm>
                        </xdr:grpSpPr>
                        <xdr:sp>
                          <xdr:nvSpPr>
                            <xdr:cNvPr id="1158" name="Shape 115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9" name="Shape 115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0" name="Shape 116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1" name="Shape 116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2" name="Shape 116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3" name="Shape 116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64" name="Shape 116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65" name="Shape 1165"/>
                      <xdr:cNvGrpSpPr/>
                    </xdr:nvGrpSpPr>
                    <xdr:grpSpPr>
                      <a:xfrm>
                        <a:off x="2099385" y="11927876"/>
                        <a:ext cx="505408" cy="182480"/>
                        <a:chOff x="829805" y="8448798"/>
                        <a:chExt cx="490780" cy="178592"/>
                      </a:xfrm>
                    </xdr:grpSpPr>
                    <xdr:grpSp>
                      <xdr:nvGrpSpPr>
                        <xdr:cNvPr id="1166" name="Shape 1166"/>
                        <xdr:cNvGrpSpPr/>
                      </xdr:nvGrpSpPr>
                      <xdr:grpSpPr>
                        <a:xfrm>
                          <a:off x="829805" y="8448798"/>
                          <a:ext cx="122695" cy="178592"/>
                          <a:chOff x="1202266" y="1125361"/>
                          <a:chExt cx="496712" cy="666750"/>
                        </a:xfrm>
                      </xdr:grpSpPr>
                      <xdr:grpSp>
                        <xdr:nvGrpSpPr>
                          <xdr:cNvPr id="1167" name="Shape 1167"/>
                          <xdr:cNvGrpSpPr/>
                        </xdr:nvGrpSpPr>
                        <xdr:grpSpPr>
                          <a:xfrm>
                            <a:off x="1202266" y="1125361"/>
                            <a:ext cx="496712" cy="666750"/>
                            <a:chOff x="1202266" y="1125361"/>
                            <a:chExt cx="496712" cy="666750"/>
                          </a:xfrm>
                        </xdr:grpSpPr>
                        <xdr:sp>
                          <xdr:nvSpPr>
                            <xdr:cNvPr id="1168" name="Shape 116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9" name="Shape 116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0" name="Shape 117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1" name="Shape 117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2" name="Shape 117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3" name="Shape 117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74" name="Shape 117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75" name="Shape 1175"/>
                        <xdr:cNvGrpSpPr/>
                      </xdr:nvGrpSpPr>
                      <xdr:grpSpPr>
                        <a:xfrm>
                          <a:off x="952500" y="8448798"/>
                          <a:ext cx="122695" cy="178592"/>
                          <a:chOff x="1202266" y="1125361"/>
                          <a:chExt cx="496712" cy="666750"/>
                        </a:xfrm>
                      </xdr:grpSpPr>
                      <xdr:grpSp>
                        <xdr:nvGrpSpPr>
                          <xdr:cNvPr id="1176" name="Shape 1176"/>
                          <xdr:cNvGrpSpPr/>
                        </xdr:nvGrpSpPr>
                        <xdr:grpSpPr>
                          <a:xfrm>
                            <a:off x="1202266" y="1125361"/>
                            <a:ext cx="496712" cy="666750"/>
                            <a:chOff x="1202266" y="1125361"/>
                            <a:chExt cx="496712" cy="666750"/>
                          </a:xfrm>
                        </xdr:grpSpPr>
                        <xdr:sp>
                          <xdr:nvSpPr>
                            <xdr:cNvPr id="1177" name="Shape 117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8" name="Shape 117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9" name="Shape 117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0" name="Shape 118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1" name="Shape 118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2" name="Shape 118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83" name="Shape 118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84" name="Shape 1184"/>
                        <xdr:cNvGrpSpPr/>
                      </xdr:nvGrpSpPr>
                      <xdr:grpSpPr>
                        <a:xfrm>
                          <a:off x="1075195" y="8448798"/>
                          <a:ext cx="122695" cy="178592"/>
                          <a:chOff x="1202266" y="1125361"/>
                          <a:chExt cx="496712" cy="666750"/>
                        </a:xfrm>
                      </xdr:grpSpPr>
                      <xdr:grpSp>
                        <xdr:nvGrpSpPr>
                          <xdr:cNvPr id="1185" name="Shape 1185"/>
                          <xdr:cNvGrpSpPr/>
                        </xdr:nvGrpSpPr>
                        <xdr:grpSpPr>
                          <a:xfrm>
                            <a:off x="1202266" y="1125361"/>
                            <a:ext cx="496712" cy="666750"/>
                            <a:chOff x="1202266" y="1125361"/>
                            <a:chExt cx="496712" cy="666750"/>
                          </a:xfrm>
                        </xdr:grpSpPr>
                        <xdr:sp>
                          <xdr:nvSpPr>
                            <xdr:cNvPr id="1186" name="Shape 118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7" name="Shape 118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8" name="Shape 118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9" name="Shape 118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0" name="Shape 119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1" name="Shape 119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92" name="Shape 119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93" name="Shape 1193"/>
                        <xdr:cNvGrpSpPr/>
                      </xdr:nvGrpSpPr>
                      <xdr:grpSpPr>
                        <a:xfrm>
                          <a:off x="1197890" y="8448798"/>
                          <a:ext cx="122695" cy="178592"/>
                          <a:chOff x="1202266" y="1125361"/>
                          <a:chExt cx="496712" cy="666750"/>
                        </a:xfrm>
                      </xdr:grpSpPr>
                      <xdr:grpSp>
                        <xdr:nvGrpSpPr>
                          <xdr:cNvPr id="1194" name="Shape 1194"/>
                          <xdr:cNvGrpSpPr/>
                        </xdr:nvGrpSpPr>
                        <xdr:grpSpPr>
                          <a:xfrm>
                            <a:off x="1202266" y="1125361"/>
                            <a:ext cx="496712" cy="666750"/>
                            <a:chOff x="1202266" y="1125361"/>
                            <a:chExt cx="496712" cy="666750"/>
                          </a:xfrm>
                        </xdr:grpSpPr>
                        <xdr:sp>
                          <xdr:nvSpPr>
                            <xdr:cNvPr id="1195" name="Shape 119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6" name="Shape 119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7" name="Shape 119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8" name="Shape 119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9" name="Shape 119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0" name="Shape 120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01" name="Shape 120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02" name="Shape 1202"/>
                      <xdr:cNvGrpSpPr/>
                    </xdr:nvGrpSpPr>
                    <xdr:grpSpPr>
                      <a:xfrm>
                        <a:off x="2731145" y="11927876"/>
                        <a:ext cx="505408" cy="182480"/>
                        <a:chOff x="829805" y="8448798"/>
                        <a:chExt cx="490780" cy="178592"/>
                      </a:xfrm>
                    </xdr:grpSpPr>
                    <xdr:grpSp>
                      <xdr:nvGrpSpPr>
                        <xdr:cNvPr id="1203" name="Shape 1203"/>
                        <xdr:cNvGrpSpPr/>
                      </xdr:nvGrpSpPr>
                      <xdr:grpSpPr>
                        <a:xfrm>
                          <a:off x="829805" y="8448798"/>
                          <a:ext cx="122695" cy="178592"/>
                          <a:chOff x="1202266" y="1125361"/>
                          <a:chExt cx="496712" cy="666750"/>
                        </a:xfrm>
                      </xdr:grpSpPr>
                      <xdr:grpSp>
                        <xdr:nvGrpSpPr>
                          <xdr:cNvPr id="1204" name="Shape 1204"/>
                          <xdr:cNvGrpSpPr/>
                        </xdr:nvGrpSpPr>
                        <xdr:grpSpPr>
                          <a:xfrm>
                            <a:off x="1202266" y="1125361"/>
                            <a:ext cx="496712" cy="666750"/>
                            <a:chOff x="1202266" y="1125361"/>
                            <a:chExt cx="496712" cy="666750"/>
                          </a:xfrm>
                        </xdr:grpSpPr>
                        <xdr:sp>
                          <xdr:nvSpPr>
                            <xdr:cNvPr id="1205" name="Shape 120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6" name="Shape 120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7" name="Shape 120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8" name="Shape 120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9" name="Shape 120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0" name="Shape 121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11" name="Shape 121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12" name="Shape 1212"/>
                        <xdr:cNvGrpSpPr/>
                      </xdr:nvGrpSpPr>
                      <xdr:grpSpPr>
                        <a:xfrm>
                          <a:off x="952500" y="8448798"/>
                          <a:ext cx="122695" cy="178592"/>
                          <a:chOff x="1202266" y="1125361"/>
                          <a:chExt cx="496712" cy="666750"/>
                        </a:xfrm>
                      </xdr:grpSpPr>
                      <xdr:grpSp>
                        <xdr:nvGrpSpPr>
                          <xdr:cNvPr id="1213" name="Shape 1213"/>
                          <xdr:cNvGrpSpPr/>
                        </xdr:nvGrpSpPr>
                        <xdr:grpSpPr>
                          <a:xfrm>
                            <a:off x="1202266" y="1125361"/>
                            <a:ext cx="496712" cy="666750"/>
                            <a:chOff x="1202266" y="1125361"/>
                            <a:chExt cx="496712" cy="666750"/>
                          </a:xfrm>
                        </xdr:grpSpPr>
                        <xdr:sp>
                          <xdr:nvSpPr>
                            <xdr:cNvPr id="1214" name="Shape 121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5" name="Shape 121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6" name="Shape 121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7" name="Shape 121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8" name="Shape 121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9" name="Shape 121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20" name="Shape 122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21" name="Shape 1221"/>
                        <xdr:cNvGrpSpPr/>
                      </xdr:nvGrpSpPr>
                      <xdr:grpSpPr>
                        <a:xfrm>
                          <a:off x="1075195" y="8448798"/>
                          <a:ext cx="122695" cy="178592"/>
                          <a:chOff x="1202266" y="1125361"/>
                          <a:chExt cx="496712" cy="666750"/>
                        </a:xfrm>
                      </xdr:grpSpPr>
                      <xdr:grpSp>
                        <xdr:nvGrpSpPr>
                          <xdr:cNvPr id="1222" name="Shape 1222"/>
                          <xdr:cNvGrpSpPr/>
                        </xdr:nvGrpSpPr>
                        <xdr:grpSpPr>
                          <a:xfrm>
                            <a:off x="1202266" y="1125361"/>
                            <a:ext cx="496712" cy="666750"/>
                            <a:chOff x="1202266" y="1125361"/>
                            <a:chExt cx="496712" cy="666750"/>
                          </a:xfrm>
                        </xdr:grpSpPr>
                        <xdr:sp>
                          <xdr:nvSpPr>
                            <xdr:cNvPr id="1223" name="Shape 122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4" name="Shape 122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5" name="Shape 122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6" name="Shape 122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7" name="Shape 122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8" name="Shape 122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29" name="Shape 122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30" name="Shape 1230"/>
                        <xdr:cNvGrpSpPr/>
                      </xdr:nvGrpSpPr>
                      <xdr:grpSpPr>
                        <a:xfrm>
                          <a:off x="1197890" y="8448798"/>
                          <a:ext cx="122695" cy="178592"/>
                          <a:chOff x="1202266" y="1125361"/>
                          <a:chExt cx="496712" cy="666750"/>
                        </a:xfrm>
                      </xdr:grpSpPr>
                      <xdr:grpSp>
                        <xdr:nvGrpSpPr>
                          <xdr:cNvPr id="1231" name="Shape 1231"/>
                          <xdr:cNvGrpSpPr/>
                        </xdr:nvGrpSpPr>
                        <xdr:grpSpPr>
                          <a:xfrm>
                            <a:off x="1202266" y="1125361"/>
                            <a:ext cx="496712" cy="666750"/>
                            <a:chOff x="1202266" y="1125361"/>
                            <a:chExt cx="496712" cy="666750"/>
                          </a:xfrm>
                        </xdr:grpSpPr>
                        <xdr:sp>
                          <xdr:nvSpPr>
                            <xdr:cNvPr id="1232" name="Shape 123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3" name="Shape 123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4" name="Shape 123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5" name="Shape 123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6" name="Shape 123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7" name="Shape 123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38" name="Shape 123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39" name="Shape 1239"/>
                      <xdr:cNvGrpSpPr/>
                    </xdr:nvGrpSpPr>
                    <xdr:grpSpPr>
                      <a:xfrm>
                        <a:off x="3362905" y="11927876"/>
                        <a:ext cx="505408" cy="182480"/>
                        <a:chOff x="829805" y="8448798"/>
                        <a:chExt cx="490780" cy="178592"/>
                      </a:xfrm>
                    </xdr:grpSpPr>
                    <xdr:grpSp>
                      <xdr:nvGrpSpPr>
                        <xdr:cNvPr id="1240" name="Shape 1240"/>
                        <xdr:cNvGrpSpPr/>
                      </xdr:nvGrpSpPr>
                      <xdr:grpSpPr>
                        <a:xfrm>
                          <a:off x="829805" y="8448798"/>
                          <a:ext cx="122695" cy="178592"/>
                          <a:chOff x="1202266" y="1125361"/>
                          <a:chExt cx="496712" cy="666750"/>
                        </a:xfrm>
                      </xdr:grpSpPr>
                      <xdr:grpSp>
                        <xdr:nvGrpSpPr>
                          <xdr:cNvPr id="1241" name="Shape 1241"/>
                          <xdr:cNvGrpSpPr/>
                        </xdr:nvGrpSpPr>
                        <xdr:grpSpPr>
                          <a:xfrm>
                            <a:off x="1202266" y="1125361"/>
                            <a:ext cx="496712" cy="666750"/>
                            <a:chOff x="1202266" y="1125361"/>
                            <a:chExt cx="496712" cy="666750"/>
                          </a:xfrm>
                        </xdr:grpSpPr>
                        <xdr:sp>
                          <xdr:nvSpPr>
                            <xdr:cNvPr id="1242" name="Shape 12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3" name="Shape 12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4" name="Shape 12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5" name="Shape 12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6" name="Shape 12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7" name="Shape 12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48" name="Shape 124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49" name="Shape 1249"/>
                        <xdr:cNvGrpSpPr/>
                      </xdr:nvGrpSpPr>
                      <xdr:grpSpPr>
                        <a:xfrm>
                          <a:off x="952500" y="8448798"/>
                          <a:ext cx="122695" cy="178592"/>
                          <a:chOff x="1202266" y="1125361"/>
                          <a:chExt cx="496712" cy="666750"/>
                        </a:xfrm>
                      </xdr:grpSpPr>
                      <xdr:grpSp>
                        <xdr:nvGrpSpPr>
                          <xdr:cNvPr id="1250" name="Shape 1250"/>
                          <xdr:cNvGrpSpPr/>
                        </xdr:nvGrpSpPr>
                        <xdr:grpSpPr>
                          <a:xfrm>
                            <a:off x="1202266" y="1125361"/>
                            <a:ext cx="496712" cy="666750"/>
                            <a:chOff x="1202266" y="1125361"/>
                            <a:chExt cx="496712" cy="666750"/>
                          </a:xfrm>
                        </xdr:grpSpPr>
                        <xdr:sp>
                          <xdr:nvSpPr>
                            <xdr:cNvPr id="1251" name="Shape 12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2" name="Shape 12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3" name="Shape 12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4" name="Shape 12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5" name="Shape 12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6" name="Shape 12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57" name="Shape 125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58" name="Shape 1258"/>
                        <xdr:cNvGrpSpPr/>
                      </xdr:nvGrpSpPr>
                      <xdr:grpSpPr>
                        <a:xfrm>
                          <a:off x="1075195" y="8448798"/>
                          <a:ext cx="122695" cy="178592"/>
                          <a:chOff x="1202266" y="1125361"/>
                          <a:chExt cx="496712" cy="666750"/>
                        </a:xfrm>
                      </xdr:grpSpPr>
                      <xdr:grpSp>
                        <xdr:nvGrpSpPr>
                          <xdr:cNvPr id="1259" name="Shape 1259"/>
                          <xdr:cNvGrpSpPr/>
                        </xdr:nvGrpSpPr>
                        <xdr:grpSpPr>
                          <a:xfrm>
                            <a:off x="1202266" y="1125361"/>
                            <a:ext cx="496712" cy="666750"/>
                            <a:chOff x="1202266" y="1125361"/>
                            <a:chExt cx="496712" cy="666750"/>
                          </a:xfrm>
                        </xdr:grpSpPr>
                        <xdr:sp>
                          <xdr:nvSpPr>
                            <xdr:cNvPr id="1260" name="Shape 126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1" name="Shape 126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2" name="Shape 126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3" name="Shape 126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4" name="Shape 126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5" name="Shape 126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66" name="Shape 126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67" name="Shape 1267"/>
                        <xdr:cNvGrpSpPr/>
                      </xdr:nvGrpSpPr>
                      <xdr:grpSpPr>
                        <a:xfrm>
                          <a:off x="1197890" y="8448798"/>
                          <a:ext cx="122695" cy="178592"/>
                          <a:chOff x="1202266" y="1125361"/>
                          <a:chExt cx="496712" cy="666750"/>
                        </a:xfrm>
                      </xdr:grpSpPr>
                      <xdr:grpSp>
                        <xdr:nvGrpSpPr>
                          <xdr:cNvPr id="1268" name="Shape 1268"/>
                          <xdr:cNvGrpSpPr/>
                        </xdr:nvGrpSpPr>
                        <xdr:grpSpPr>
                          <a:xfrm>
                            <a:off x="1202266" y="1125361"/>
                            <a:ext cx="496712" cy="666750"/>
                            <a:chOff x="1202266" y="1125361"/>
                            <a:chExt cx="496712" cy="666750"/>
                          </a:xfrm>
                        </xdr:grpSpPr>
                        <xdr:sp>
                          <xdr:nvSpPr>
                            <xdr:cNvPr id="1269" name="Shape 126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0" name="Shape 127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1" name="Shape 127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2" name="Shape 127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3" name="Shape 127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4" name="Shape 127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75" name="Shape 127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76" name="Shape 1276"/>
                      <xdr:cNvGrpSpPr/>
                    </xdr:nvGrpSpPr>
                    <xdr:grpSpPr>
                      <a:xfrm>
                        <a:off x="3994666" y="11927876"/>
                        <a:ext cx="505408" cy="182480"/>
                        <a:chOff x="829805" y="8448798"/>
                        <a:chExt cx="490780" cy="178592"/>
                      </a:xfrm>
                    </xdr:grpSpPr>
                    <xdr:grpSp>
                      <xdr:nvGrpSpPr>
                        <xdr:cNvPr id="1277" name="Shape 1277"/>
                        <xdr:cNvGrpSpPr/>
                      </xdr:nvGrpSpPr>
                      <xdr:grpSpPr>
                        <a:xfrm>
                          <a:off x="829805" y="8448798"/>
                          <a:ext cx="122695" cy="178592"/>
                          <a:chOff x="1202266" y="1125361"/>
                          <a:chExt cx="496712" cy="666750"/>
                        </a:xfrm>
                      </xdr:grpSpPr>
                      <xdr:grpSp>
                        <xdr:nvGrpSpPr>
                          <xdr:cNvPr id="1278" name="Shape 1278"/>
                          <xdr:cNvGrpSpPr/>
                        </xdr:nvGrpSpPr>
                        <xdr:grpSpPr>
                          <a:xfrm>
                            <a:off x="1202266" y="1125361"/>
                            <a:ext cx="496712" cy="666750"/>
                            <a:chOff x="1202266" y="1125361"/>
                            <a:chExt cx="496712" cy="666750"/>
                          </a:xfrm>
                        </xdr:grpSpPr>
                        <xdr:sp>
                          <xdr:nvSpPr>
                            <xdr:cNvPr id="1279" name="Shape 12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0" name="Shape 12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1" name="Shape 12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2" name="Shape 12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3" name="Shape 12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4" name="Shape 12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85" name="Shape 128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86" name="Shape 1286"/>
                        <xdr:cNvGrpSpPr/>
                      </xdr:nvGrpSpPr>
                      <xdr:grpSpPr>
                        <a:xfrm>
                          <a:off x="952500" y="8448798"/>
                          <a:ext cx="122695" cy="178592"/>
                          <a:chOff x="1202266" y="1125361"/>
                          <a:chExt cx="496712" cy="666750"/>
                        </a:xfrm>
                      </xdr:grpSpPr>
                      <xdr:grpSp>
                        <xdr:nvGrpSpPr>
                          <xdr:cNvPr id="1287" name="Shape 1287"/>
                          <xdr:cNvGrpSpPr/>
                        </xdr:nvGrpSpPr>
                        <xdr:grpSpPr>
                          <a:xfrm>
                            <a:off x="1202266" y="1125361"/>
                            <a:ext cx="496712" cy="666750"/>
                            <a:chOff x="1202266" y="1125361"/>
                            <a:chExt cx="496712" cy="666750"/>
                          </a:xfrm>
                        </xdr:grpSpPr>
                        <xdr:sp>
                          <xdr:nvSpPr>
                            <xdr:cNvPr id="1288" name="Shape 12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9" name="Shape 12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0" name="Shape 12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1" name="Shape 12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2" name="Shape 12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3" name="Shape 12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94" name="Shape 129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95" name="Shape 1295"/>
                        <xdr:cNvGrpSpPr/>
                      </xdr:nvGrpSpPr>
                      <xdr:grpSpPr>
                        <a:xfrm>
                          <a:off x="1075195" y="8448798"/>
                          <a:ext cx="122695" cy="178592"/>
                          <a:chOff x="1202266" y="1125361"/>
                          <a:chExt cx="496712" cy="666750"/>
                        </a:xfrm>
                      </xdr:grpSpPr>
                      <xdr:grpSp>
                        <xdr:nvGrpSpPr>
                          <xdr:cNvPr id="1296" name="Shape 1296"/>
                          <xdr:cNvGrpSpPr/>
                        </xdr:nvGrpSpPr>
                        <xdr:grpSpPr>
                          <a:xfrm>
                            <a:off x="1202266" y="1125361"/>
                            <a:ext cx="496712" cy="666750"/>
                            <a:chOff x="1202266" y="1125361"/>
                            <a:chExt cx="496712" cy="666750"/>
                          </a:xfrm>
                        </xdr:grpSpPr>
                        <xdr:sp>
                          <xdr:nvSpPr>
                            <xdr:cNvPr id="1297" name="Shape 129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8" name="Shape 129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9" name="Shape 129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0" name="Shape 130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1" name="Shape 130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2" name="Shape 130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03" name="Shape 130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04" name="Shape 1304"/>
                        <xdr:cNvGrpSpPr/>
                      </xdr:nvGrpSpPr>
                      <xdr:grpSpPr>
                        <a:xfrm>
                          <a:off x="1197890" y="8448798"/>
                          <a:ext cx="122695" cy="178592"/>
                          <a:chOff x="1202266" y="1125361"/>
                          <a:chExt cx="496712" cy="666750"/>
                        </a:xfrm>
                      </xdr:grpSpPr>
                      <xdr:grpSp>
                        <xdr:nvGrpSpPr>
                          <xdr:cNvPr id="1305" name="Shape 1305"/>
                          <xdr:cNvGrpSpPr/>
                        </xdr:nvGrpSpPr>
                        <xdr:grpSpPr>
                          <a:xfrm>
                            <a:off x="1202266" y="1125361"/>
                            <a:ext cx="496712" cy="666750"/>
                            <a:chOff x="1202266" y="1125361"/>
                            <a:chExt cx="496712" cy="666750"/>
                          </a:xfrm>
                        </xdr:grpSpPr>
                        <xdr:sp>
                          <xdr:nvSpPr>
                            <xdr:cNvPr id="1306" name="Shape 130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7" name="Shape 130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8" name="Shape 130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9" name="Shape 130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0" name="Shape 131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1" name="Shape 131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12" name="Shape 131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13" name="Shape 1313"/>
                      <xdr:cNvGrpSpPr/>
                    </xdr:nvGrpSpPr>
                    <xdr:grpSpPr>
                      <a:xfrm>
                        <a:off x="4626426" y="11927876"/>
                        <a:ext cx="505408" cy="182480"/>
                        <a:chOff x="829805" y="8448798"/>
                        <a:chExt cx="490780" cy="178592"/>
                      </a:xfrm>
                    </xdr:grpSpPr>
                    <xdr:grpSp>
                      <xdr:nvGrpSpPr>
                        <xdr:cNvPr id="1314" name="Shape 1314"/>
                        <xdr:cNvGrpSpPr/>
                      </xdr:nvGrpSpPr>
                      <xdr:grpSpPr>
                        <a:xfrm>
                          <a:off x="829805" y="8448798"/>
                          <a:ext cx="122695" cy="178592"/>
                          <a:chOff x="1202266" y="1125361"/>
                          <a:chExt cx="496712" cy="666750"/>
                        </a:xfrm>
                      </xdr:grpSpPr>
                      <xdr:grpSp>
                        <xdr:nvGrpSpPr>
                          <xdr:cNvPr id="1315" name="Shape 1315"/>
                          <xdr:cNvGrpSpPr/>
                        </xdr:nvGrpSpPr>
                        <xdr:grpSpPr>
                          <a:xfrm>
                            <a:off x="1202266" y="1125361"/>
                            <a:ext cx="496712" cy="666750"/>
                            <a:chOff x="1202266" y="1125361"/>
                            <a:chExt cx="496712" cy="666750"/>
                          </a:xfrm>
                        </xdr:grpSpPr>
                        <xdr:sp>
                          <xdr:nvSpPr>
                            <xdr:cNvPr id="1316" name="Shape 13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7" name="Shape 13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8" name="Shape 13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9" name="Shape 13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0" name="Shape 13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1" name="Shape 13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22" name="Shape 132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23" name="Shape 1323"/>
                        <xdr:cNvGrpSpPr/>
                      </xdr:nvGrpSpPr>
                      <xdr:grpSpPr>
                        <a:xfrm>
                          <a:off x="952500" y="8448798"/>
                          <a:ext cx="122695" cy="178592"/>
                          <a:chOff x="1202266" y="1125361"/>
                          <a:chExt cx="496712" cy="666750"/>
                        </a:xfrm>
                      </xdr:grpSpPr>
                      <xdr:grpSp>
                        <xdr:nvGrpSpPr>
                          <xdr:cNvPr id="1324" name="Shape 1324"/>
                          <xdr:cNvGrpSpPr/>
                        </xdr:nvGrpSpPr>
                        <xdr:grpSpPr>
                          <a:xfrm>
                            <a:off x="1202266" y="1125361"/>
                            <a:ext cx="496712" cy="666750"/>
                            <a:chOff x="1202266" y="1125361"/>
                            <a:chExt cx="496712" cy="666750"/>
                          </a:xfrm>
                        </xdr:grpSpPr>
                        <xdr:sp>
                          <xdr:nvSpPr>
                            <xdr:cNvPr id="1325" name="Shape 13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6" name="Shape 13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7" name="Shape 13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8" name="Shape 13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9" name="Shape 13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0" name="Shape 13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31" name="Shape 133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32" name="Shape 1332"/>
                        <xdr:cNvGrpSpPr/>
                      </xdr:nvGrpSpPr>
                      <xdr:grpSpPr>
                        <a:xfrm>
                          <a:off x="1075195" y="8448798"/>
                          <a:ext cx="122695" cy="178592"/>
                          <a:chOff x="1202266" y="1125361"/>
                          <a:chExt cx="496712" cy="666750"/>
                        </a:xfrm>
                      </xdr:grpSpPr>
                      <xdr:grpSp>
                        <xdr:nvGrpSpPr>
                          <xdr:cNvPr id="1333" name="Shape 1333"/>
                          <xdr:cNvGrpSpPr/>
                        </xdr:nvGrpSpPr>
                        <xdr:grpSpPr>
                          <a:xfrm>
                            <a:off x="1202266" y="1125361"/>
                            <a:ext cx="496712" cy="666750"/>
                            <a:chOff x="1202266" y="1125361"/>
                            <a:chExt cx="496712" cy="666750"/>
                          </a:xfrm>
                        </xdr:grpSpPr>
                        <xdr:sp>
                          <xdr:nvSpPr>
                            <xdr:cNvPr id="1334" name="Shape 133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5" name="Shape 133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6" name="Shape 133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7" name="Shape 133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8" name="Shape 133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9" name="Shape 133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40" name="Shape 134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41" name="Shape 1341"/>
                        <xdr:cNvGrpSpPr/>
                      </xdr:nvGrpSpPr>
                      <xdr:grpSpPr>
                        <a:xfrm>
                          <a:off x="1197890" y="8448798"/>
                          <a:ext cx="122695" cy="178592"/>
                          <a:chOff x="1202266" y="1125361"/>
                          <a:chExt cx="496712" cy="666750"/>
                        </a:xfrm>
                      </xdr:grpSpPr>
                      <xdr:grpSp>
                        <xdr:nvGrpSpPr>
                          <xdr:cNvPr id="1342" name="Shape 1342"/>
                          <xdr:cNvGrpSpPr/>
                        </xdr:nvGrpSpPr>
                        <xdr:grpSpPr>
                          <a:xfrm>
                            <a:off x="1202266" y="1125361"/>
                            <a:ext cx="496712" cy="666750"/>
                            <a:chOff x="1202266" y="1125361"/>
                            <a:chExt cx="496712" cy="666750"/>
                          </a:xfrm>
                        </xdr:grpSpPr>
                        <xdr:sp>
                          <xdr:nvSpPr>
                            <xdr:cNvPr id="1343" name="Shape 134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4" name="Shape 134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5" name="Shape 134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6" name="Shape 134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7" name="Shape 134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8" name="Shape 134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49" name="Shape 134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50" name="Shape 1350"/>
                      <xdr:cNvGrpSpPr/>
                    </xdr:nvGrpSpPr>
                    <xdr:grpSpPr>
                      <a:xfrm>
                        <a:off x="5258186" y="11927876"/>
                        <a:ext cx="505408" cy="182480"/>
                        <a:chOff x="829805" y="8448798"/>
                        <a:chExt cx="490780" cy="178592"/>
                      </a:xfrm>
                    </xdr:grpSpPr>
                    <xdr:grpSp>
                      <xdr:nvGrpSpPr>
                        <xdr:cNvPr id="1351" name="Shape 1351"/>
                        <xdr:cNvGrpSpPr/>
                      </xdr:nvGrpSpPr>
                      <xdr:grpSpPr>
                        <a:xfrm>
                          <a:off x="829805" y="8448798"/>
                          <a:ext cx="122695" cy="178592"/>
                          <a:chOff x="1202266" y="1125361"/>
                          <a:chExt cx="496712" cy="666750"/>
                        </a:xfrm>
                      </xdr:grpSpPr>
                      <xdr:grpSp>
                        <xdr:nvGrpSpPr>
                          <xdr:cNvPr id="1352" name="Shape 1352"/>
                          <xdr:cNvGrpSpPr/>
                        </xdr:nvGrpSpPr>
                        <xdr:grpSpPr>
                          <a:xfrm>
                            <a:off x="1202266" y="1125361"/>
                            <a:ext cx="496712" cy="666750"/>
                            <a:chOff x="1202266" y="1125361"/>
                            <a:chExt cx="496712" cy="666750"/>
                          </a:xfrm>
                        </xdr:grpSpPr>
                        <xdr:sp>
                          <xdr:nvSpPr>
                            <xdr:cNvPr id="1353" name="Shape 13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4" name="Shape 13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5" name="Shape 13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6" name="Shape 13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7" name="Shape 13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8" name="Shape 13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59" name="Shape 135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60" name="Shape 1360"/>
                        <xdr:cNvGrpSpPr/>
                      </xdr:nvGrpSpPr>
                      <xdr:grpSpPr>
                        <a:xfrm>
                          <a:off x="952500" y="8448798"/>
                          <a:ext cx="122695" cy="178592"/>
                          <a:chOff x="1202266" y="1125361"/>
                          <a:chExt cx="496712" cy="666750"/>
                        </a:xfrm>
                      </xdr:grpSpPr>
                      <xdr:grpSp>
                        <xdr:nvGrpSpPr>
                          <xdr:cNvPr id="1361" name="Shape 1361"/>
                          <xdr:cNvGrpSpPr/>
                        </xdr:nvGrpSpPr>
                        <xdr:grpSpPr>
                          <a:xfrm>
                            <a:off x="1202266" y="1125361"/>
                            <a:ext cx="496712" cy="666750"/>
                            <a:chOff x="1202266" y="1125361"/>
                            <a:chExt cx="496712" cy="666750"/>
                          </a:xfrm>
                        </xdr:grpSpPr>
                        <xdr:sp>
                          <xdr:nvSpPr>
                            <xdr:cNvPr id="1362" name="Shape 13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3" name="Shape 13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4" name="Shape 13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5" name="Shape 13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6" name="Shape 13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7" name="Shape 13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68" name="Shape 136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69" name="Shape 1369"/>
                        <xdr:cNvGrpSpPr/>
                      </xdr:nvGrpSpPr>
                      <xdr:grpSpPr>
                        <a:xfrm>
                          <a:off x="1075195" y="8448798"/>
                          <a:ext cx="122695" cy="178592"/>
                          <a:chOff x="1202266" y="1125361"/>
                          <a:chExt cx="496712" cy="666750"/>
                        </a:xfrm>
                      </xdr:grpSpPr>
                      <xdr:grpSp>
                        <xdr:nvGrpSpPr>
                          <xdr:cNvPr id="1370" name="Shape 1370"/>
                          <xdr:cNvGrpSpPr/>
                        </xdr:nvGrpSpPr>
                        <xdr:grpSpPr>
                          <a:xfrm>
                            <a:off x="1202266" y="1125361"/>
                            <a:ext cx="496712" cy="666750"/>
                            <a:chOff x="1202266" y="1125361"/>
                            <a:chExt cx="496712" cy="666750"/>
                          </a:xfrm>
                        </xdr:grpSpPr>
                        <xdr:sp>
                          <xdr:nvSpPr>
                            <xdr:cNvPr id="1371" name="Shape 137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2" name="Shape 137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3" name="Shape 137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4" name="Shape 137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5" name="Shape 137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6" name="Shape 137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77" name="Shape 137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78" name="Shape 1378"/>
                        <xdr:cNvGrpSpPr/>
                      </xdr:nvGrpSpPr>
                      <xdr:grpSpPr>
                        <a:xfrm>
                          <a:off x="1197890" y="8448798"/>
                          <a:ext cx="122695" cy="178592"/>
                          <a:chOff x="1202266" y="1125361"/>
                          <a:chExt cx="496712" cy="666750"/>
                        </a:xfrm>
                      </xdr:grpSpPr>
                      <xdr:grpSp>
                        <xdr:nvGrpSpPr>
                          <xdr:cNvPr id="1379" name="Shape 1379"/>
                          <xdr:cNvGrpSpPr/>
                        </xdr:nvGrpSpPr>
                        <xdr:grpSpPr>
                          <a:xfrm>
                            <a:off x="1202266" y="1125361"/>
                            <a:ext cx="496712" cy="666750"/>
                            <a:chOff x="1202266" y="1125361"/>
                            <a:chExt cx="496712" cy="666750"/>
                          </a:xfrm>
                        </xdr:grpSpPr>
                        <xdr:sp>
                          <xdr:nvSpPr>
                            <xdr:cNvPr id="1380" name="Shape 138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1" name="Shape 138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2" name="Shape 138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3" name="Shape 138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4" name="Shape 138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5" name="Shape 138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86" name="Shape 138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87" name="Shape 1387"/>
                      <xdr:cNvGrpSpPr/>
                    </xdr:nvGrpSpPr>
                    <xdr:grpSpPr>
                      <a:xfrm>
                        <a:off x="5889947" y="11927876"/>
                        <a:ext cx="505408" cy="182480"/>
                        <a:chOff x="829805" y="8448798"/>
                        <a:chExt cx="490780" cy="178592"/>
                      </a:xfrm>
                    </xdr:grpSpPr>
                    <xdr:grpSp>
                      <xdr:nvGrpSpPr>
                        <xdr:cNvPr id="1388" name="Shape 1388"/>
                        <xdr:cNvGrpSpPr/>
                      </xdr:nvGrpSpPr>
                      <xdr:grpSpPr>
                        <a:xfrm>
                          <a:off x="829805" y="8448798"/>
                          <a:ext cx="122695" cy="178592"/>
                          <a:chOff x="1202266" y="1125361"/>
                          <a:chExt cx="496712" cy="666750"/>
                        </a:xfrm>
                      </xdr:grpSpPr>
                      <xdr:grpSp>
                        <xdr:nvGrpSpPr>
                          <xdr:cNvPr id="1389" name="Shape 1389"/>
                          <xdr:cNvGrpSpPr/>
                        </xdr:nvGrpSpPr>
                        <xdr:grpSpPr>
                          <a:xfrm>
                            <a:off x="1202266" y="1125361"/>
                            <a:ext cx="496712" cy="666750"/>
                            <a:chOff x="1202266" y="1125361"/>
                            <a:chExt cx="496712" cy="666750"/>
                          </a:xfrm>
                        </xdr:grpSpPr>
                        <xdr:sp>
                          <xdr:nvSpPr>
                            <xdr:cNvPr id="1390" name="Shape 139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1" name="Shape 139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2" name="Shape 139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3" name="Shape 139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4" name="Shape 139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5" name="Shape 139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96" name="Shape 139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97" name="Shape 1397"/>
                        <xdr:cNvGrpSpPr/>
                      </xdr:nvGrpSpPr>
                      <xdr:grpSpPr>
                        <a:xfrm>
                          <a:off x="952500" y="8448798"/>
                          <a:ext cx="122695" cy="178592"/>
                          <a:chOff x="1202266" y="1125361"/>
                          <a:chExt cx="496712" cy="666750"/>
                        </a:xfrm>
                      </xdr:grpSpPr>
                      <xdr:grpSp>
                        <xdr:nvGrpSpPr>
                          <xdr:cNvPr id="1398" name="Shape 1398"/>
                          <xdr:cNvGrpSpPr/>
                        </xdr:nvGrpSpPr>
                        <xdr:grpSpPr>
                          <a:xfrm>
                            <a:off x="1202266" y="1125361"/>
                            <a:ext cx="496712" cy="666750"/>
                            <a:chOff x="1202266" y="1125361"/>
                            <a:chExt cx="496712" cy="666750"/>
                          </a:xfrm>
                        </xdr:grpSpPr>
                        <xdr:sp>
                          <xdr:nvSpPr>
                            <xdr:cNvPr id="1399" name="Shape 139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0" name="Shape 140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1" name="Shape 140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2" name="Shape 140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3" name="Shape 140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4" name="Shape 140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05" name="Shape 140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06" name="Shape 1406"/>
                        <xdr:cNvGrpSpPr/>
                      </xdr:nvGrpSpPr>
                      <xdr:grpSpPr>
                        <a:xfrm>
                          <a:off x="1075195" y="8448798"/>
                          <a:ext cx="122695" cy="178592"/>
                          <a:chOff x="1202266" y="1125361"/>
                          <a:chExt cx="496712" cy="666750"/>
                        </a:xfrm>
                      </xdr:grpSpPr>
                      <xdr:grpSp>
                        <xdr:nvGrpSpPr>
                          <xdr:cNvPr id="1407" name="Shape 1407"/>
                          <xdr:cNvGrpSpPr/>
                        </xdr:nvGrpSpPr>
                        <xdr:grpSpPr>
                          <a:xfrm>
                            <a:off x="1202266" y="1125361"/>
                            <a:ext cx="496712" cy="666750"/>
                            <a:chOff x="1202266" y="1125361"/>
                            <a:chExt cx="496712" cy="666750"/>
                          </a:xfrm>
                        </xdr:grpSpPr>
                        <xdr:sp>
                          <xdr:nvSpPr>
                            <xdr:cNvPr id="1408" name="Shape 140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9" name="Shape 140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0" name="Shape 141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1" name="Shape 141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2" name="Shape 141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3" name="Shape 141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14" name="Shape 141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15" name="Shape 1415"/>
                        <xdr:cNvGrpSpPr/>
                      </xdr:nvGrpSpPr>
                      <xdr:grpSpPr>
                        <a:xfrm>
                          <a:off x="1197890" y="8448798"/>
                          <a:ext cx="122695" cy="178592"/>
                          <a:chOff x="1202266" y="1125361"/>
                          <a:chExt cx="496712" cy="666750"/>
                        </a:xfrm>
                      </xdr:grpSpPr>
                      <xdr:grpSp>
                        <xdr:nvGrpSpPr>
                          <xdr:cNvPr id="1416" name="Shape 1416"/>
                          <xdr:cNvGrpSpPr/>
                        </xdr:nvGrpSpPr>
                        <xdr:grpSpPr>
                          <a:xfrm>
                            <a:off x="1202266" y="1125361"/>
                            <a:ext cx="496712" cy="666750"/>
                            <a:chOff x="1202266" y="1125361"/>
                            <a:chExt cx="496712" cy="666750"/>
                          </a:xfrm>
                        </xdr:grpSpPr>
                        <xdr:sp>
                          <xdr:nvSpPr>
                            <xdr:cNvPr id="1417" name="Shape 141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8" name="Shape 141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9" name="Shape 141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0" name="Shape 142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1" name="Shape 142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2" name="Shape 142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23" name="Shape 142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424" name="Shape 1424"/>
                    <xdr:cNvSpPr/>
                  </xdr:nvSpPr>
                  <xdr:spPr>
                    <a:xfrm>
                      <a:off x="723900" y="1190625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74</xdr:col>
      <xdr:colOff>38100</xdr:colOff>
      <xdr:row>22</xdr:row>
      <xdr:rowOff>66675</xdr:rowOff>
    </xdr:from>
    <xdr:ext cx="2200275" cy="514350"/>
    <xdr:sp>
      <xdr:nvSpPr>
        <xdr:cNvPr id="1425" name="Shape 1425">
          <a:hlinkClick r:id="rId10"/>
        </xdr:cNvPr>
        <xdr:cNvSpPr/>
      </xdr:nvSpPr>
      <xdr:spPr>
        <a:xfrm>
          <a:off x="4250625" y="3527588"/>
          <a:ext cx="21907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13</xdr:row>
      <xdr:rowOff>28575</xdr:rowOff>
    </xdr:from>
    <xdr:ext cx="2200275" cy="333375"/>
    <xdr:sp>
      <xdr:nvSpPr>
        <xdr:cNvPr id="1426" name="Shape 1426">
          <a:hlinkClick r:id="rId11"/>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85725</xdr:colOff>
      <xdr:row>9</xdr:row>
      <xdr:rowOff>142875</xdr:rowOff>
    </xdr:from>
    <xdr:ext cx="1028700" cy="514350"/>
    <xdr:sp>
      <xdr:nvSpPr>
        <xdr:cNvPr id="1427" name="Shape 1427"/>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54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57150</xdr:colOff>
      <xdr:row>39</xdr:row>
      <xdr:rowOff>0</xdr:rowOff>
    </xdr:from>
    <xdr:ext cx="1085850" cy="504825"/>
    <xdr:sp>
      <xdr:nvSpPr>
        <xdr:cNvPr id="1429" name="Shape 1429"/>
        <xdr:cNvSpPr txBox="1"/>
      </xdr:nvSpPr>
      <xdr:spPr>
        <a:xfrm>
          <a:off x="4807838" y="3532350"/>
          <a:ext cx="107632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57150</xdr:colOff>
      <xdr:row>9</xdr:row>
      <xdr:rowOff>142875</xdr:rowOff>
    </xdr:from>
    <xdr:ext cx="1028700" cy="514350"/>
    <xdr:sp>
      <xdr:nvSpPr>
        <xdr:cNvPr id="1427" name="Shape 1427"/>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76200</xdr:colOff>
      <xdr:row>9</xdr:row>
      <xdr:rowOff>142875</xdr:rowOff>
    </xdr:from>
    <xdr:ext cx="1028700" cy="514350"/>
    <xdr:sp>
      <xdr:nvSpPr>
        <xdr:cNvPr id="1427" name="Shape 1427"/>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32</xdr:col>
      <xdr:colOff>76200</xdr:colOff>
      <xdr:row>9</xdr:row>
      <xdr:rowOff>152400</xdr:rowOff>
    </xdr:from>
    <xdr:ext cx="1028700" cy="514350"/>
    <xdr:sp>
      <xdr:nvSpPr>
        <xdr:cNvPr id="1427" name="Shape 1427"/>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76200</xdr:colOff>
      <xdr:row>9</xdr:row>
      <xdr:rowOff>142875</xdr:rowOff>
    </xdr:from>
    <xdr:ext cx="1028700" cy="514350"/>
    <xdr:sp>
      <xdr:nvSpPr>
        <xdr:cNvPr id="1427" name="Shape 1427"/>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52</xdr:col>
      <xdr:colOff>66675</xdr:colOff>
      <xdr:row>9</xdr:row>
      <xdr:rowOff>142875</xdr:rowOff>
    </xdr:from>
    <xdr:ext cx="1028700" cy="514350"/>
    <xdr:sp>
      <xdr:nvSpPr>
        <xdr:cNvPr id="1427" name="Shape 1427"/>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24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24</xdr:row>
      <xdr:rowOff>0</xdr:rowOff>
    </xdr:from>
    <xdr:ext cx="1028700" cy="504825"/>
    <xdr:sp>
      <xdr:nvSpPr>
        <xdr:cNvPr id="1439" name="Shape 1439"/>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Scrolling</a:t>
          </a:r>
          <a:endParaRPr sz="1400"/>
        </a:p>
      </xdr:txBody>
    </xdr:sp>
    <xdr:clientData fLocksWithSheet="0"/>
  </xdr:oneCellAnchor>
  <xdr:oneCellAnchor>
    <xdr:from>
      <xdr:col>3</xdr:col>
      <xdr:colOff>0</xdr:colOff>
      <xdr:row>39</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57150</xdr:colOff>
      <xdr:row>39</xdr:row>
      <xdr:rowOff>0</xdr:rowOff>
    </xdr:from>
    <xdr:ext cx="1085850" cy="504825"/>
    <xdr:sp>
      <xdr:nvSpPr>
        <xdr:cNvPr id="1446" name="Shape 1446"/>
        <xdr:cNvSpPr txBox="1"/>
      </xdr:nvSpPr>
      <xdr:spPr>
        <a:xfrm>
          <a:off x="4807838" y="3532350"/>
          <a:ext cx="107632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Defective Conditional Discrimination</a:t>
          </a:r>
          <a:endParaRPr sz="1400"/>
        </a:p>
      </xdr:txBody>
    </xdr:sp>
    <xdr:clientData fLocksWithSheet="0"/>
  </xdr:oneCellAnchor>
  <xdr:oneCellAnchor>
    <xdr:from>
      <xdr:col>23</xdr:col>
      <xdr:colOff>0</xdr:colOff>
      <xdr:row>39</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39</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39</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54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54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9525</xdr:colOff>
      <xdr:row>54</xdr:row>
      <xdr:rowOff>0</xdr:rowOff>
    </xdr:from>
    <xdr:ext cx="1152525" cy="504825"/>
    <xdr:sp>
      <xdr:nvSpPr>
        <xdr:cNvPr id="1456" name="Shape 1456"/>
        <xdr:cNvSpPr txBox="1"/>
      </xdr:nvSpPr>
      <xdr:spPr>
        <a:xfrm>
          <a:off x="4774500" y="3532350"/>
          <a:ext cx="1143000" cy="4953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54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54</xdr:row>
      <xdr:rowOff>0</xdr:rowOff>
    </xdr:from>
    <xdr:ext cx="1028700" cy="504825"/>
    <xdr:sp>
      <xdr:nvSpPr>
        <xdr:cNvPr id="1428" name="Shape 1428"/>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28700" cy="323850"/>
    <xdr:sp>
      <xdr:nvSpPr>
        <xdr:cNvPr id="1464" name="Shape 1464"/>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12</xdr:col>
      <xdr:colOff>57150</xdr:colOff>
      <xdr:row>10</xdr:row>
      <xdr:rowOff>133350</xdr:rowOff>
    </xdr:from>
    <xdr:ext cx="1028700" cy="342900"/>
    <xdr:sp>
      <xdr:nvSpPr>
        <xdr:cNvPr id="1466" name="Shape 1466"/>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Control</a:t>
          </a:r>
          <a:endParaRPr sz="1400"/>
        </a:p>
      </xdr:txBody>
    </xdr:sp>
    <xdr:clientData fLocksWithSheet="0"/>
  </xdr:oneCellAnchor>
  <xdr:oneCellAnchor>
    <xdr:from>
      <xdr:col>12</xdr:col>
      <xdr:colOff>57150</xdr:colOff>
      <xdr:row>9</xdr:row>
      <xdr:rowOff>152400</xdr:rowOff>
    </xdr:from>
    <xdr:ext cx="1028700" cy="323850"/>
    <xdr:sp>
      <xdr:nvSpPr>
        <xdr:cNvPr id="1468" name="Shape 1468"/>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a:t>
          </a:r>
          <a:endParaRPr sz="1400"/>
        </a:p>
      </xdr:txBody>
    </xdr:sp>
    <xdr:clientData fLocksWithSheet="0"/>
  </xdr:oneCellAnchor>
  <xdr:oneCellAnchor>
    <xdr:from>
      <xdr:col>22</xdr:col>
      <xdr:colOff>85725</xdr:colOff>
      <xdr:row>10</xdr:row>
      <xdr:rowOff>133350</xdr:rowOff>
    </xdr:from>
    <xdr:ext cx="1028700" cy="342900"/>
    <xdr:sp>
      <xdr:nvSpPr>
        <xdr:cNvPr id="1470" name="Shape 1470"/>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Mand</a:t>
          </a:r>
          <a:endParaRPr sz="1400"/>
        </a:p>
      </xdr:txBody>
    </xdr:sp>
    <xdr:clientData fLocksWithSheet="0"/>
  </xdr:oneCellAnchor>
  <xdr:oneCellAnchor>
    <xdr:from>
      <xdr:col>22</xdr:col>
      <xdr:colOff>85725</xdr:colOff>
      <xdr:row>9</xdr:row>
      <xdr:rowOff>152400</xdr:rowOff>
    </xdr:from>
    <xdr:ext cx="1028700" cy="323850"/>
    <xdr:sp>
      <xdr:nvSpPr>
        <xdr:cNvPr id="1473" name="Shape 147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32</xdr:col>
      <xdr:colOff>76200</xdr:colOff>
      <xdr:row>10</xdr:row>
      <xdr:rowOff>133350</xdr:rowOff>
    </xdr:from>
    <xdr:ext cx="1028700" cy="342900"/>
    <xdr:sp>
      <xdr:nvSpPr>
        <xdr:cNvPr id="1475" name="Shape 1475"/>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Tact</a:t>
          </a:r>
          <a:endParaRPr sz="1400"/>
        </a:p>
      </xdr:txBody>
    </xdr:sp>
    <xdr:clientData fLocksWithSheet="0"/>
  </xdr:oneCellAnchor>
  <xdr:oneCellAnchor>
    <xdr:from>
      <xdr:col>32</xdr:col>
      <xdr:colOff>85725</xdr:colOff>
      <xdr:row>9</xdr:row>
      <xdr:rowOff>152400</xdr:rowOff>
    </xdr:from>
    <xdr:ext cx="1028700" cy="323850"/>
    <xdr:sp>
      <xdr:nvSpPr>
        <xdr:cNvPr id="1477" name="Shape 147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42</xdr:col>
      <xdr:colOff>76200</xdr:colOff>
      <xdr:row>10</xdr:row>
      <xdr:rowOff>133350</xdr:rowOff>
    </xdr:from>
    <xdr:ext cx="1028700" cy="342900"/>
    <xdr:sp>
      <xdr:nvSpPr>
        <xdr:cNvPr id="1479" name="Shape 1479"/>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Imitation</a:t>
          </a:r>
          <a:endParaRPr sz="1400"/>
        </a:p>
      </xdr:txBody>
    </xdr:sp>
    <xdr:clientData fLocksWithSheet="0"/>
  </xdr:oneCellAnchor>
  <xdr:oneCellAnchor>
    <xdr:from>
      <xdr:col>42</xdr:col>
      <xdr:colOff>76200</xdr:colOff>
      <xdr:row>9</xdr:row>
      <xdr:rowOff>152400</xdr:rowOff>
    </xdr:from>
    <xdr:ext cx="1028700" cy="323850"/>
    <xdr:sp>
      <xdr:nvSpPr>
        <xdr:cNvPr id="1481" name="Shape 148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52</xdr:col>
      <xdr:colOff>76200</xdr:colOff>
      <xdr:row>10</xdr:row>
      <xdr:rowOff>133350</xdr:rowOff>
    </xdr:from>
    <xdr:ext cx="1028700" cy="342900"/>
    <xdr:sp>
      <xdr:nvSpPr>
        <xdr:cNvPr id="1483" name="Shape 1483"/>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Echoic</a:t>
          </a:r>
          <a:endParaRPr sz="1400"/>
        </a:p>
      </xdr:txBody>
    </xdr:sp>
    <xdr:clientData fLocksWithSheet="0"/>
  </xdr:oneCellAnchor>
  <xdr:oneCellAnchor>
    <xdr:from>
      <xdr:col>52</xdr:col>
      <xdr:colOff>76200</xdr:colOff>
      <xdr:row>9</xdr:row>
      <xdr:rowOff>152400</xdr:rowOff>
    </xdr:from>
    <xdr:ext cx="1028700" cy="323850"/>
    <xdr:sp>
      <xdr:nvSpPr>
        <xdr:cNvPr id="1484" name="Shape 1484"/>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25</xdr:row>
      <xdr:rowOff>0</xdr:rowOff>
    </xdr:from>
    <xdr:ext cx="1028700" cy="333375"/>
    <xdr:sp>
      <xdr:nvSpPr>
        <xdr:cNvPr id="1487" name="Shape 1487"/>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VP-MTS</a:t>
          </a:r>
          <a:endParaRPr sz="1400"/>
        </a:p>
      </xdr:txBody>
    </xdr:sp>
    <xdr:clientData fLocksWithSheet="0"/>
  </xdr:oneCellAnchor>
  <xdr:oneCellAnchor>
    <xdr:from>
      <xdr:col>13</xdr:col>
      <xdr:colOff>0</xdr:colOff>
      <xdr:row>25</xdr:row>
      <xdr:rowOff>0</xdr:rowOff>
    </xdr:from>
    <xdr:ext cx="1028700" cy="333375"/>
    <xdr:sp>
      <xdr:nvSpPr>
        <xdr:cNvPr id="1489" name="Shape 148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Listener</a:t>
          </a:r>
          <a:endParaRPr sz="1400"/>
        </a:p>
      </xdr:txBody>
    </xdr:sp>
    <xdr:clientData fLocksWithSheet="0"/>
  </xdr:oneCellAnchor>
  <xdr:oneCellAnchor>
    <xdr:from>
      <xdr:col>13</xdr:col>
      <xdr:colOff>0</xdr:colOff>
      <xdr:row>24</xdr:row>
      <xdr:rowOff>0</xdr:rowOff>
    </xdr:from>
    <xdr:ext cx="1028700" cy="323850"/>
    <xdr:sp>
      <xdr:nvSpPr>
        <xdr:cNvPr id="1491" name="Shape 149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25</xdr:row>
      <xdr:rowOff>0</xdr:rowOff>
    </xdr:from>
    <xdr:ext cx="1028700" cy="333375"/>
    <xdr:sp>
      <xdr:nvSpPr>
        <xdr:cNvPr id="1492" name="Shape 1492"/>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Intraverbal</a:t>
          </a:r>
          <a:endParaRPr sz="1400"/>
        </a:p>
      </xdr:txBody>
    </xdr:sp>
    <xdr:clientData fLocksWithSheet="0"/>
  </xdr:oneCellAnchor>
  <xdr:oneCellAnchor>
    <xdr:from>
      <xdr:col>23</xdr:col>
      <xdr:colOff>0</xdr:colOff>
      <xdr:row>24</xdr:row>
      <xdr:rowOff>0</xdr:rowOff>
    </xdr:from>
    <xdr:ext cx="1028700" cy="323850"/>
    <xdr:sp>
      <xdr:nvSpPr>
        <xdr:cNvPr id="1493" name="Shape 149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33</xdr:col>
      <xdr:colOff>0</xdr:colOff>
      <xdr:row>25</xdr:row>
      <xdr:rowOff>0</xdr:rowOff>
    </xdr:from>
    <xdr:ext cx="1028700" cy="333375"/>
    <xdr:sp>
      <xdr:nvSpPr>
        <xdr:cNvPr id="1494" name="Shape 149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28700" cy="323850"/>
    <xdr:sp>
      <xdr:nvSpPr>
        <xdr:cNvPr id="1495" name="Shape 149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43</xdr:col>
      <xdr:colOff>0</xdr:colOff>
      <xdr:row>25</xdr:row>
      <xdr:rowOff>0</xdr:rowOff>
    </xdr:from>
    <xdr:ext cx="1028700" cy="333375"/>
    <xdr:sp>
      <xdr:nvSpPr>
        <xdr:cNvPr id="1496" name="Shape 149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43</xdr:col>
      <xdr:colOff>0</xdr:colOff>
      <xdr:row>24</xdr:row>
      <xdr:rowOff>0</xdr:rowOff>
    </xdr:from>
    <xdr:ext cx="1028700" cy="323850"/>
    <xdr:sp>
      <xdr:nvSpPr>
        <xdr:cNvPr id="1497" name="Shape 149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Prompt</a:t>
          </a:r>
          <a:endParaRPr sz="1400"/>
        </a:p>
      </xdr:txBody>
    </xdr:sp>
    <xdr:clientData fLocksWithSheet="0"/>
  </xdr:oneCellAnchor>
  <xdr:oneCellAnchor>
    <xdr:from>
      <xdr:col>3</xdr:col>
      <xdr:colOff>0</xdr:colOff>
      <xdr:row>24</xdr:row>
      <xdr:rowOff>0</xdr:rowOff>
    </xdr:from>
    <xdr:ext cx="1028700" cy="323850"/>
    <xdr:sp>
      <xdr:nvSpPr>
        <xdr:cNvPr id="1498" name="Shape 1498"/>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40</xdr:row>
      <xdr:rowOff>0</xdr:rowOff>
    </xdr:from>
    <xdr:ext cx="1028700" cy="333375"/>
    <xdr:sp>
      <xdr:nvSpPr>
        <xdr:cNvPr id="1499" name="Shape 149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Scanning</a:t>
          </a:r>
          <a:endParaRPr sz="1400"/>
        </a:p>
      </xdr:txBody>
    </xdr:sp>
    <xdr:clientData fLocksWithSheet="0"/>
  </xdr:oneCellAnchor>
  <xdr:oneCellAnchor>
    <xdr:from>
      <xdr:col>3</xdr:col>
      <xdr:colOff>0</xdr:colOff>
      <xdr:row>39</xdr:row>
      <xdr:rowOff>0</xdr:rowOff>
    </xdr:from>
    <xdr:ext cx="1028700" cy="323850"/>
    <xdr:sp>
      <xdr:nvSpPr>
        <xdr:cNvPr id="1500" name="Shape 1500"/>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40</xdr:row>
      <xdr:rowOff>0</xdr:rowOff>
    </xdr:from>
    <xdr:ext cx="1028700" cy="333375"/>
    <xdr:sp>
      <xdr:nvSpPr>
        <xdr:cNvPr id="1501" name="Shape 150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Generalize</a:t>
          </a:r>
          <a:endParaRPr sz="1400"/>
        </a:p>
      </xdr:txBody>
    </xdr:sp>
    <xdr:clientData fLocksWithSheet="0"/>
  </xdr:oneCellAnchor>
  <xdr:oneCellAnchor>
    <xdr:from>
      <xdr:col>23</xdr:col>
      <xdr:colOff>0</xdr:colOff>
      <xdr:row>39</xdr:row>
      <xdr:rowOff>0</xdr:rowOff>
    </xdr:from>
    <xdr:ext cx="1028700" cy="323850"/>
    <xdr:sp>
      <xdr:nvSpPr>
        <xdr:cNvPr id="1502" name="Shape 1502"/>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33</xdr:col>
      <xdr:colOff>0</xdr:colOff>
      <xdr:row>40</xdr:row>
      <xdr:rowOff>0</xdr:rowOff>
    </xdr:from>
    <xdr:ext cx="1028700" cy="333375"/>
    <xdr:sp>
      <xdr:nvSpPr>
        <xdr:cNvPr id="1503" name="Shape 1503"/>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Motivators</a:t>
          </a:r>
          <a:endParaRPr sz="1400"/>
        </a:p>
      </xdr:txBody>
    </xdr:sp>
    <xdr:clientData fLocksWithSheet="0"/>
  </xdr:oneCellAnchor>
  <xdr:oneCellAnchor>
    <xdr:from>
      <xdr:col>33</xdr:col>
      <xdr:colOff>0</xdr:colOff>
      <xdr:row>39</xdr:row>
      <xdr:rowOff>0</xdr:rowOff>
    </xdr:from>
    <xdr:ext cx="1028700" cy="323850"/>
    <xdr:sp>
      <xdr:nvSpPr>
        <xdr:cNvPr id="1504" name="Shape 1504"/>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Weak</a:t>
          </a:r>
          <a:endParaRPr sz="1400"/>
        </a:p>
      </xdr:txBody>
    </xdr:sp>
    <xdr:clientData fLocksWithSheet="0"/>
  </xdr:oneCellAnchor>
  <xdr:oneCellAnchor>
    <xdr:from>
      <xdr:col>42</xdr:col>
      <xdr:colOff>85725</xdr:colOff>
      <xdr:row>38</xdr:row>
      <xdr:rowOff>114300</xdr:rowOff>
    </xdr:from>
    <xdr:ext cx="1028700" cy="514350"/>
    <xdr:sp>
      <xdr:nvSpPr>
        <xdr:cNvPr id="1505" name="Shape 1505"/>
        <xdr:cNvSpPr txBox="1"/>
      </xdr:nvSpPr>
      <xdr:spPr>
        <a:xfrm>
          <a:off x="4836413" y="3527588"/>
          <a:ext cx="1019175" cy="5048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Response Requirement</a:t>
          </a:r>
          <a:endParaRPr sz="1100">
            <a:solidFill>
              <a:schemeClr val="dk1"/>
            </a:solidFill>
            <a:latin typeface="Gill Sans"/>
            <a:ea typeface="Gill Sans"/>
            <a:cs typeface="Gill Sans"/>
            <a:sym typeface="Gill Sans"/>
          </a:endParaRPr>
        </a:p>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Weakens MO</a:t>
          </a:r>
          <a:endParaRPr sz="1100">
            <a:solidFill>
              <a:schemeClr val="dk1"/>
            </a:solidFill>
            <a:latin typeface="Gill Sans"/>
            <a:ea typeface="Gill Sans"/>
            <a:cs typeface="Gill Sans"/>
            <a:sym typeface="Gill Sans"/>
          </a:endParaRPr>
        </a:p>
      </xdr:txBody>
    </xdr:sp>
    <xdr:clientData fLocksWithSheet="0"/>
  </xdr:oneCellAnchor>
  <xdr:oneCellAnchor>
    <xdr:from>
      <xdr:col>53</xdr:col>
      <xdr:colOff>0</xdr:colOff>
      <xdr:row>40</xdr:row>
      <xdr:rowOff>0</xdr:rowOff>
    </xdr:from>
    <xdr:ext cx="1028700" cy="333375"/>
    <xdr:sp>
      <xdr:nvSpPr>
        <xdr:cNvPr id="1506" name="Shape 150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53</xdr:col>
      <xdr:colOff>0</xdr:colOff>
      <xdr:row>39</xdr:row>
      <xdr:rowOff>0</xdr:rowOff>
    </xdr:from>
    <xdr:ext cx="1028700" cy="323850"/>
    <xdr:sp>
      <xdr:nvSpPr>
        <xdr:cNvPr id="1507" name="Shape 150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a:t>
          </a:r>
          <a:endParaRPr sz="1400"/>
        </a:p>
      </xdr:txBody>
    </xdr:sp>
    <xdr:clientData fLocksWithSheet="0"/>
  </xdr:oneCellAnchor>
  <xdr:oneCellAnchor>
    <xdr:from>
      <xdr:col>3</xdr:col>
      <xdr:colOff>0</xdr:colOff>
      <xdr:row>55</xdr:row>
      <xdr:rowOff>0</xdr:rowOff>
    </xdr:from>
    <xdr:ext cx="1028700" cy="333375"/>
    <xdr:sp>
      <xdr:nvSpPr>
        <xdr:cNvPr id="1508" name="Shape 150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Stimulation</a:t>
          </a:r>
          <a:endParaRPr sz="1400"/>
        </a:p>
      </xdr:txBody>
    </xdr:sp>
    <xdr:clientData fLocksWithSheet="0"/>
  </xdr:oneCellAnchor>
  <xdr:oneCellAnchor>
    <xdr:from>
      <xdr:col>3</xdr:col>
      <xdr:colOff>0</xdr:colOff>
      <xdr:row>54</xdr:row>
      <xdr:rowOff>0</xdr:rowOff>
    </xdr:from>
    <xdr:ext cx="1028700" cy="323850"/>
    <xdr:sp>
      <xdr:nvSpPr>
        <xdr:cNvPr id="1509" name="Shape 150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a:t>
          </a:r>
          <a:endParaRPr sz="1400"/>
        </a:p>
      </xdr:txBody>
    </xdr:sp>
    <xdr:clientData fLocksWithSheet="0"/>
  </xdr:oneCellAnchor>
  <xdr:oneCellAnchor>
    <xdr:from>
      <xdr:col>13</xdr:col>
      <xdr:colOff>0</xdr:colOff>
      <xdr:row>55</xdr:row>
      <xdr:rowOff>0</xdr:rowOff>
    </xdr:from>
    <xdr:ext cx="1028700" cy="333375"/>
    <xdr:sp>
      <xdr:nvSpPr>
        <xdr:cNvPr id="1510" name="Shape 1510"/>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Articulation</a:t>
          </a:r>
          <a:endParaRPr sz="1400"/>
        </a:p>
      </xdr:txBody>
    </xdr:sp>
    <xdr:clientData fLocksWithSheet="0"/>
  </xdr:oneCellAnchor>
  <xdr:oneCellAnchor>
    <xdr:from>
      <xdr:col>13</xdr:col>
      <xdr:colOff>0</xdr:colOff>
      <xdr:row>54</xdr:row>
      <xdr:rowOff>0</xdr:rowOff>
    </xdr:from>
    <xdr:ext cx="1028700" cy="323850"/>
    <xdr:sp>
      <xdr:nvSpPr>
        <xdr:cNvPr id="1511" name="Shape 151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55</xdr:row>
      <xdr:rowOff>0</xdr:rowOff>
    </xdr:from>
    <xdr:ext cx="1028700" cy="333375"/>
    <xdr:sp>
      <xdr:nvSpPr>
        <xdr:cNvPr id="1512" name="Shape 1512"/>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22</xdr:col>
      <xdr:colOff>19050</xdr:colOff>
      <xdr:row>54</xdr:row>
      <xdr:rowOff>0</xdr:rowOff>
    </xdr:from>
    <xdr:ext cx="1162050" cy="323850"/>
    <xdr:sp>
      <xdr:nvSpPr>
        <xdr:cNvPr id="1513" name="Shape 1513"/>
        <xdr:cNvSpPr txBox="1"/>
      </xdr:nvSpPr>
      <xdr:spPr>
        <a:xfrm>
          <a:off x="4769738" y="3622838"/>
          <a:ext cx="1152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Obsessive-Compulsive</a:t>
          </a:r>
          <a:endParaRPr sz="1400"/>
        </a:p>
      </xdr:txBody>
    </xdr:sp>
    <xdr:clientData fLocksWithSheet="0"/>
  </xdr:oneCellAnchor>
  <xdr:oneCellAnchor>
    <xdr:from>
      <xdr:col>33</xdr:col>
      <xdr:colOff>0</xdr:colOff>
      <xdr:row>55</xdr:row>
      <xdr:rowOff>0</xdr:rowOff>
    </xdr:from>
    <xdr:ext cx="1028700" cy="333375"/>
    <xdr:sp>
      <xdr:nvSpPr>
        <xdr:cNvPr id="1514" name="Shape 151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33</xdr:col>
      <xdr:colOff>0</xdr:colOff>
      <xdr:row>54</xdr:row>
      <xdr:rowOff>0</xdr:rowOff>
    </xdr:from>
    <xdr:ext cx="1028700" cy="323850"/>
    <xdr:sp>
      <xdr:nvSpPr>
        <xdr:cNvPr id="1515" name="Shape 151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Hyperactive</a:t>
          </a:r>
          <a:endParaRPr sz="1400"/>
        </a:p>
      </xdr:txBody>
    </xdr:sp>
    <xdr:clientData fLocksWithSheet="0"/>
  </xdr:oneCellAnchor>
  <xdr:oneCellAnchor>
    <xdr:from>
      <xdr:col>43</xdr:col>
      <xdr:colOff>0</xdr:colOff>
      <xdr:row>55</xdr:row>
      <xdr:rowOff>0</xdr:rowOff>
    </xdr:from>
    <xdr:ext cx="1028700" cy="333375"/>
    <xdr:sp>
      <xdr:nvSpPr>
        <xdr:cNvPr id="1516" name="Shape 151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Make Eye Contact</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28700" cy="323850"/>
    <xdr:sp>
      <xdr:nvSpPr>
        <xdr:cNvPr id="1517" name="Shape 151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53</xdr:col>
      <xdr:colOff>0</xdr:colOff>
      <xdr:row>55</xdr:row>
      <xdr:rowOff>0</xdr:rowOff>
    </xdr:from>
    <xdr:ext cx="1028700" cy="333375"/>
    <xdr:sp>
      <xdr:nvSpPr>
        <xdr:cNvPr id="1518" name="Shape 151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Defensiveness</a:t>
          </a:r>
          <a:endParaRPr sz="1400"/>
        </a:p>
      </xdr:txBody>
    </xdr:sp>
    <xdr:clientData fLocksWithSheet="0"/>
  </xdr:oneCellAnchor>
  <xdr:oneCellAnchor>
    <xdr:from>
      <xdr:col>53</xdr:col>
      <xdr:colOff>0</xdr:colOff>
      <xdr:row>54</xdr:row>
      <xdr:rowOff>0</xdr:rowOff>
    </xdr:from>
    <xdr:ext cx="1028700" cy="323850"/>
    <xdr:sp>
      <xdr:nvSpPr>
        <xdr:cNvPr id="1519" name="Shape 151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Sensory</a:t>
          </a:r>
          <a:endParaRPr sz="1400"/>
        </a:p>
      </xdr:txBody>
    </xdr:sp>
    <xdr:clientData fLocksWithSheet="0"/>
  </xdr:oneCellAnchor>
  <xdr:oneCellAnchor>
    <xdr:from>
      <xdr:col>67</xdr:col>
      <xdr:colOff>104775</xdr:colOff>
      <xdr:row>0</xdr:row>
      <xdr:rowOff>0</xdr:rowOff>
    </xdr:from>
    <xdr:ext cx="38100" cy="11515725"/>
    <xdr:grpSp>
      <xdr:nvGrpSpPr>
        <xdr:cNvPr id="2" name="Shape 2"/>
        <xdr:cNvGrpSpPr/>
      </xdr:nvGrpSpPr>
      <xdr:grpSpPr>
        <a:xfrm>
          <a:off x="5326950" y="0"/>
          <a:ext cx="38100" cy="7560000"/>
          <a:chOff x="5326950" y="0"/>
          <a:chExt cx="38100" cy="7560000"/>
        </a:xfrm>
      </xdr:grpSpPr>
      <xdr:grpSp>
        <xdr:nvGrpSpPr>
          <xdr:cNvPr id="1520" name="Shape 1520"/>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21" name="Shape 1521"/>
            <xdr:cNvGrpSpPr/>
          </xdr:nvGrpSpPr>
          <xdr:grpSpPr>
            <a:xfrm>
              <a:off x="5326950" y="0"/>
              <a:ext cx="38100" cy="7560000"/>
              <a:chOff x="5326950" y="0"/>
              <a:chExt cx="38100" cy="7560000"/>
            </a:xfrm>
          </xdr:grpSpPr>
          <xdr:sp>
            <xdr:nvSpPr>
              <xdr:cNvPr id="1522" name="Shape 1522"/>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23" name="Shape 1523"/>
              <xdr:cNvGrpSpPr/>
            </xdr:nvGrpSpPr>
            <xdr:grpSpPr>
              <a:xfrm>
                <a:off x="5326950" y="0"/>
                <a:ext cx="38100" cy="7560000"/>
                <a:chOff x="0" y="0"/>
                <a:chExt cx="2147483647" cy="2147483647"/>
              </a:xfrm>
            </xdr:grpSpPr>
            <xdr:sp>
              <xdr:nvSpPr>
                <xdr:cNvPr id="1524" name="Shape 1524"/>
                <xdr:cNvSpPr/>
              </xdr:nvSpPr>
              <xdr:spPr>
                <a:xfrm>
                  <a:off x="0" y="276"/>
                  <a:ext cx="2147483647" cy="214748337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25" name="Shape 1525"/>
                <xdr:cNvGrpSpPr/>
              </xdr:nvGrpSpPr>
              <xdr:grpSpPr>
                <a:xfrm>
                  <a:off x="0" y="0"/>
                  <a:ext cx="2147483647" cy="2147483392"/>
                  <a:chOff x="-411862" y="-1977861"/>
                  <a:chExt cx="11515725" cy="11515725"/>
                </a:xfrm>
              </xdr:grpSpPr>
              <xdr:sp>
                <xdr:nvSpPr>
                  <xdr:cNvPr id="1526" name="Shape 1526"/>
                  <xdr:cNvSpPr/>
                </xdr:nvSpPr>
                <xdr:spPr>
                  <a:xfrm>
                    <a:off x="-411862" y="3775579"/>
                    <a:ext cx="11515725" cy="8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27" name="Shape 1527"/>
                  <xdr:cNvCxnSpPr/>
                </xdr:nvCxnSpPr>
                <xdr:spPr>
                  <a:xfrm rot="5400000">
                    <a:off x="-411862" y="3775579"/>
                    <a:ext cx="11515725" cy="8844"/>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70</xdr:col>
      <xdr:colOff>19050</xdr:colOff>
      <xdr:row>5</xdr:row>
      <xdr:rowOff>171450</xdr:rowOff>
    </xdr:from>
    <xdr:ext cx="1924050" cy="323850"/>
    <xdr:sp>
      <xdr:nvSpPr>
        <xdr:cNvPr id="1528" name="Shape 1528"/>
        <xdr:cNvSpPr/>
      </xdr:nvSpPr>
      <xdr:spPr>
        <a:xfrm>
          <a:off x="4388738" y="3622838"/>
          <a:ext cx="1914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19050</xdr:colOff>
      <xdr:row>7</xdr:row>
      <xdr:rowOff>0</xdr:rowOff>
    </xdr:from>
    <xdr:ext cx="1933575" cy="323850"/>
    <xdr:sp>
      <xdr:nvSpPr>
        <xdr:cNvPr id="1529" name="Shape 1529">
          <a:hlinkClick r:id="rId1"/>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19050</xdr:colOff>
      <xdr:row>8</xdr:row>
      <xdr:rowOff>0</xdr:rowOff>
    </xdr:from>
    <xdr:ext cx="1933575" cy="323850"/>
    <xdr:sp>
      <xdr:nvSpPr>
        <xdr:cNvPr id="1530" name="Shape 1530">
          <a:hlinkClick r:id="rId2"/>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19050</xdr:colOff>
      <xdr:row>9</xdr:row>
      <xdr:rowOff>9525</xdr:rowOff>
    </xdr:from>
    <xdr:ext cx="1933575" cy="333375"/>
    <xdr:sp>
      <xdr:nvSpPr>
        <xdr:cNvPr id="1531" name="Shape 1531">
          <a:hlinkClick r:id="rId3"/>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19050</xdr:colOff>
      <xdr:row>10</xdr:row>
      <xdr:rowOff>95250</xdr:rowOff>
    </xdr:from>
    <xdr:ext cx="1933575" cy="333375"/>
    <xdr:sp>
      <xdr:nvSpPr>
        <xdr:cNvPr id="1532" name="Shape 1532">
          <a:hlinkClick r:id="rId4"/>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19050</xdr:colOff>
      <xdr:row>13</xdr:row>
      <xdr:rowOff>57150</xdr:rowOff>
    </xdr:from>
    <xdr:ext cx="1933575" cy="333375"/>
    <xdr:sp>
      <xdr:nvSpPr>
        <xdr:cNvPr id="1533" name="Shape 1533">
          <a:hlinkClick r:id="rId5"/>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19050</xdr:colOff>
      <xdr:row>15</xdr:row>
      <xdr:rowOff>28575</xdr:rowOff>
    </xdr:from>
    <xdr:ext cx="1933575" cy="333375"/>
    <xdr:sp>
      <xdr:nvSpPr>
        <xdr:cNvPr id="1534" name="Shape 1534">
          <a:hlinkClick r:id="rId6"/>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17</xdr:row>
      <xdr:rowOff>0</xdr:rowOff>
    </xdr:from>
    <xdr:ext cx="1933575" cy="333375"/>
    <xdr:sp>
      <xdr:nvSpPr>
        <xdr:cNvPr id="1535" name="Shape 1535">
          <a:hlinkClick r:id="rId7"/>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19</xdr:row>
      <xdr:rowOff>0</xdr:rowOff>
    </xdr:from>
    <xdr:ext cx="1933575" cy="323850"/>
    <xdr:sp>
      <xdr:nvSpPr>
        <xdr:cNvPr id="1536" name="Shape 1536">
          <a:hlinkClick r:id="rId8"/>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19050</xdr:colOff>
      <xdr:row>21</xdr:row>
      <xdr:rowOff>38100</xdr:rowOff>
    </xdr:from>
    <xdr:ext cx="1933575" cy="333375"/>
    <xdr:sp>
      <xdr:nvSpPr>
        <xdr:cNvPr id="1537" name="Shape 1537">
          <a:hlinkClick r:id="rId9"/>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19050</xdr:colOff>
      <xdr:row>24</xdr:row>
      <xdr:rowOff>0</xdr:rowOff>
    </xdr:from>
    <xdr:ext cx="1933575" cy="514350"/>
    <xdr:sp>
      <xdr:nvSpPr>
        <xdr:cNvPr id="1538" name="Shape 1538">
          <a:hlinkClick r:id="rId10"/>
        </xdr:cNvPr>
        <xdr:cNvSpPr/>
      </xdr:nvSpPr>
      <xdr:spPr>
        <a:xfrm>
          <a:off x="4383975" y="3527588"/>
          <a:ext cx="19240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12</xdr:row>
      <xdr:rowOff>0</xdr:rowOff>
    </xdr:from>
    <xdr:ext cx="1933575" cy="333375"/>
    <xdr:sp>
      <xdr:nvSpPr>
        <xdr:cNvPr id="1539" name="Shape 1539">
          <a:hlinkClick r:id="rId11"/>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2</xdr:col>
      <xdr:colOff>85725</xdr:colOff>
      <xdr:row>10</xdr:row>
      <xdr:rowOff>123825</xdr:rowOff>
    </xdr:from>
    <xdr:ext cx="1028700" cy="342900"/>
    <xdr:sp>
      <xdr:nvSpPr>
        <xdr:cNvPr id="1540" name="Shape 1540"/>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Problems</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33</xdr:col>
      <xdr:colOff>0</xdr:colOff>
      <xdr:row>26</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26</xdr:row>
      <xdr:rowOff>0</xdr:rowOff>
    </xdr:from>
    <xdr:ext cx="1123950" cy="523875"/>
    <xdr:sp>
      <xdr:nvSpPr>
        <xdr:cNvPr id="625" name="Shape 625"/>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10</xdr:row>
      <xdr:rowOff>0</xdr:rowOff>
    </xdr:from>
    <xdr:ext cx="1123950" cy="523875"/>
    <xdr:sp>
      <xdr:nvSpPr>
        <xdr:cNvPr id="625" name="Shape 625"/>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42</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42</xdr:row>
      <xdr:rowOff>0</xdr:rowOff>
    </xdr:from>
    <xdr:ext cx="1123950" cy="523875"/>
    <xdr:sp>
      <xdr:nvSpPr>
        <xdr:cNvPr id="625" name="Shape 625"/>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42</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26</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26</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xdr:col>
      <xdr:colOff>47625</xdr:colOff>
      <xdr:row>26</xdr:row>
      <xdr:rowOff>0</xdr:rowOff>
    </xdr:from>
    <xdr:ext cx="1123950" cy="523875"/>
    <xdr:sp>
      <xdr:nvSpPr>
        <xdr:cNvPr id="1430" name="Shape 1430"/>
        <xdr:cNvSpPr txBox="1"/>
      </xdr:nvSpPr>
      <xdr:spPr>
        <a:xfrm>
          <a:off x="4788788" y="3522825"/>
          <a:ext cx="1114425" cy="5143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Generalization</a:t>
          </a:r>
          <a:endParaRPr sz="1400"/>
        </a:p>
      </xdr:txBody>
    </xdr:sp>
    <xdr:clientData fLocksWithSheet="0"/>
  </xdr:oneCellAnchor>
  <xdr:oneCellAnchor>
    <xdr:from>
      <xdr:col>3</xdr:col>
      <xdr:colOff>0</xdr:colOff>
      <xdr:row>42</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0</xdr:rowOff>
    </xdr:from>
    <xdr:ext cx="1038225" cy="523875"/>
    <xdr:sp>
      <xdr:nvSpPr>
        <xdr:cNvPr id="132" name="Shape 132"/>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42</xdr:row>
      <xdr:rowOff>0</xdr:rowOff>
    </xdr:from>
    <xdr:ext cx="1038225" cy="523875"/>
    <xdr:sp>
      <xdr:nvSpPr>
        <xdr:cNvPr id="1431" name="Shape 1431"/>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Eating Skills</a:t>
          </a:r>
          <a:endParaRPr sz="1400"/>
        </a:p>
      </xdr:txBody>
    </xdr:sp>
    <xdr:clientData fLocksWithSheet="0"/>
  </xdr:oneCellAnchor>
  <xdr:oneCellAnchor>
    <xdr:from>
      <xdr:col>41</xdr:col>
      <xdr:colOff>66675</xdr:colOff>
      <xdr:row>42</xdr:row>
      <xdr:rowOff>0</xdr:rowOff>
    </xdr:from>
    <xdr:ext cx="1323975" cy="523875"/>
    <xdr:sp>
      <xdr:nvSpPr>
        <xdr:cNvPr id="1432" name="Shape 1432"/>
        <xdr:cNvSpPr txBox="1"/>
      </xdr:nvSpPr>
      <xdr:spPr>
        <a:xfrm>
          <a:off x="4688775" y="3522825"/>
          <a:ext cx="1314450" cy="5143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Toileting Skills</a:t>
          </a:r>
          <a:endParaRPr sz="1400"/>
        </a:p>
      </xdr:txBody>
    </xdr:sp>
    <xdr:clientData fLocksWithSheet="0"/>
  </xdr:oneCellAnchor>
  <xdr:oneCellAnchor>
    <xdr:from>
      <xdr:col>3</xdr:col>
      <xdr:colOff>0</xdr:colOff>
      <xdr:row>10</xdr:row>
      <xdr:rowOff>133350</xdr:rowOff>
    </xdr:from>
    <xdr:ext cx="1028700" cy="352425"/>
    <xdr:sp>
      <xdr:nvSpPr>
        <xdr:cNvPr id="1433" name="Shape 1433"/>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Score</a:t>
          </a:r>
          <a:endParaRPr sz="1400"/>
        </a:p>
      </xdr:txBody>
    </xdr:sp>
    <xdr:clientData fLocksWithSheet="0"/>
  </xdr:oneCellAnchor>
  <xdr:oneCellAnchor>
    <xdr:from>
      <xdr:col>2</xdr:col>
      <xdr:colOff>19050</xdr:colOff>
      <xdr:row>10</xdr:row>
      <xdr:rowOff>0</xdr:rowOff>
    </xdr:from>
    <xdr:ext cx="1190625" cy="333375"/>
    <xdr:sp>
      <xdr:nvSpPr>
        <xdr:cNvPr id="1434" name="Shape 1434"/>
        <xdr:cNvSpPr txBox="1"/>
      </xdr:nvSpPr>
      <xdr:spPr>
        <a:xfrm>
          <a:off x="4755450" y="3618075"/>
          <a:ext cx="118110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 Milestones</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133350</xdr:rowOff>
    </xdr:from>
    <xdr:ext cx="1028700" cy="352425"/>
    <xdr:sp>
      <xdr:nvSpPr>
        <xdr:cNvPr id="1435" name="Shape 1435"/>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Barriers Score</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28700" cy="333375"/>
    <xdr:sp>
      <xdr:nvSpPr>
        <xdr:cNvPr id="1436" name="Shape 143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a:t>
          </a:r>
          <a:endParaRPr sz="1400"/>
        </a:p>
      </xdr:txBody>
    </xdr:sp>
    <xdr:clientData fLocksWithSheet="0"/>
  </xdr:oneCellAnchor>
  <xdr:oneCellAnchor>
    <xdr:from>
      <xdr:col>22</xdr:col>
      <xdr:colOff>0</xdr:colOff>
      <xdr:row>10</xdr:row>
      <xdr:rowOff>133350</xdr:rowOff>
    </xdr:from>
    <xdr:ext cx="1200150" cy="352425"/>
    <xdr:sp>
      <xdr:nvSpPr>
        <xdr:cNvPr id="1437" name="Shape 1437"/>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 Control</a:t>
          </a:r>
          <a:endParaRPr sz="1200">
            <a:latin typeface="Gill Sans"/>
            <a:ea typeface="Gill Sans"/>
            <a:cs typeface="Gill Sans"/>
            <a:sym typeface="Gill Sans"/>
          </a:endParaRPr>
        </a:p>
      </xdr:txBody>
    </xdr:sp>
    <xdr:clientData fLocksWithSheet="0"/>
  </xdr:oneCellAnchor>
  <xdr:oneCellAnchor>
    <xdr:from>
      <xdr:col>21</xdr:col>
      <xdr:colOff>66675</xdr:colOff>
      <xdr:row>10</xdr:row>
      <xdr:rowOff>0</xdr:rowOff>
    </xdr:from>
    <xdr:ext cx="1333500" cy="333375"/>
    <xdr:sp>
      <xdr:nvSpPr>
        <xdr:cNvPr id="1438" name="Shape 1438"/>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Negative Behaviors and</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133350</xdr:rowOff>
    </xdr:from>
    <xdr:ext cx="1028700" cy="352425"/>
    <xdr:sp>
      <xdr:nvSpPr>
        <xdr:cNvPr id="1440" name="Shape 1440"/>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Group Skills</a:t>
          </a:r>
          <a:endParaRPr sz="1200">
            <a:latin typeface="Gill Sans"/>
            <a:ea typeface="Gill Sans"/>
            <a:cs typeface="Gill Sans"/>
            <a:sym typeface="Gill Sans"/>
          </a:endParaRPr>
        </a:p>
      </xdr:txBody>
    </xdr:sp>
    <xdr:clientData fLocksWithSheet="0"/>
  </xdr:oneCellAnchor>
  <xdr:oneCellAnchor>
    <xdr:from>
      <xdr:col>32</xdr:col>
      <xdr:colOff>19050</xdr:colOff>
      <xdr:row>10</xdr:row>
      <xdr:rowOff>0</xdr:rowOff>
    </xdr:from>
    <xdr:ext cx="1133475" cy="333375"/>
    <xdr:sp>
      <xdr:nvSpPr>
        <xdr:cNvPr id="1441" name="Shape 1441"/>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Classroom Routines</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133350</xdr:rowOff>
    </xdr:from>
    <xdr:ext cx="1028700" cy="352425"/>
    <xdr:sp>
      <xdr:nvSpPr>
        <xdr:cNvPr id="1442" name="Shape 1442"/>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and Social Play</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28700" cy="333375"/>
    <xdr:sp>
      <xdr:nvSpPr>
        <xdr:cNvPr id="1443" name="Shape 1443"/>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133350</xdr:rowOff>
    </xdr:from>
    <xdr:ext cx="1028700" cy="352425"/>
    <xdr:sp>
      <xdr:nvSpPr>
        <xdr:cNvPr id="1444" name="Shape 1444"/>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Academic Work</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28700" cy="333375"/>
    <xdr:sp>
      <xdr:nvSpPr>
        <xdr:cNvPr id="1445" name="Shape 1445"/>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Independent</a:t>
          </a:r>
          <a:endParaRPr sz="1400"/>
        </a:p>
      </xdr:txBody>
    </xdr:sp>
    <xdr:clientData fLocksWithSheet="0"/>
  </xdr:oneCellAnchor>
  <xdr:oneCellAnchor>
    <xdr:from>
      <xdr:col>13</xdr:col>
      <xdr:colOff>0</xdr:colOff>
      <xdr:row>26</xdr:row>
      <xdr:rowOff>133350</xdr:rowOff>
    </xdr:from>
    <xdr:ext cx="1028700" cy="352425"/>
    <xdr:sp>
      <xdr:nvSpPr>
        <xdr:cNvPr id="1447" name="Shape 1447"/>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Reinforcers</a:t>
          </a:r>
          <a:endParaRPr sz="1400"/>
        </a:p>
      </xdr:txBody>
    </xdr:sp>
    <xdr:clientData fLocksWithSheet="0"/>
  </xdr:oneCellAnchor>
  <xdr:oneCellAnchor>
    <xdr:from>
      <xdr:col>13</xdr:col>
      <xdr:colOff>0</xdr:colOff>
      <xdr:row>26</xdr:row>
      <xdr:rowOff>0</xdr:rowOff>
    </xdr:from>
    <xdr:ext cx="1028700" cy="333375"/>
    <xdr:sp>
      <xdr:nvSpPr>
        <xdr:cNvPr id="1448" name="Shape 144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Range of</a:t>
          </a:r>
          <a:endParaRPr sz="1200">
            <a:latin typeface="Gill Sans"/>
            <a:ea typeface="Gill Sans"/>
            <a:cs typeface="Gill Sans"/>
            <a:sym typeface="Gill Sans"/>
          </a:endParaRPr>
        </a:p>
      </xdr:txBody>
    </xdr:sp>
    <xdr:clientData fLocksWithSheet="0"/>
  </xdr:oneCellAnchor>
  <xdr:oneCellAnchor>
    <xdr:from>
      <xdr:col>22</xdr:col>
      <xdr:colOff>0</xdr:colOff>
      <xdr:row>26</xdr:row>
      <xdr:rowOff>133350</xdr:rowOff>
    </xdr:from>
    <xdr:ext cx="1200150" cy="352425"/>
    <xdr:sp>
      <xdr:nvSpPr>
        <xdr:cNvPr id="1449" name="Shape 1449"/>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Acquisition</a:t>
          </a:r>
          <a:endParaRPr sz="1400"/>
        </a:p>
      </xdr:txBody>
    </xdr:sp>
    <xdr:clientData fLocksWithSheet="0"/>
  </xdr:oneCellAnchor>
  <xdr:oneCellAnchor>
    <xdr:from>
      <xdr:col>21</xdr:col>
      <xdr:colOff>66675</xdr:colOff>
      <xdr:row>26</xdr:row>
      <xdr:rowOff>0</xdr:rowOff>
    </xdr:from>
    <xdr:ext cx="1333500" cy="333375"/>
    <xdr:sp>
      <xdr:nvSpPr>
        <xdr:cNvPr id="1450" name="Shape 1450"/>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Rate of Skill</a:t>
          </a:r>
          <a:endParaRPr sz="1200">
            <a:latin typeface="Gill Sans"/>
            <a:ea typeface="Gill Sans"/>
            <a:cs typeface="Gill Sans"/>
            <a:sym typeface="Gill Sans"/>
          </a:endParaRPr>
        </a:p>
      </xdr:txBody>
    </xdr:sp>
    <xdr:clientData fLocksWithSheet="0"/>
  </xdr:oneCellAnchor>
  <xdr:oneCellAnchor>
    <xdr:from>
      <xdr:col>33</xdr:col>
      <xdr:colOff>0</xdr:colOff>
      <xdr:row>26</xdr:row>
      <xdr:rowOff>133350</xdr:rowOff>
    </xdr:from>
    <xdr:ext cx="1028700" cy="352425"/>
    <xdr:sp>
      <xdr:nvSpPr>
        <xdr:cNvPr id="1451" name="Shape 1451"/>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New Skills</a:t>
          </a:r>
          <a:endParaRPr sz="1200">
            <a:latin typeface="Gill Sans"/>
            <a:ea typeface="Gill Sans"/>
            <a:cs typeface="Gill Sans"/>
            <a:sym typeface="Gill Sans"/>
          </a:endParaRPr>
        </a:p>
      </xdr:txBody>
    </xdr:sp>
    <xdr:clientData fLocksWithSheet="0"/>
  </xdr:oneCellAnchor>
  <xdr:oneCellAnchor>
    <xdr:from>
      <xdr:col>32</xdr:col>
      <xdr:colOff>19050</xdr:colOff>
      <xdr:row>26</xdr:row>
      <xdr:rowOff>0</xdr:rowOff>
    </xdr:from>
    <xdr:ext cx="1133475" cy="333375"/>
    <xdr:sp>
      <xdr:nvSpPr>
        <xdr:cNvPr id="1452" name="Shape 1452"/>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Retention of</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133350</xdr:rowOff>
    </xdr:from>
    <xdr:ext cx="1028700" cy="352425"/>
    <xdr:sp>
      <xdr:nvSpPr>
        <xdr:cNvPr id="1453" name="Shape 1453"/>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Learning</a:t>
          </a:r>
          <a:endParaRPr sz="1400"/>
        </a:p>
      </xdr:txBody>
    </xdr:sp>
    <xdr:clientData fLocksWithSheet="0"/>
  </xdr:oneCellAnchor>
  <xdr:oneCellAnchor>
    <xdr:from>
      <xdr:col>42</xdr:col>
      <xdr:colOff>19050</xdr:colOff>
      <xdr:row>26</xdr:row>
      <xdr:rowOff>0</xdr:rowOff>
    </xdr:from>
    <xdr:ext cx="1162050" cy="333375"/>
    <xdr:sp>
      <xdr:nvSpPr>
        <xdr:cNvPr id="1454" name="Shape 1454"/>
        <xdr:cNvSpPr txBox="1"/>
      </xdr:nvSpPr>
      <xdr:spPr>
        <a:xfrm>
          <a:off x="4769738" y="3618075"/>
          <a:ext cx="115252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Natural Environment</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133350</xdr:rowOff>
    </xdr:from>
    <xdr:ext cx="1028700" cy="352425"/>
    <xdr:sp>
      <xdr:nvSpPr>
        <xdr:cNvPr id="1455" name="Shape 1455"/>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Training</a:t>
          </a:r>
          <a:endParaRPr sz="1400"/>
        </a:p>
      </xdr:txBody>
    </xdr:sp>
    <xdr:clientData fLocksWithSheet="0"/>
  </xdr:oneCellAnchor>
  <xdr:oneCellAnchor>
    <xdr:from>
      <xdr:col>53</xdr:col>
      <xdr:colOff>0</xdr:colOff>
      <xdr:row>26</xdr:row>
      <xdr:rowOff>0</xdr:rowOff>
    </xdr:from>
    <xdr:ext cx="1028700" cy="333375"/>
    <xdr:sp>
      <xdr:nvSpPr>
        <xdr:cNvPr id="1457" name="Shape 1457"/>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Transfer Without</a:t>
          </a:r>
          <a:endParaRPr sz="1200">
            <a:latin typeface="Gill Sans"/>
            <a:ea typeface="Gill Sans"/>
            <a:cs typeface="Gill Sans"/>
            <a:sym typeface="Gill Sans"/>
          </a:endParaRPr>
        </a:p>
      </xdr:txBody>
    </xdr:sp>
    <xdr:clientData fLocksWithSheet="0"/>
  </xdr:oneCellAnchor>
  <xdr:oneCellAnchor>
    <xdr:from>
      <xdr:col>3</xdr:col>
      <xdr:colOff>0</xdr:colOff>
      <xdr:row>42</xdr:row>
      <xdr:rowOff>133350</xdr:rowOff>
    </xdr:from>
    <xdr:ext cx="1028700" cy="352425"/>
    <xdr:sp>
      <xdr:nvSpPr>
        <xdr:cNvPr id="1458" name="Shape 1458"/>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Change</a:t>
          </a:r>
          <a:endParaRPr sz="1400"/>
        </a:p>
      </xdr:txBody>
    </xdr:sp>
    <xdr:clientData fLocksWithSheet="0"/>
  </xdr:oneCellAnchor>
  <xdr:oneCellAnchor>
    <xdr:from>
      <xdr:col>2</xdr:col>
      <xdr:colOff>9525</xdr:colOff>
      <xdr:row>42</xdr:row>
      <xdr:rowOff>0</xdr:rowOff>
    </xdr:from>
    <xdr:ext cx="1190625" cy="333375"/>
    <xdr:sp>
      <xdr:nvSpPr>
        <xdr:cNvPr id="1459" name="Shape 1459"/>
        <xdr:cNvSpPr txBox="1"/>
      </xdr:nvSpPr>
      <xdr:spPr>
        <a:xfrm>
          <a:off x="4755450" y="3618075"/>
          <a:ext cx="118110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Adaptability to</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133350</xdr:rowOff>
    </xdr:from>
    <xdr:ext cx="1028700" cy="352425"/>
    <xdr:sp>
      <xdr:nvSpPr>
        <xdr:cNvPr id="1460" name="Shape 1460"/>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Behaviors</a:t>
          </a:r>
          <a:endParaRPr sz="1400"/>
        </a:p>
      </xdr:txBody>
    </xdr:sp>
    <xdr:clientData fLocksWithSheet="0"/>
  </xdr:oneCellAnchor>
  <xdr:oneCellAnchor>
    <xdr:from>
      <xdr:col>13</xdr:col>
      <xdr:colOff>0</xdr:colOff>
      <xdr:row>42</xdr:row>
      <xdr:rowOff>0</xdr:rowOff>
    </xdr:from>
    <xdr:ext cx="1028700" cy="333375"/>
    <xdr:sp>
      <xdr:nvSpPr>
        <xdr:cNvPr id="1461" name="Shape 146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Spontaneous</a:t>
          </a:r>
          <a:endParaRPr sz="1400"/>
        </a:p>
      </xdr:txBody>
    </xdr:sp>
    <xdr:clientData fLocksWithSheet="0"/>
  </xdr:oneCellAnchor>
  <xdr:oneCellAnchor>
    <xdr:from>
      <xdr:col>22</xdr:col>
      <xdr:colOff>0</xdr:colOff>
      <xdr:row>42</xdr:row>
      <xdr:rowOff>133350</xdr:rowOff>
    </xdr:from>
    <xdr:ext cx="1200150" cy="352425"/>
    <xdr:sp>
      <xdr:nvSpPr>
        <xdr:cNvPr id="1462" name="Shape 1462"/>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Leisure Time</a:t>
          </a:r>
          <a:endParaRPr sz="1200">
            <a:latin typeface="Gill Sans"/>
            <a:ea typeface="Gill Sans"/>
            <a:cs typeface="Gill Sans"/>
            <a:sym typeface="Gill Sans"/>
          </a:endParaRPr>
        </a:p>
      </xdr:txBody>
    </xdr:sp>
    <xdr:clientData fLocksWithSheet="0"/>
  </xdr:oneCellAnchor>
  <xdr:oneCellAnchor>
    <xdr:from>
      <xdr:col>21</xdr:col>
      <xdr:colOff>57150</xdr:colOff>
      <xdr:row>42</xdr:row>
      <xdr:rowOff>0</xdr:rowOff>
    </xdr:from>
    <xdr:ext cx="1333500" cy="333375"/>
    <xdr:sp>
      <xdr:nvSpPr>
        <xdr:cNvPr id="1463" name="Shape 1463"/>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Self-Directed</a:t>
          </a:r>
          <a:endParaRPr sz="1400"/>
        </a:p>
      </xdr:txBody>
    </xdr:sp>
    <xdr:clientData fLocksWithSheet="0"/>
  </xdr:oneCellAnchor>
  <xdr:oneCellAnchor>
    <xdr:from>
      <xdr:col>33</xdr:col>
      <xdr:colOff>0</xdr:colOff>
      <xdr:row>42</xdr:row>
      <xdr:rowOff>133350</xdr:rowOff>
    </xdr:from>
    <xdr:ext cx="1028700" cy="352425"/>
    <xdr:sp>
      <xdr:nvSpPr>
        <xdr:cNvPr id="1465" name="Shape 1465"/>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b="0" lang="en-US" sz="1200">
              <a:solidFill>
                <a:schemeClr val="dk1"/>
              </a:solidFill>
              <a:latin typeface="Gill Sans"/>
              <a:ea typeface="Gill Sans"/>
              <a:cs typeface="Gill Sans"/>
              <a:sym typeface="Gill Sans"/>
            </a:rPr>
            <a:t>Self-help</a:t>
          </a:r>
          <a:endParaRPr sz="1400"/>
        </a:p>
      </xdr:txBody>
    </xdr:sp>
    <xdr:clientData fLocksWithSheet="0"/>
  </xdr:oneCellAnchor>
  <xdr:oneCellAnchor>
    <xdr:from>
      <xdr:col>32</xdr:col>
      <xdr:colOff>28575</xdr:colOff>
      <xdr:row>42</xdr:row>
      <xdr:rowOff>0</xdr:rowOff>
    </xdr:from>
    <xdr:ext cx="1133475" cy="333375"/>
    <xdr:sp>
      <xdr:nvSpPr>
        <xdr:cNvPr id="1467" name="Shape 1467"/>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a:t>
          </a:r>
          <a:endParaRPr sz="1400"/>
        </a:p>
      </xdr:txBody>
    </xdr:sp>
    <xdr:clientData fLocksWithSheet="0"/>
  </xdr:oneCellAnchor>
  <xdr:oneCellAnchor>
    <xdr:from>
      <xdr:col>70</xdr:col>
      <xdr:colOff>19050</xdr:colOff>
      <xdr:row>5</xdr:row>
      <xdr:rowOff>171450</xdr:rowOff>
    </xdr:from>
    <xdr:ext cx="1924050" cy="323850"/>
    <xdr:sp>
      <xdr:nvSpPr>
        <xdr:cNvPr id="1469" name="Shape 1469"/>
        <xdr:cNvSpPr/>
      </xdr:nvSpPr>
      <xdr:spPr>
        <a:xfrm>
          <a:off x="4388738" y="3622838"/>
          <a:ext cx="1914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19050</xdr:colOff>
      <xdr:row>7</xdr:row>
      <xdr:rowOff>0</xdr:rowOff>
    </xdr:from>
    <xdr:ext cx="1933575" cy="323850"/>
    <xdr:sp>
      <xdr:nvSpPr>
        <xdr:cNvPr id="1471" name="Shape 1471">
          <a:hlinkClick r:id="rId1"/>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19050</xdr:colOff>
      <xdr:row>8</xdr:row>
      <xdr:rowOff>0</xdr:rowOff>
    </xdr:from>
    <xdr:ext cx="1933575" cy="323850"/>
    <xdr:sp>
      <xdr:nvSpPr>
        <xdr:cNvPr id="1472" name="Shape 1472">
          <a:hlinkClick r:id="rId2"/>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19050</xdr:colOff>
      <xdr:row>9</xdr:row>
      <xdr:rowOff>9525</xdr:rowOff>
    </xdr:from>
    <xdr:ext cx="1933575" cy="333375"/>
    <xdr:sp>
      <xdr:nvSpPr>
        <xdr:cNvPr id="1474" name="Shape 1474">
          <a:hlinkClick r:id="rId3"/>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19050</xdr:colOff>
      <xdr:row>10</xdr:row>
      <xdr:rowOff>95250</xdr:rowOff>
    </xdr:from>
    <xdr:ext cx="1933575" cy="352425"/>
    <xdr:sp>
      <xdr:nvSpPr>
        <xdr:cNvPr id="1476" name="Shape 1476">
          <a:hlinkClick r:id="rId4"/>
        </xdr:cNvPr>
        <xdr:cNvSpPr/>
      </xdr:nvSpPr>
      <xdr:spPr>
        <a:xfrm>
          <a:off x="4383975" y="3608550"/>
          <a:ext cx="192405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19050</xdr:colOff>
      <xdr:row>13</xdr:row>
      <xdr:rowOff>76200</xdr:rowOff>
    </xdr:from>
    <xdr:ext cx="1933575" cy="333375"/>
    <xdr:sp>
      <xdr:nvSpPr>
        <xdr:cNvPr id="1478" name="Shape 1478">
          <a:hlinkClick r:id="rId5"/>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19050</xdr:colOff>
      <xdr:row>15</xdr:row>
      <xdr:rowOff>9525</xdr:rowOff>
    </xdr:from>
    <xdr:ext cx="1933575" cy="323850"/>
    <xdr:sp>
      <xdr:nvSpPr>
        <xdr:cNvPr id="1480" name="Shape 1480">
          <a:hlinkClick r:id="rId6"/>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16</xdr:row>
      <xdr:rowOff>114300</xdr:rowOff>
    </xdr:from>
    <xdr:ext cx="1933575" cy="333375"/>
    <xdr:sp>
      <xdr:nvSpPr>
        <xdr:cNvPr id="1482" name="Shape 1482">
          <a:hlinkClick r:id="rId7"/>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18</xdr:row>
      <xdr:rowOff>47625</xdr:rowOff>
    </xdr:from>
    <xdr:ext cx="1933575" cy="333375"/>
    <xdr:sp>
      <xdr:nvSpPr>
        <xdr:cNvPr id="1485" name="Shape 1485">
          <a:hlinkClick r:id="rId8"/>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19050</xdr:colOff>
      <xdr:row>20</xdr:row>
      <xdr:rowOff>76200</xdr:rowOff>
    </xdr:from>
    <xdr:ext cx="1933575" cy="333375"/>
    <xdr:sp>
      <xdr:nvSpPr>
        <xdr:cNvPr id="1486" name="Shape 1486">
          <a:hlinkClick r:id="rId9"/>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19050</xdr:colOff>
      <xdr:row>22</xdr:row>
      <xdr:rowOff>104775</xdr:rowOff>
    </xdr:from>
    <xdr:ext cx="1933575" cy="542925"/>
    <xdr:sp>
      <xdr:nvSpPr>
        <xdr:cNvPr id="1488" name="Shape 1488">
          <a:hlinkClick r:id="rId10"/>
        </xdr:cNvPr>
        <xdr:cNvSpPr/>
      </xdr:nvSpPr>
      <xdr:spPr>
        <a:xfrm>
          <a:off x="4383975" y="3513300"/>
          <a:ext cx="1924050" cy="5334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12</xdr:row>
      <xdr:rowOff>0</xdr:rowOff>
    </xdr:from>
    <xdr:ext cx="1933575" cy="333375"/>
    <xdr:sp>
      <xdr:nvSpPr>
        <xdr:cNvPr id="1490" name="Shape 1490">
          <a:hlinkClick r:id="rId11"/>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19150" cy="76200"/>
    <xdr:sp>
      <xdr:nvSpPr>
        <xdr:cNvPr id="1541" name="Shape 1541"/>
        <xdr:cNvSpPr/>
      </xdr:nvSpPr>
      <xdr:spPr>
        <a:xfrm>
          <a:off x="4941188" y="3746663"/>
          <a:ext cx="809625" cy="66675"/>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67</xdr:col>
      <xdr:colOff>104775</xdr:colOff>
      <xdr:row>0</xdr:row>
      <xdr:rowOff>0</xdr:rowOff>
    </xdr:from>
    <xdr:ext cx="38100" cy="33937575"/>
    <xdr:grpSp>
      <xdr:nvGrpSpPr>
        <xdr:cNvPr id="2" name="Shape 2"/>
        <xdr:cNvGrpSpPr/>
      </xdr:nvGrpSpPr>
      <xdr:grpSpPr>
        <a:xfrm>
          <a:off x="5326950" y="0"/>
          <a:ext cx="38100" cy="7560000"/>
          <a:chOff x="5326950" y="0"/>
          <a:chExt cx="38100" cy="7560000"/>
        </a:xfrm>
      </xdr:grpSpPr>
      <xdr:grpSp>
        <xdr:nvGrpSpPr>
          <xdr:cNvPr id="1542" name="Shape 1542"/>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43" name="Shape 1543"/>
            <xdr:cNvGrpSpPr/>
          </xdr:nvGrpSpPr>
          <xdr:grpSpPr>
            <a:xfrm>
              <a:off x="5326950" y="0"/>
              <a:ext cx="38100" cy="7560000"/>
              <a:chOff x="5326950" y="0"/>
              <a:chExt cx="38100" cy="7560000"/>
            </a:xfrm>
          </xdr:grpSpPr>
          <xdr:sp>
            <xdr:nvSpPr>
              <xdr:cNvPr id="1544" name="Shape 154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45" name="Shape 1545"/>
              <xdr:cNvGrpSpPr/>
            </xdr:nvGrpSpPr>
            <xdr:grpSpPr>
              <a:xfrm>
                <a:off x="5326950" y="0"/>
                <a:ext cx="38100" cy="7560000"/>
                <a:chOff x="0" y="0"/>
                <a:chExt cx="2147483647" cy="2147483647"/>
              </a:xfrm>
            </xdr:grpSpPr>
            <xdr:sp>
              <xdr:nvSpPr>
                <xdr:cNvPr id="1546" name="Shape 1546"/>
                <xdr:cNvSpPr/>
              </xdr:nvSpPr>
              <xdr:spPr>
                <a:xfrm>
                  <a:off x="0" y="93"/>
                  <a:ext cx="2147483647" cy="2147483553"/>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47" name="Shape 1547"/>
                <xdr:cNvGrpSpPr/>
              </xdr:nvGrpSpPr>
              <xdr:grpSpPr>
                <a:xfrm>
                  <a:off x="0" y="0"/>
                  <a:ext cx="2147483647" cy="2147483575"/>
                  <a:chOff x="-11622787" y="-13188787"/>
                  <a:chExt cx="33937550" cy="33937574"/>
                </a:xfrm>
              </xdr:grpSpPr>
              <xdr:sp>
                <xdr:nvSpPr>
                  <xdr:cNvPr id="1548" name="Shape 1548"/>
                  <xdr:cNvSpPr/>
                </xdr:nvSpPr>
                <xdr:spPr>
                  <a:xfrm>
                    <a:off x="-11622787" y="3778499"/>
                    <a:ext cx="33937550" cy="3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49" name="Shape 1549"/>
                  <xdr:cNvCxnSpPr/>
                </xdr:nvCxnSpPr>
                <xdr:spPr>
                  <a:xfrm rot="5400000">
                    <a:off x="-11622787" y="3778499"/>
                    <a:ext cx="33937574" cy="3001"/>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0</xdr:col>
      <xdr:colOff>0</xdr:colOff>
      <xdr:row>3</xdr:row>
      <xdr:rowOff>0</xdr:rowOff>
    </xdr:from>
    <xdr:ext cx="8886825" cy="295275"/>
    <xdr:sp>
      <xdr:nvSpPr>
        <xdr:cNvPr id="1550" name="Shape 1550"/>
        <xdr:cNvSpPr txBox="1"/>
      </xdr:nvSpPr>
      <xdr:spPr>
        <a:xfrm>
          <a:off x="907350" y="3637125"/>
          <a:ext cx="8877300" cy="2857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E36C09"/>
            </a:buClr>
            <a:buSzPts val="1200"/>
            <a:buFont typeface="Gill Sans"/>
            <a:buNone/>
          </a:pPr>
          <a:r>
            <a:rPr b="1" lang="en-US" sz="1200">
              <a:solidFill>
                <a:srgbClr val="E36C09"/>
              </a:solidFill>
              <a:latin typeface="Gill Sans"/>
              <a:ea typeface="Gill Sans"/>
              <a:cs typeface="Gill Sans"/>
              <a:sym typeface="Gill Sans"/>
            </a:rPr>
            <a:t>Record the exact response provided by the child during the </a:t>
          </a:r>
          <a:r>
            <a:rPr b="1" lang="en-US" sz="1200" u="sng">
              <a:solidFill>
                <a:srgbClr val="E36C09"/>
              </a:solidFill>
              <a:latin typeface="Gill Sans"/>
              <a:ea typeface="Gill Sans"/>
              <a:cs typeface="Gill Sans"/>
              <a:sym typeface="Gill Sans"/>
            </a:rPr>
            <a:t>last assessment</a:t>
          </a:r>
          <a:r>
            <a:rPr b="1" lang="en-US" sz="1200" u="none">
              <a:solidFill>
                <a:srgbClr val="E36C09"/>
              </a:solidFill>
              <a:latin typeface="Gill Sans"/>
              <a:ea typeface="Gill Sans"/>
              <a:cs typeface="Gill Sans"/>
              <a:sym typeface="Gill Sans"/>
            </a:rPr>
            <a:t> </a:t>
          </a:r>
          <a:r>
            <a:rPr b="1" lang="en-US" sz="1200">
              <a:solidFill>
                <a:srgbClr val="E36C09"/>
              </a:solidFill>
              <a:latin typeface="Gill Sans"/>
              <a:ea typeface="Gill Sans"/>
              <a:cs typeface="Gill Sans"/>
              <a:sym typeface="Gill Sans"/>
            </a:rPr>
            <a:t>given</a:t>
          </a:r>
          <a:endParaRPr b="1" sz="1200">
            <a:solidFill>
              <a:srgbClr val="E36C09"/>
            </a:solidFill>
            <a:latin typeface="Gill Sans"/>
            <a:ea typeface="Gill Sans"/>
            <a:cs typeface="Gill Sans"/>
            <a:sym typeface="Gill Sans"/>
          </a:endParaRPr>
        </a:p>
      </xdr:txBody>
    </xdr:sp>
    <xdr:clientData fLocksWithSheet="0"/>
  </xdr:oneCellAnchor>
  <xdr:oneCellAnchor>
    <xdr:from>
      <xdr:col>69</xdr:col>
      <xdr:colOff>142875</xdr:colOff>
      <xdr:row>6</xdr:row>
      <xdr:rowOff>0</xdr:rowOff>
    </xdr:from>
    <xdr:ext cx="1905000" cy="314325"/>
    <xdr:sp>
      <xdr:nvSpPr>
        <xdr:cNvPr id="1551" name="Shape 1551"/>
        <xdr:cNvSpPr/>
      </xdr:nvSpPr>
      <xdr:spPr>
        <a:xfrm>
          <a:off x="4398263" y="3627600"/>
          <a:ext cx="18954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69</xdr:col>
      <xdr:colOff>142875</xdr:colOff>
      <xdr:row>7</xdr:row>
      <xdr:rowOff>9525</xdr:rowOff>
    </xdr:from>
    <xdr:ext cx="1914525" cy="323850"/>
    <xdr:sp>
      <xdr:nvSpPr>
        <xdr:cNvPr id="1552" name="Shape 1552">
          <a:hlinkClick r:id="rId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69</xdr:col>
      <xdr:colOff>142875</xdr:colOff>
      <xdr:row>8</xdr:row>
      <xdr:rowOff>38100</xdr:rowOff>
    </xdr:from>
    <xdr:ext cx="1914525" cy="323850"/>
    <xdr:sp>
      <xdr:nvSpPr>
        <xdr:cNvPr id="1553" name="Shape 1553">
          <a:hlinkClick r:id="rId2"/>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69</xdr:col>
      <xdr:colOff>142875</xdr:colOff>
      <xdr:row>9</xdr:row>
      <xdr:rowOff>66675</xdr:rowOff>
    </xdr:from>
    <xdr:ext cx="1914525" cy="323850"/>
    <xdr:sp>
      <xdr:nvSpPr>
        <xdr:cNvPr id="1554" name="Shape 1554">
          <a:hlinkClick r:id="rId3"/>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69</xdr:col>
      <xdr:colOff>142875</xdr:colOff>
      <xdr:row>10</xdr:row>
      <xdr:rowOff>95250</xdr:rowOff>
    </xdr:from>
    <xdr:ext cx="1914525" cy="342900"/>
    <xdr:sp>
      <xdr:nvSpPr>
        <xdr:cNvPr id="1555" name="Shape 1555">
          <a:hlinkClick r:id="rId4"/>
        </xdr:cNvPr>
        <xdr:cNvSpPr/>
      </xdr:nvSpPr>
      <xdr:spPr>
        <a:xfrm>
          <a:off x="4393500" y="3613313"/>
          <a:ext cx="19050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69</xdr:col>
      <xdr:colOff>142875</xdr:colOff>
      <xdr:row>13</xdr:row>
      <xdr:rowOff>0</xdr:rowOff>
    </xdr:from>
    <xdr:ext cx="1914525" cy="323850"/>
    <xdr:sp>
      <xdr:nvSpPr>
        <xdr:cNvPr id="1556" name="Shape 1556">
          <a:hlinkClick r:id="rId5"/>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69</xdr:col>
      <xdr:colOff>142875</xdr:colOff>
      <xdr:row>14</xdr:row>
      <xdr:rowOff>0</xdr:rowOff>
    </xdr:from>
    <xdr:ext cx="1914525" cy="323850"/>
    <xdr:sp>
      <xdr:nvSpPr>
        <xdr:cNvPr id="1557" name="Shape 1557">
          <a:hlinkClick r:id="rId6"/>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15</xdr:row>
      <xdr:rowOff>0</xdr:rowOff>
    </xdr:from>
    <xdr:ext cx="1914525" cy="323850"/>
    <xdr:sp>
      <xdr:nvSpPr>
        <xdr:cNvPr id="1558" name="Shape 1558">
          <a:hlinkClick r:id="rId7"/>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15</xdr:row>
      <xdr:rowOff>228600</xdr:rowOff>
    </xdr:from>
    <xdr:ext cx="1914525" cy="323850"/>
    <xdr:sp>
      <xdr:nvSpPr>
        <xdr:cNvPr id="1559" name="Shape 1559">
          <a:hlinkClick r:id="rId8"/>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69</xdr:col>
      <xdr:colOff>142875</xdr:colOff>
      <xdr:row>17</xdr:row>
      <xdr:rowOff>28575</xdr:rowOff>
    </xdr:from>
    <xdr:ext cx="1914525" cy="323850"/>
    <xdr:sp>
      <xdr:nvSpPr>
        <xdr:cNvPr id="1560" name="Shape 1560">
          <a:hlinkClick r:id="rId9"/>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69</xdr:col>
      <xdr:colOff>142875</xdr:colOff>
      <xdr:row>18</xdr:row>
      <xdr:rowOff>114300</xdr:rowOff>
    </xdr:from>
    <xdr:ext cx="1914525" cy="523875"/>
    <xdr:sp>
      <xdr:nvSpPr>
        <xdr:cNvPr id="1561" name="Shape 1561">
          <a:hlinkClick r:id="rId10"/>
        </xdr:cNvPr>
        <xdr:cNvSpPr/>
      </xdr:nvSpPr>
      <xdr:spPr>
        <a:xfrm>
          <a:off x="4393500" y="3522825"/>
          <a:ext cx="19050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12</xdr:row>
      <xdr:rowOff>0</xdr:rowOff>
    </xdr:from>
    <xdr:ext cx="1914525" cy="323850"/>
    <xdr:sp>
      <xdr:nvSpPr>
        <xdr:cNvPr id="1562" name="Shape 1562">
          <a:hlinkClick r:id="rId1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14</xdr:col>
      <xdr:colOff>476250</xdr:colOff>
      <xdr:row>24</xdr:row>
      <xdr:rowOff>57150</xdr:rowOff>
    </xdr:from>
    <xdr:ext cx="752475" cy="476250"/>
    <xdr:sp>
      <xdr:nvSpPr>
        <xdr:cNvPr id="1563" name="Shape 1563"/>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1</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41</xdr:row>
      <xdr:rowOff>57150</xdr:rowOff>
    </xdr:from>
    <xdr:ext cx="752475" cy="476250"/>
    <xdr:sp>
      <xdr:nvSpPr>
        <xdr:cNvPr id="1564" name="Shape 1564"/>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2</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57</xdr:row>
      <xdr:rowOff>57150</xdr:rowOff>
    </xdr:from>
    <xdr:ext cx="752475" cy="476250"/>
    <xdr:sp>
      <xdr:nvSpPr>
        <xdr:cNvPr id="1565" name="Shape 1565"/>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3</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68</xdr:row>
      <xdr:rowOff>57150</xdr:rowOff>
    </xdr:from>
    <xdr:ext cx="752475" cy="476250"/>
    <xdr:sp>
      <xdr:nvSpPr>
        <xdr:cNvPr id="1566" name="Shape 1566"/>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4</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82</xdr:row>
      <xdr:rowOff>57150</xdr:rowOff>
    </xdr:from>
    <xdr:ext cx="752475" cy="476250"/>
    <xdr:sp>
      <xdr:nvSpPr>
        <xdr:cNvPr id="1567" name="Shape 1567"/>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5</a:t>
          </a:r>
          <a:endParaRPr b="1" sz="900">
            <a:solidFill>
              <a:srgbClr val="FF0000"/>
            </a:solidFill>
            <a:latin typeface="Gill Sans"/>
            <a:ea typeface="Gill Sans"/>
            <a:cs typeface="Gill Sans"/>
            <a:sym typeface="Gill Sans"/>
          </a:endParaRPr>
        </a:p>
      </xdr:txBody>
    </xdr:sp>
    <xdr:clientData fLocksWithSheet="0"/>
  </xdr:oneCellAnchor>
  <xdr:oneCellAnchor>
    <xdr:from>
      <xdr:col>22</xdr:col>
      <xdr:colOff>0</xdr:colOff>
      <xdr:row>64</xdr:row>
      <xdr:rowOff>76200</xdr:rowOff>
    </xdr:from>
    <xdr:ext cx="1819275" cy="695325"/>
    <xdr:sp>
      <xdr:nvSpPr>
        <xdr:cNvPr id="1568" name="Shape 1568"/>
        <xdr:cNvSpPr txBox="1"/>
      </xdr:nvSpPr>
      <xdr:spPr>
        <a:xfrm>
          <a:off x="4441125" y="3437100"/>
          <a:ext cx="1809750" cy="6858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4</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52</xdr:row>
      <xdr:rowOff>0</xdr:rowOff>
    </xdr:from>
    <xdr:ext cx="1819275" cy="685800"/>
    <xdr:sp>
      <xdr:nvSpPr>
        <xdr:cNvPr id="1569" name="Shape 1569"/>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3</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36</xdr:row>
      <xdr:rowOff>0</xdr:rowOff>
    </xdr:from>
    <xdr:ext cx="1819275" cy="685800"/>
    <xdr:sp>
      <xdr:nvSpPr>
        <xdr:cNvPr id="1570" name="Shape 1570"/>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2</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19</xdr:row>
      <xdr:rowOff>0</xdr:rowOff>
    </xdr:from>
    <xdr:ext cx="1819275" cy="685800"/>
    <xdr:sp>
      <xdr:nvSpPr>
        <xdr:cNvPr id="1571" name="Shape 1571"/>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1</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77</xdr:row>
      <xdr:rowOff>114300</xdr:rowOff>
    </xdr:from>
    <xdr:ext cx="1819275" cy="695325"/>
    <xdr:sp>
      <xdr:nvSpPr>
        <xdr:cNvPr id="1572" name="Shape 1572"/>
        <xdr:cNvSpPr txBox="1"/>
      </xdr:nvSpPr>
      <xdr:spPr>
        <a:xfrm>
          <a:off x="4441125" y="3437100"/>
          <a:ext cx="1809750" cy="6858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5</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23</xdr:col>
      <xdr:colOff>0</xdr:colOff>
      <xdr:row>2</xdr:row>
      <xdr:rowOff>0</xdr:rowOff>
    </xdr:from>
    <xdr:ext cx="2638425" cy="314325"/>
    <xdr:sp>
      <xdr:nvSpPr>
        <xdr:cNvPr id="1573" name="Shape 1573"/>
        <xdr:cNvSpPr/>
      </xdr:nvSpPr>
      <xdr:spPr>
        <a:xfrm>
          <a:off x="4031550" y="3627600"/>
          <a:ext cx="26289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23</xdr:col>
      <xdr:colOff>0</xdr:colOff>
      <xdr:row>3</xdr:row>
      <xdr:rowOff>200025</xdr:rowOff>
    </xdr:from>
    <xdr:ext cx="1352550" cy="314325"/>
    <xdr:sp>
      <xdr:nvSpPr>
        <xdr:cNvPr id="1574" name="Shape 1574">
          <a:hlinkClick r:id="rId1"/>
        </xdr:cNvPr>
        <xdr:cNvSpPr/>
      </xdr:nvSpPr>
      <xdr:spPr>
        <a:xfrm>
          <a:off x="4674488" y="3627600"/>
          <a:ext cx="13430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25</xdr:col>
      <xdr:colOff>381000</xdr:colOff>
      <xdr:row>3</xdr:row>
      <xdr:rowOff>200025</xdr:rowOff>
    </xdr:from>
    <xdr:ext cx="1333500" cy="314325"/>
    <xdr:sp>
      <xdr:nvSpPr>
        <xdr:cNvPr id="1575" name="Shape 1575">
          <a:hlinkClick r:id="rId2"/>
        </xdr:cNvPr>
        <xdr:cNvSpPr/>
      </xdr:nvSpPr>
      <xdr:spPr>
        <a:xfrm>
          <a:off x="4684013" y="3627600"/>
          <a:ext cx="1323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23</xdr:col>
      <xdr:colOff>0</xdr:colOff>
      <xdr:row>6</xdr:row>
      <xdr:rowOff>0</xdr:rowOff>
    </xdr:from>
    <xdr:ext cx="1352550" cy="323850"/>
    <xdr:sp>
      <xdr:nvSpPr>
        <xdr:cNvPr id="1576" name="Shape 1576">
          <a:hlinkClick r:id="rId3"/>
        </xdr:cNvPr>
        <xdr:cNvSpPr/>
      </xdr:nvSpPr>
      <xdr:spPr>
        <a:xfrm>
          <a:off x="4674488" y="3622838"/>
          <a:ext cx="13430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a:t>
          </a:r>
          <a:endParaRPr sz="1400"/>
        </a:p>
      </xdr:txBody>
    </xdr:sp>
    <xdr:clientData fLocksWithSheet="0"/>
  </xdr:oneCellAnchor>
  <xdr:oneCellAnchor>
    <xdr:from>
      <xdr:col>25</xdr:col>
      <xdr:colOff>381000</xdr:colOff>
      <xdr:row>6</xdr:row>
      <xdr:rowOff>0</xdr:rowOff>
    </xdr:from>
    <xdr:ext cx="1333500" cy="323850"/>
    <xdr:sp>
      <xdr:nvSpPr>
        <xdr:cNvPr id="1577" name="Shape 1577">
          <a:hlinkClick r:id="rId4"/>
        </xdr:cNvPr>
        <xdr:cNvSpPr/>
      </xdr:nvSpPr>
      <xdr:spPr>
        <a:xfrm>
          <a:off x="4684013" y="3622838"/>
          <a:ext cx="1323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8</xdr:row>
      <xdr:rowOff>57150</xdr:rowOff>
    </xdr:from>
    <xdr:ext cx="1352550" cy="333375"/>
    <xdr:sp>
      <xdr:nvSpPr>
        <xdr:cNvPr id="1578" name="Shape 1578">
          <a:hlinkClick r:id="rId5"/>
        </xdr:cNvPr>
        <xdr:cNvSpPr/>
      </xdr:nvSpPr>
      <xdr:spPr>
        <a:xfrm>
          <a:off x="4674488" y="3618075"/>
          <a:ext cx="134302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25</xdr:col>
      <xdr:colOff>381000</xdr:colOff>
      <xdr:row>8</xdr:row>
      <xdr:rowOff>57150</xdr:rowOff>
    </xdr:from>
    <xdr:ext cx="1333500" cy="333375"/>
    <xdr:sp>
      <xdr:nvSpPr>
        <xdr:cNvPr id="1579" name="Shape 1579">
          <a:hlinkClick r:id="rId6"/>
        </xdr:cNvPr>
        <xdr:cNvSpPr/>
      </xdr:nvSpPr>
      <xdr:spPr>
        <a:xfrm>
          <a:off x="4684013" y="3618075"/>
          <a:ext cx="13239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11</xdr:row>
      <xdr:rowOff>0</xdr:rowOff>
    </xdr:from>
    <xdr:ext cx="1352550" cy="323850"/>
    <xdr:sp>
      <xdr:nvSpPr>
        <xdr:cNvPr id="1580" name="Shape 1580">
          <a:hlinkClick r:id="rId7"/>
        </xdr:cNvPr>
        <xdr:cNvSpPr/>
      </xdr:nvSpPr>
      <xdr:spPr>
        <a:xfrm>
          <a:off x="4674488" y="3622838"/>
          <a:ext cx="13430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25</xdr:col>
      <xdr:colOff>381000</xdr:colOff>
      <xdr:row>11</xdr:row>
      <xdr:rowOff>0</xdr:rowOff>
    </xdr:from>
    <xdr:ext cx="1333500" cy="323850"/>
    <xdr:sp>
      <xdr:nvSpPr>
        <xdr:cNvPr id="1581" name="Shape 1581">
          <a:hlinkClick r:id="rId8"/>
        </xdr:cNvPr>
        <xdr:cNvSpPr/>
      </xdr:nvSpPr>
      <xdr:spPr>
        <a:xfrm>
          <a:off x="4684013" y="3622838"/>
          <a:ext cx="1323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12</xdr:row>
      <xdr:rowOff>133350</xdr:rowOff>
    </xdr:from>
    <xdr:ext cx="2638425" cy="342900"/>
    <xdr:sp>
      <xdr:nvSpPr>
        <xdr:cNvPr id="1582" name="Shape 1582">
          <a:hlinkClick r:id="rId9"/>
        </xdr:cNvPr>
        <xdr:cNvSpPr/>
      </xdr:nvSpPr>
      <xdr:spPr>
        <a:xfrm>
          <a:off x="4031550" y="3613313"/>
          <a:ext cx="26289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14</xdr:row>
      <xdr:rowOff>95250</xdr:rowOff>
    </xdr:from>
    <xdr:ext cx="2638425" cy="304800"/>
    <xdr:sp>
      <xdr:nvSpPr>
        <xdr:cNvPr id="1583" name="Shape 1583">
          <a:hlinkClick r:id="rId10"/>
        </xdr:cNvPr>
        <xdr:cNvSpPr/>
      </xdr:nvSpPr>
      <xdr:spPr>
        <a:xfrm>
          <a:off x="4031550" y="3632363"/>
          <a:ext cx="26289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13</xdr:col>
      <xdr:colOff>0</xdr:colOff>
      <xdr:row>6</xdr:row>
      <xdr:rowOff>-47625</xdr:rowOff>
    </xdr:from>
    <xdr:ext cx="1543050" cy="35814000"/>
    <xdr:sp>
      <xdr:nvSpPr>
        <xdr:cNvPr id="1584" name="Shape 1584"/>
        <xdr:cNvSpPr/>
      </xdr:nvSpPr>
      <xdr:spPr>
        <a:xfrm>
          <a:off x="4584000" y="0"/>
          <a:ext cx="1524000" cy="7560000"/>
        </a:xfrm>
        <a:prstGeom prst="rect">
          <a:avLst/>
        </a:prstGeom>
        <a:solidFill>
          <a:schemeClr val="lt1"/>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56</xdr:row>
      <xdr:rowOff>0</xdr:rowOff>
    </xdr:from>
    <xdr:ext cx="9525000" cy="323850"/>
    <xdr:sp>
      <xdr:nvSpPr>
        <xdr:cNvPr id="1585" name="Shape 1585"/>
        <xdr:cNvSpPr/>
      </xdr:nvSpPr>
      <xdr:spPr>
        <a:xfrm>
          <a:off x="588263" y="3622838"/>
          <a:ext cx="9515475" cy="314325"/>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90</xdr:row>
      <xdr:rowOff>0</xdr:rowOff>
    </xdr:from>
    <xdr:ext cx="9525000" cy="352425"/>
    <xdr:sp>
      <xdr:nvSpPr>
        <xdr:cNvPr id="1586" name="Shape 1586"/>
        <xdr:cNvSpPr/>
      </xdr:nvSpPr>
      <xdr:spPr>
        <a:xfrm>
          <a:off x="588263" y="3608550"/>
          <a:ext cx="9515475" cy="342900"/>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-47625</xdr:colOff>
      <xdr:row>128</xdr:row>
      <xdr:rowOff>-47625</xdr:rowOff>
    </xdr:from>
    <xdr:ext cx="9582150" cy="409575"/>
    <xdr:sp>
      <xdr:nvSpPr>
        <xdr:cNvPr id="1587" name="Shape 1587"/>
        <xdr:cNvSpPr/>
      </xdr:nvSpPr>
      <xdr:spPr>
        <a:xfrm>
          <a:off x="564450" y="3584738"/>
          <a:ext cx="9563100" cy="390525"/>
        </a:xfrm>
        <a:prstGeom prst="rect">
          <a:avLst/>
        </a:prstGeom>
        <a:solidFill>
          <a:srgbClr val="D8D8D8"/>
        </a:solidFill>
        <a:ln cap="flat" cmpd="sng" w="25400">
          <a:solidFill>
            <a:srgbClr val="D8D8D8"/>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16</xdr:col>
      <xdr:colOff>1019175</xdr:colOff>
      <xdr:row>129</xdr:row>
      <xdr:rowOff>28575</xdr:rowOff>
    </xdr:from>
    <xdr:ext cx="28575" cy="8486775"/>
    <xdr:grpSp>
      <xdr:nvGrpSpPr>
        <xdr:cNvPr id="2" name="Shape 2"/>
        <xdr:cNvGrpSpPr/>
      </xdr:nvGrpSpPr>
      <xdr:grpSpPr>
        <a:xfrm>
          <a:off x="5331713" y="0"/>
          <a:ext cx="28575" cy="7560000"/>
          <a:chOff x="5331713" y="0"/>
          <a:chExt cx="28575" cy="7560000"/>
        </a:xfrm>
      </xdr:grpSpPr>
      <xdr:grpSp>
        <xdr:nvGrpSpPr>
          <xdr:cNvPr id="1588" name="Shape 1588"/>
          <xdr:cNvGrpSpPr/>
        </xdr:nvGrpSpPr>
        <xdr:grpSpPr>
          <a:xfrm>
            <a:off x="5331713" y="0"/>
            <a:ext cx="28575" cy="7560000"/>
            <a:chOff x="5331713" y="0"/>
            <a:chExt cx="28575" cy="7560000"/>
          </a:xfrm>
        </xdr:grpSpPr>
        <xdr:sp>
          <xdr:nvSpPr>
            <xdr:cNvPr id="4" name="Shape 4"/>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89" name="Shape 1589"/>
            <xdr:cNvGrpSpPr/>
          </xdr:nvGrpSpPr>
          <xdr:grpSpPr>
            <a:xfrm>
              <a:off x="5331713" y="0"/>
              <a:ext cx="28575" cy="7560000"/>
              <a:chOff x="5331713" y="0"/>
              <a:chExt cx="28575" cy="7560000"/>
            </a:xfrm>
          </xdr:grpSpPr>
          <xdr:sp>
            <xdr:nvSpPr>
              <xdr:cNvPr id="1590" name="Shape 1590"/>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1" name="Shape 1591"/>
              <xdr:cNvGrpSpPr/>
            </xdr:nvGrpSpPr>
            <xdr:grpSpPr>
              <a:xfrm>
                <a:off x="5331713" y="0"/>
                <a:ext cx="28575" cy="7560000"/>
                <a:chOff x="5331713" y="-2147483648"/>
                <a:chExt cx="28575" cy="2147483647"/>
              </a:xfrm>
            </xdr:grpSpPr>
            <xdr:sp>
              <xdr:nvSpPr>
                <xdr:cNvPr id="1592" name="Shape 1592"/>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3" name="Shape 1593"/>
                <xdr:cNvGrpSpPr/>
              </xdr:nvGrpSpPr>
              <xdr:grpSpPr>
                <a:xfrm>
                  <a:off x="5331713" y="-2147483648"/>
                  <a:ext cx="28575" cy="2147483647"/>
                  <a:chOff x="1102613" y="-463387"/>
                  <a:chExt cx="8486775" cy="8486775"/>
                </a:xfrm>
              </xdr:grpSpPr>
              <xdr:sp>
                <xdr:nvSpPr>
                  <xdr:cNvPr id="1594" name="Shape 1594"/>
                  <xdr:cNvSpPr/>
                </xdr:nvSpPr>
                <xdr:spPr>
                  <a:xfrm>
                    <a:off x="1102613" y="3775238"/>
                    <a:ext cx="84867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95" name="Shape 1595"/>
                  <xdr:cNvCxnSpPr/>
                </xdr:nvCxnSpPr>
                <xdr:spPr>
                  <a:xfrm flipH="1" rot="-5400000">
                    <a:off x="1102613" y="3775238"/>
                    <a:ext cx="8486775" cy="9525"/>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17</xdr:col>
      <xdr:colOff>209550</xdr:colOff>
      <xdr:row>5</xdr:row>
      <xdr:rowOff>200025</xdr:rowOff>
    </xdr:from>
    <xdr:ext cx="1905000" cy="314325"/>
    <xdr:sp>
      <xdr:nvSpPr>
        <xdr:cNvPr id="1596" name="Shape 1596"/>
        <xdr:cNvSpPr/>
      </xdr:nvSpPr>
      <xdr:spPr>
        <a:xfrm>
          <a:off x="4398263" y="3627600"/>
          <a:ext cx="18954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17</xdr:col>
      <xdr:colOff>209550</xdr:colOff>
      <xdr:row>5</xdr:row>
      <xdr:rowOff>476250</xdr:rowOff>
    </xdr:from>
    <xdr:ext cx="1914525" cy="323850"/>
    <xdr:sp>
      <xdr:nvSpPr>
        <xdr:cNvPr id="1597" name="Shape 1597">
          <a:hlinkClick r:id="rId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17</xdr:col>
      <xdr:colOff>209550</xdr:colOff>
      <xdr:row>5</xdr:row>
      <xdr:rowOff>752475</xdr:rowOff>
    </xdr:from>
    <xdr:ext cx="1914525" cy="323850"/>
    <xdr:sp>
      <xdr:nvSpPr>
        <xdr:cNvPr id="1598" name="Shape 1598">
          <a:hlinkClick r:id="rId2"/>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17</xdr:col>
      <xdr:colOff>209550</xdr:colOff>
      <xdr:row>5</xdr:row>
      <xdr:rowOff>1028700</xdr:rowOff>
    </xdr:from>
    <xdr:ext cx="1914525" cy="333375"/>
    <xdr:sp>
      <xdr:nvSpPr>
        <xdr:cNvPr id="1599" name="Shape 1599">
          <a:hlinkClick r:id="rId3"/>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17</xdr:col>
      <xdr:colOff>209550</xdr:colOff>
      <xdr:row>6</xdr:row>
      <xdr:rowOff>114300</xdr:rowOff>
    </xdr:from>
    <xdr:ext cx="1914525" cy="352425"/>
    <xdr:sp>
      <xdr:nvSpPr>
        <xdr:cNvPr id="1600" name="Shape 1600">
          <a:hlinkClick r:id="rId4"/>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17</xdr:col>
      <xdr:colOff>209550</xdr:colOff>
      <xdr:row>9</xdr:row>
      <xdr:rowOff>66675</xdr:rowOff>
    </xdr:from>
    <xdr:ext cx="1914525" cy="323850"/>
    <xdr:sp>
      <xdr:nvSpPr>
        <xdr:cNvPr id="1601" name="Shape 1601">
          <a:hlinkClick r:id="rId5"/>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17</xdr:col>
      <xdr:colOff>209550</xdr:colOff>
      <xdr:row>10</xdr:row>
      <xdr:rowOff>152400</xdr:rowOff>
    </xdr:from>
    <xdr:ext cx="1914525" cy="333375"/>
    <xdr:sp>
      <xdr:nvSpPr>
        <xdr:cNvPr id="1602" name="Shape 1602">
          <a:hlinkClick r:id="rId6"/>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12</xdr:row>
      <xdr:rowOff>38100</xdr:rowOff>
    </xdr:from>
    <xdr:ext cx="1914525" cy="323850"/>
    <xdr:sp>
      <xdr:nvSpPr>
        <xdr:cNvPr id="1603" name="Shape 1603">
          <a:hlinkClick r:id="rId7"/>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13</xdr:row>
      <xdr:rowOff>95250</xdr:rowOff>
    </xdr:from>
    <xdr:ext cx="1914525" cy="323850"/>
    <xdr:sp>
      <xdr:nvSpPr>
        <xdr:cNvPr id="1604" name="Shape 1604">
          <a:hlinkClick r:id="rId8"/>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17</xdr:col>
      <xdr:colOff>209550</xdr:colOff>
      <xdr:row>15</xdr:row>
      <xdr:rowOff>28575</xdr:rowOff>
    </xdr:from>
    <xdr:ext cx="1914525" cy="323850"/>
    <xdr:sp>
      <xdr:nvSpPr>
        <xdr:cNvPr id="1605" name="Shape 1605">
          <a:hlinkClick r:id="rId9"/>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17</xdr:col>
      <xdr:colOff>209550</xdr:colOff>
      <xdr:row>17</xdr:row>
      <xdr:rowOff>0</xdr:rowOff>
    </xdr:from>
    <xdr:ext cx="1914525" cy="514350"/>
    <xdr:sp>
      <xdr:nvSpPr>
        <xdr:cNvPr id="1606" name="Shape 1606">
          <a:hlinkClick r:id="rId10"/>
        </xdr:cNvPr>
        <xdr:cNvSpPr/>
      </xdr:nvSpPr>
      <xdr:spPr>
        <a:xfrm>
          <a:off x="4393500" y="3527588"/>
          <a:ext cx="190500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8</xdr:row>
      <xdr:rowOff>9525</xdr:rowOff>
    </xdr:from>
    <xdr:ext cx="1914525" cy="304800"/>
    <xdr:sp>
      <xdr:nvSpPr>
        <xdr:cNvPr id="1607" name="Shape 1607">
          <a:hlinkClick r:id="rId11"/>
        </xdr:cNvPr>
        <xdr:cNvSpPr/>
      </xdr:nvSpPr>
      <xdr:spPr>
        <a:xfrm>
          <a:off x="4393500" y="3632363"/>
          <a:ext cx="19050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608" name="Shape 160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09" name="Shape 1609"/>
            <xdr:cNvGrpSpPr/>
          </xdr:nvGrpSpPr>
          <xdr:grpSpPr>
            <a:xfrm>
              <a:off x="5326950" y="0"/>
              <a:ext cx="38100" cy="7560000"/>
              <a:chOff x="5326950" y="0"/>
              <a:chExt cx="38100" cy="7560000"/>
            </a:xfrm>
          </xdr:grpSpPr>
          <xdr:sp>
            <xdr:nvSpPr>
              <xdr:cNvPr id="1610" name="Shape 1610"/>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1" name="Shape 1611"/>
              <xdr:cNvGrpSpPr/>
            </xdr:nvGrpSpPr>
            <xdr:grpSpPr>
              <a:xfrm>
                <a:off x="5326950" y="0"/>
                <a:ext cx="38100" cy="7560000"/>
                <a:chOff x="0" y="0"/>
                <a:chExt cx="2147483647" cy="2147483647"/>
              </a:xfrm>
            </xdr:grpSpPr>
            <xdr:sp>
              <xdr:nvSpPr>
                <xdr:cNvPr id="1612" name="Shape 1612"/>
                <xdr:cNvSpPr/>
              </xdr:nvSpPr>
              <xdr:spPr>
                <a:xfrm>
                  <a:off x="0" y="249"/>
                  <a:ext cx="2147483647" cy="2147483397"/>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3" name="Shape 1613"/>
                <xdr:cNvGrpSpPr/>
              </xdr:nvGrpSpPr>
              <xdr:grpSpPr>
                <a:xfrm>
                  <a:off x="0" y="0"/>
                  <a:ext cx="2147483647" cy="2147483419"/>
                  <a:chOff x="-1026225" y="-2592224"/>
                  <a:chExt cx="12744450" cy="12744450"/>
                </a:xfrm>
              </xdr:grpSpPr>
              <xdr:sp>
                <xdr:nvSpPr>
                  <xdr:cNvPr id="1614" name="Shape 161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15" name="Shape 161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16" name="Shape 1616"/>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17" name="Shape 1617">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18" name="Shape 1618">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19" name="Shape 1619">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20" name="Shape 1620">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21" name="Shape 1621">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22" name="Shape 1622">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23" name="Shape 1623">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24" name="Shape 1624">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25" name="Shape 1625">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26" name="Shape 1626">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27" name="Shape 1627">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628" name="Shape 162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29" name="Shape 1629"/>
            <xdr:cNvGrpSpPr/>
          </xdr:nvGrpSpPr>
          <xdr:grpSpPr>
            <a:xfrm>
              <a:off x="5326950" y="0"/>
              <a:ext cx="38100" cy="7560000"/>
              <a:chOff x="5326950" y="0"/>
              <a:chExt cx="38100" cy="7560000"/>
            </a:xfrm>
          </xdr:grpSpPr>
          <xdr:sp>
            <xdr:nvSpPr>
              <xdr:cNvPr id="1630" name="Shape 1630"/>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31" name="Shape 1631"/>
              <xdr:cNvGrpSpPr/>
            </xdr:nvGrpSpPr>
            <xdr:grpSpPr>
              <a:xfrm>
                <a:off x="5326950" y="0"/>
                <a:ext cx="38100" cy="7560000"/>
                <a:chOff x="0" y="0"/>
                <a:chExt cx="2147483647" cy="2147483647"/>
              </a:xfrm>
            </xdr:grpSpPr>
            <xdr:sp>
              <xdr:nvSpPr>
                <xdr:cNvPr id="1632" name="Shape 1632"/>
                <xdr:cNvSpPr/>
              </xdr:nvSpPr>
              <xdr:spPr>
                <a:xfrm>
                  <a:off x="0" y="249"/>
                  <a:ext cx="2147483647" cy="2147483397"/>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33" name="Shape 1633"/>
                <xdr:cNvGrpSpPr/>
              </xdr:nvGrpSpPr>
              <xdr:grpSpPr>
                <a:xfrm>
                  <a:off x="0" y="0"/>
                  <a:ext cx="2147483647" cy="2147483419"/>
                  <a:chOff x="-1026225" y="-2592224"/>
                  <a:chExt cx="12744450" cy="12744450"/>
                </a:xfrm>
              </xdr:grpSpPr>
              <xdr:sp>
                <xdr:nvSpPr>
                  <xdr:cNvPr id="1634" name="Shape 163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35" name="Shape 163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36" name="Shape 1636"/>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37" name="Shape 1637">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38" name="Shape 1638">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39" name="Shape 1639">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40" name="Shape 1640">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41" name="Shape 1641">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42" name="Shape 1642">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43" name="Shape 1643">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44" name="Shape 1644">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45" name="Shape 1645">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46" name="Shape 1646">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47" name="Shape 1647">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19150" cy="95250"/>
    <xdr:sp>
      <xdr:nvSpPr>
        <xdr:cNvPr id="1648" name="Shape 1648"/>
        <xdr:cNvSpPr/>
      </xdr:nvSpPr>
      <xdr:spPr>
        <a:xfrm>
          <a:off x="4941188" y="3737138"/>
          <a:ext cx="809625" cy="85725"/>
        </a:xfrm>
        <a:prstGeom prst="rect">
          <a:avLst/>
        </a:prstGeom>
        <a:solidFill>
          <a:srgbClr val="1E477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69</xdr:col>
      <xdr:colOff>104775</xdr:colOff>
      <xdr:row>0</xdr:row>
      <xdr:rowOff>0</xdr:rowOff>
    </xdr:from>
    <xdr:ext cx="38100" cy="12944475"/>
    <xdr:grpSp>
      <xdr:nvGrpSpPr>
        <xdr:cNvPr id="2" name="Shape 2"/>
        <xdr:cNvGrpSpPr/>
      </xdr:nvGrpSpPr>
      <xdr:grpSpPr>
        <a:xfrm>
          <a:off x="5326950" y="0"/>
          <a:ext cx="38100" cy="7560000"/>
          <a:chOff x="5326950" y="0"/>
          <a:chExt cx="38100" cy="7560000"/>
        </a:xfrm>
      </xdr:grpSpPr>
      <xdr:grpSp>
        <xdr:nvGrpSpPr>
          <xdr:cNvPr id="1649" name="Shape 1649"/>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50" name="Shape 1650"/>
            <xdr:cNvGrpSpPr/>
          </xdr:nvGrpSpPr>
          <xdr:grpSpPr>
            <a:xfrm>
              <a:off x="5326950" y="0"/>
              <a:ext cx="38100" cy="7560000"/>
              <a:chOff x="5326950" y="0"/>
              <a:chExt cx="38100" cy="7560000"/>
            </a:xfrm>
          </xdr:grpSpPr>
          <xdr:sp>
            <xdr:nvSpPr>
              <xdr:cNvPr id="1651" name="Shape 1651"/>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52" name="Shape 1652"/>
              <xdr:cNvGrpSpPr/>
            </xdr:nvGrpSpPr>
            <xdr:grpSpPr>
              <a:xfrm>
                <a:off x="5326950" y="0"/>
                <a:ext cx="38100" cy="7560000"/>
                <a:chOff x="0" y="0"/>
                <a:chExt cx="2147483647" cy="2147483647"/>
              </a:xfrm>
            </xdr:grpSpPr>
            <xdr:sp>
              <xdr:nvSpPr>
                <xdr:cNvPr id="1653" name="Shape 1653"/>
                <xdr:cNvSpPr/>
              </xdr:nvSpPr>
              <xdr:spPr>
                <a:xfrm>
                  <a:off x="0" y="0"/>
                  <a:ext cx="2147483647" cy="2147483378"/>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54" name="Shape 1654"/>
                <xdr:cNvGrpSpPr/>
              </xdr:nvGrpSpPr>
              <xdr:grpSpPr>
                <a:xfrm>
                  <a:off x="0" y="246"/>
                  <a:ext cx="2147483647" cy="2147483400"/>
                  <a:chOff x="-1126237" y="-2692237"/>
                  <a:chExt cx="12944475" cy="12944475"/>
                </a:xfrm>
              </xdr:grpSpPr>
              <xdr:sp>
                <xdr:nvSpPr>
                  <xdr:cNvPr id="1655" name="Shape 1655"/>
                  <xdr:cNvSpPr/>
                </xdr:nvSpPr>
                <xdr:spPr>
                  <a:xfrm>
                    <a:off x="-1126237" y="3776067"/>
                    <a:ext cx="12944475" cy="7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56" name="Shape 1656"/>
                  <xdr:cNvCxnSpPr/>
                </xdr:nvCxnSpPr>
                <xdr:spPr>
                  <a:xfrm flipH="1" rot="-5400000">
                    <a:off x="-1126237" y="3776067"/>
                    <a:ext cx="12944475" cy="7868"/>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57" name="Shape 1657"/>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58" name="Shape 1658">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59" name="Shape 1659">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60" name="Shape 1660">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61" name="Shape 1661">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62" name="Shape 1662">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63" name="Shape 1663">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64" name="Shape 1664">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65" name="Shape 1665">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66" name="Shape 1666">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67" name="Shape 1667">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68" name="Shape 1668">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16</xdr:row>
      <xdr:rowOff>0</xdr:rowOff>
    </xdr:from>
    <xdr:ext cx="3009900" cy="295275"/>
    <xdr:sp>
      <xdr:nvSpPr>
        <xdr:cNvPr id="1669" name="Shape 1669"/>
        <xdr:cNvSpPr txBox="1"/>
      </xdr:nvSpPr>
      <xdr:spPr>
        <a:xfrm>
          <a:off x="3845813" y="3637125"/>
          <a:ext cx="3000375" cy="285750"/>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Gill Sans"/>
            <a:buNone/>
          </a:pPr>
          <a:r>
            <a:rPr b="1" lang="en-US" sz="1400" u="sng">
              <a:solidFill>
                <a:schemeClr val="lt1"/>
              </a:solidFill>
              <a:latin typeface="Gill Sans"/>
              <a:ea typeface="Gill Sans"/>
              <a:cs typeface="Gill Sans"/>
              <a:sym typeface="Gill Sans"/>
            </a:rPr>
            <a:t>Intraverbal  Subtest</a:t>
          </a:r>
          <a:endParaRPr sz="1400"/>
        </a:p>
      </xdr:txBody>
    </xdr:sp>
    <xdr:clientData fLocksWithSheet="0"/>
  </xdr:oneCellAnchor>
  <xdr:oneCellAnchor>
    <xdr:from>
      <xdr:col>73</xdr:col>
      <xdr:colOff>104775</xdr:colOff>
      <xdr:row>0</xdr:row>
      <xdr:rowOff>0</xdr:rowOff>
    </xdr:from>
    <xdr:ext cx="28575" cy="7534275"/>
    <xdr:grpSp>
      <xdr:nvGrpSpPr>
        <xdr:cNvPr id="2" name="Shape 2"/>
        <xdr:cNvGrpSpPr/>
      </xdr:nvGrpSpPr>
      <xdr:grpSpPr>
        <a:xfrm>
          <a:off x="5331713" y="12863"/>
          <a:ext cx="28575" cy="7534275"/>
          <a:chOff x="5331713" y="12863"/>
          <a:chExt cx="28575" cy="7534275"/>
        </a:xfrm>
      </xdr:grpSpPr>
      <xdr:grpSp>
        <xdr:nvGrpSpPr>
          <xdr:cNvPr id="1670" name="Shape 1670"/>
          <xdr:cNvGrpSpPr/>
        </xdr:nvGrpSpPr>
        <xdr:grpSpPr>
          <a:xfrm>
            <a:off x="5331713" y="12863"/>
            <a:ext cx="28575" cy="7534275"/>
            <a:chOff x="5331713" y="12863"/>
            <a:chExt cx="28575" cy="7534275"/>
          </a:xfrm>
        </xdr:grpSpPr>
        <xdr:sp>
          <xdr:nvSpPr>
            <xdr:cNvPr id="4" name="Shape 4"/>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71" name="Shape 1671"/>
            <xdr:cNvGrpSpPr/>
          </xdr:nvGrpSpPr>
          <xdr:grpSpPr>
            <a:xfrm>
              <a:off x="5331713" y="12863"/>
              <a:ext cx="28575" cy="7534275"/>
              <a:chOff x="5331713" y="12863"/>
              <a:chExt cx="28575" cy="7534275"/>
            </a:xfrm>
          </xdr:grpSpPr>
          <xdr:sp>
            <xdr:nvSpPr>
              <xdr:cNvPr id="1672" name="Shape 1672"/>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73" name="Shape 1673"/>
              <xdr:cNvGrpSpPr/>
            </xdr:nvGrpSpPr>
            <xdr:grpSpPr>
              <a:xfrm>
                <a:off x="5331713" y="12863"/>
                <a:ext cx="28575" cy="7534275"/>
                <a:chOff x="5331713" y="-2147483648"/>
                <a:chExt cx="28575" cy="2147483647"/>
              </a:xfrm>
            </xdr:grpSpPr>
            <xdr:sp>
              <xdr:nvSpPr>
                <xdr:cNvPr id="1674" name="Shape 1674"/>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75" name="Shape 1675"/>
                <xdr:cNvGrpSpPr/>
              </xdr:nvGrpSpPr>
              <xdr:grpSpPr>
                <a:xfrm>
                  <a:off x="5331713" y="-2147483648"/>
                  <a:ext cx="28575" cy="2147483647"/>
                  <a:chOff x="1578863" y="12863"/>
                  <a:chExt cx="7534275" cy="7534275"/>
                </a:xfrm>
              </xdr:grpSpPr>
              <xdr:sp>
                <xdr:nvSpPr>
                  <xdr:cNvPr id="1676" name="Shape 1676"/>
                  <xdr:cNvSpPr/>
                </xdr:nvSpPr>
                <xdr:spPr>
                  <a:xfrm>
                    <a:off x="1578863" y="3775238"/>
                    <a:ext cx="75342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77" name="Shape 1677"/>
                  <xdr:cNvCxnSpPr/>
                </xdr:nvCxnSpPr>
                <xdr:spPr>
                  <a:xfrm rot="-5400000">
                    <a:off x="1578863" y="3775238"/>
                    <a:ext cx="7534275"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40000"/>
                      </a:srgbClr>
                    </a:outerShdw>
                  </a:effectLst>
                </xdr:spPr>
              </xdr:cxnSp>
            </xdr:grpSp>
          </xdr:grpSp>
        </xdr:grpSp>
      </xdr:grpSp>
    </xdr:grpSp>
    <xdr:clientData fLocksWithSheet="0"/>
  </xdr:oneCellAnchor>
  <xdr:oneCellAnchor>
    <xdr:from>
      <xdr:col>76</xdr:col>
      <xdr:colOff>0</xdr:colOff>
      <xdr:row>4</xdr:row>
      <xdr:rowOff>171450</xdr:rowOff>
    </xdr:from>
    <xdr:ext cx="1962150" cy="323850"/>
    <xdr:sp>
      <xdr:nvSpPr>
        <xdr:cNvPr id="1678" name="Shape 1678"/>
        <xdr:cNvSpPr/>
      </xdr:nvSpPr>
      <xdr:spPr>
        <a:xfrm>
          <a:off x="4369688" y="3622838"/>
          <a:ext cx="19526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76</xdr:col>
      <xdr:colOff>0</xdr:colOff>
      <xdr:row>5</xdr:row>
      <xdr:rowOff>200025</xdr:rowOff>
    </xdr:from>
    <xdr:ext cx="1971675" cy="323850"/>
    <xdr:sp>
      <xdr:nvSpPr>
        <xdr:cNvPr id="1679" name="Shape 1679">
          <a:hlinkClick r:id="rId1"/>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76</xdr:col>
      <xdr:colOff>0</xdr:colOff>
      <xdr:row>7</xdr:row>
      <xdr:rowOff>0</xdr:rowOff>
    </xdr:from>
    <xdr:ext cx="1971675" cy="323850"/>
    <xdr:sp>
      <xdr:nvSpPr>
        <xdr:cNvPr id="1680" name="Shape 1680">
          <a:hlinkClick r:id="rId2"/>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76</xdr:col>
      <xdr:colOff>0</xdr:colOff>
      <xdr:row>8</xdr:row>
      <xdr:rowOff>66675</xdr:rowOff>
    </xdr:from>
    <xdr:ext cx="1971675" cy="323850"/>
    <xdr:sp>
      <xdr:nvSpPr>
        <xdr:cNvPr id="1681" name="Shape 1681">
          <a:hlinkClick r:id="rId3"/>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76</xdr:col>
      <xdr:colOff>0</xdr:colOff>
      <xdr:row>9</xdr:row>
      <xdr:rowOff>142875</xdr:rowOff>
    </xdr:from>
    <xdr:ext cx="1971675" cy="333375"/>
    <xdr:sp>
      <xdr:nvSpPr>
        <xdr:cNvPr id="1682" name="Shape 1682">
          <a:hlinkClick r:id="rId4"/>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76</xdr:col>
      <xdr:colOff>0</xdr:colOff>
      <xdr:row>12</xdr:row>
      <xdr:rowOff>95250</xdr:rowOff>
    </xdr:from>
    <xdr:ext cx="1971675" cy="333375"/>
    <xdr:sp>
      <xdr:nvSpPr>
        <xdr:cNvPr id="1683" name="Shape 1683">
          <a:hlinkClick r:id="rId5"/>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76</xdr:col>
      <xdr:colOff>0</xdr:colOff>
      <xdr:row>14</xdr:row>
      <xdr:rowOff>0</xdr:rowOff>
    </xdr:from>
    <xdr:ext cx="1971675" cy="323850"/>
    <xdr:sp>
      <xdr:nvSpPr>
        <xdr:cNvPr id="1684" name="Shape 1684">
          <a:hlinkClick r:id="rId6"/>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15</xdr:row>
      <xdr:rowOff>47625</xdr:rowOff>
    </xdr:from>
    <xdr:ext cx="1971675" cy="323850"/>
    <xdr:sp>
      <xdr:nvSpPr>
        <xdr:cNvPr id="1685" name="Shape 1685">
          <a:hlinkClick r:id="rId7"/>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16</xdr:row>
      <xdr:rowOff>123825</xdr:rowOff>
    </xdr:from>
    <xdr:ext cx="1971675" cy="333375"/>
    <xdr:sp>
      <xdr:nvSpPr>
        <xdr:cNvPr id="1686" name="Shape 1686">
          <a:hlinkClick r:id="rId8"/>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76</xdr:col>
      <xdr:colOff>0</xdr:colOff>
      <xdr:row>19</xdr:row>
      <xdr:rowOff>95250</xdr:rowOff>
    </xdr:from>
    <xdr:ext cx="1971675" cy="333375"/>
    <xdr:sp>
      <xdr:nvSpPr>
        <xdr:cNvPr id="1687" name="Shape 1687">
          <a:hlinkClick r:id="rId9"/>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76</xdr:col>
      <xdr:colOff>0</xdr:colOff>
      <xdr:row>21</xdr:row>
      <xdr:rowOff>66675</xdr:rowOff>
    </xdr:from>
    <xdr:ext cx="1971675" cy="514350"/>
    <xdr:sp>
      <xdr:nvSpPr>
        <xdr:cNvPr id="1688" name="Shape 1688">
          <a:hlinkClick r:id="rId10"/>
        </xdr:cNvPr>
        <xdr:cNvSpPr/>
      </xdr:nvSpPr>
      <xdr:spPr>
        <a:xfrm>
          <a:off x="4364925" y="3527588"/>
          <a:ext cx="19621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11</xdr:row>
      <xdr:rowOff>19050</xdr:rowOff>
    </xdr:from>
    <xdr:ext cx="1971675" cy="323850"/>
    <xdr:sp>
      <xdr:nvSpPr>
        <xdr:cNvPr id="1689" name="Shape 1689">
          <a:hlinkClick r:id="rId11"/>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8.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9.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0.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showGridLines="0" workbookViewId="0"/>
  </sheetViews>
  <sheetFormatPr customHeight="1" defaultColWidth="14.43" defaultRowHeight="15.0"/>
  <cols>
    <col customWidth="1" min="1" max="1" width="7.0"/>
    <col customWidth="1" min="2" max="2" width="3.43"/>
    <col customWidth="1" min="3" max="73" width="1.86"/>
    <col customWidth="1" min="74" max="74" width="0.43"/>
    <col customWidth="1" min="75" max="78" width="8.86"/>
  </cols>
  <sheetData>
    <row r="1" ht="15.0" customHeight="1">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W1" s="3"/>
      <c r="BX1" s="3"/>
      <c r="BY1" s="3"/>
      <c r="BZ1" s="3"/>
    </row>
    <row r="2" ht="15.0" customHeight="1">
      <c r="A2" s="4"/>
      <c r="BW2" s="3"/>
      <c r="BX2" s="3"/>
      <c r="BY2" s="3"/>
      <c r="BZ2" s="3"/>
    </row>
    <row r="3" ht="15.0" customHeight="1">
      <c r="A3" s="4"/>
      <c r="BW3" s="3"/>
      <c r="BX3" s="3"/>
      <c r="BY3" s="3"/>
      <c r="BZ3" s="3"/>
    </row>
    <row r="4" ht="22.5" customHeight="1">
      <c r="A4" s="5" t="s">
        <v>1</v>
      </c>
      <c r="BV4" s="6"/>
      <c r="BW4" s="6"/>
      <c r="BX4" s="6"/>
      <c r="BY4" s="6"/>
      <c r="BZ4" s="6"/>
    </row>
    <row r="5" ht="15.75" customHeight="1">
      <c r="A5" s="7" t="s">
        <v>2</v>
      </c>
      <c r="BV5" s="6"/>
      <c r="BW5" s="6"/>
      <c r="BX5" s="6"/>
      <c r="BY5" s="6"/>
      <c r="BZ5" s="6"/>
    </row>
    <row r="6">
      <c r="BW6" s="3"/>
      <c r="BX6" s="3"/>
      <c r="BY6" s="3"/>
      <c r="BZ6" s="3"/>
    </row>
    <row r="7">
      <c r="BW7" s="3"/>
      <c r="BX7" s="3"/>
      <c r="BY7" s="3"/>
      <c r="BZ7" s="3"/>
    </row>
    <row r="8">
      <c r="BW8" s="3"/>
      <c r="BX8" s="3"/>
      <c r="BY8" s="3"/>
      <c r="BZ8" s="3"/>
    </row>
    <row r="9">
      <c r="B9" s="8" t="s">
        <v>3</v>
      </c>
      <c r="BW9" s="3"/>
      <c r="BX9" s="3"/>
      <c r="BY9" s="3"/>
      <c r="BZ9" s="3"/>
    </row>
    <row r="10">
      <c r="BW10" s="3"/>
      <c r="BX10" s="3"/>
      <c r="BY10" s="3"/>
      <c r="BZ10" s="3"/>
    </row>
    <row r="11">
      <c r="BW11" s="3"/>
      <c r="BX11" s="3"/>
      <c r="BY11" s="3"/>
      <c r="BZ11" s="3"/>
    </row>
    <row r="12">
      <c r="BW12" s="3"/>
      <c r="BX12" s="3"/>
      <c r="BY12" s="3"/>
      <c r="BZ12" s="3"/>
    </row>
    <row r="13">
      <c r="BW13" s="3"/>
      <c r="BX13" s="3"/>
      <c r="BY13" s="3"/>
      <c r="BZ13" s="3"/>
    </row>
    <row r="14">
      <c r="BW14" s="3"/>
      <c r="BX14" s="3"/>
      <c r="BY14" s="3"/>
      <c r="BZ14" s="3"/>
    </row>
    <row r="15">
      <c r="BW15" s="3"/>
      <c r="BX15" s="3"/>
      <c r="BY15" s="3"/>
      <c r="BZ15" s="3"/>
    </row>
    <row r="16">
      <c r="BW16" s="3"/>
      <c r="BX16" s="3"/>
      <c r="BY16" s="3"/>
      <c r="BZ16" s="3"/>
    </row>
    <row r="17">
      <c r="BW17" s="3"/>
      <c r="BX17" s="3"/>
      <c r="BY17" s="3"/>
      <c r="BZ17" s="3"/>
    </row>
    <row r="18">
      <c r="BW18" s="3"/>
      <c r="BX18" s="3"/>
      <c r="BY18" s="3"/>
      <c r="BZ18" s="3"/>
    </row>
    <row r="19">
      <c r="BW19" s="3"/>
      <c r="BX19" s="3"/>
      <c r="BY19" s="3"/>
      <c r="BZ19" s="3"/>
    </row>
    <row r="20">
      <c r="B20" s="9" t="s">
        <v>4</v>
      </c>
      <c r="BW20" s="3"/>
      <c r="BX20" s="3"/>
      <c r="BY20" s="3"/>
      <c r="BZ20" s="3"/>
    </row>
    <row r="21" ht="15.75" customHeight="1">
      <c r="B21" s="6" t="s">
        <v>5</v>
      </c>
      <c r="BW21" s="3"/>
      <c r="BX21" s="3"/>
      <c r="BY21" s="3"/>
      <c r="BZ21" s="3"/>
    </row>
    <row r="22" ht="15.75" customHeight="1">
      <c r="BW22" s="3"/>
      <c r="BX22" s="3"/>
      <c r="BY22" s="3"/>
      <c r="BZ22" s="3"/>
    </row>
    <row r="23" ht="15.75" customHeight="1">
      <c r="BW23" s="3"/>
      <c r="BX23" s="3"/>
      <c r="BY23" s="3"/>
      <c r="BZ23" s="3"/>
    </row>
    <row r="24" ht="15.75" customHeight="1">
      <c r="BW24" s="3"/>
      <c r="BX24" s="3"/>
      <c r="BY24" s="3"/>
      <c r="BZ24" s="3"/>
    </row>
    <row r="25" ht="15.75" customHeight="1">
      <c r="BW25" s="3"/>
      <c r="BX25" s="3"/>
      <c r="BY25" s="3"/>
      <c r="BZ25" s="3"/>
    </row>
    <row r="26" ht="15.75" customHeight="1">
      <c r="BW26" s="3"/>
      <c r="BX26" s="3"/>
      <c r="BY26" s="3"/>
      <c r="BZ26" s="3"/>
    </row>
    <row r="27" ht="15.75" customHeight="1">
      <c r="BW27" s="3"/>
      <c r="BX27" s="3"/>
      <c r="BY27" s="3"/>
      <c r="BZ27" s="3"/>
    </row>
    <row r="28" ht="15.75" customHeight="1">
      <c r="BW28" s="3"/>
      <c r="BX28" s="3"/>
      <c r="BY28" s="3"/>
      <c r="BZ28" s="3"/>
    </row>
    <row r="29" ht="15.75" customHeight="1">
      <c r="BW29" s="3"/>
      <c r="BX29" s="3"/>
      <c r="BY29" s="3"/>
      <c r="BZ29" s="3"/>
    </row>
    <row r="30" ht="15.75" customHeight="1">
      <c r="BW30" s="3"/>
      <c r="BX30" s="3"/>
      <c r="BY30" s="3"/>
      <c r="BZ30" s="3"/>
    </row>
    <row r="31" ht="15.75" customHeight="1">
      <c r="BW31" s="3"/>
      <c r="BX31" s="3"/>
      <c r="BY31" s="3"/>
      <c r="BZ31" s="3"/>
    </row>
    <row r="32" ht="15.75" customHeight="1">
      <c r="B32" s="9" t="s">
        <v>6</v>
      </c>
      <c r="BW32" s="3"/>
      <c r="BX32" s="3"/>
      <c r="BY32" s="3"/>
      <c r="BZ32" s="3"/>
    </row>
    <row r="33" ht="15.75" customHeight="1">
      <c r="BW33" s="3"/>
      <c r="BX33" s="3"/>
      <c r="BY33" s="3"/>
      <c r="BZ33" s="3"/>
    </row>
    <row r="34" ht="15.75" customHeight="1">
      <c r="BW34" s="3"/>
      <c r="BX34" s="3"/>
      <c r="BY34" s="3"/>
      <c r="BZ34" s="3"/>
    </row>
    <row r="35" ht="15.75" customHeight="1">
      <c r="BW35" s="3"/>
      <c r="BX35" s="3"/>
      <c r="BY35" s="3"/>
      <c r="BZ35" s="3"/>
    </row>
    <row r="36" ht="15.75" customHeight="1">
      <c r="BW36" s="3"/>
      <c r="BX36" s="3"/>
      <c r="BY36" s="3"/>
      <c r="BZ36" s="3"/>
    </row>
    <row r="37" ht="15.75" customHeight="1">
      <c r="BW37" s="3"/>
      <c r="BX37" s="3"/>
      <c r="BY37" s="3"/>
      <c r="BZ37" s="3"/>
    </row>
    <row r="38" ht="15.75" customHeight="1">
      <c r="BW38" s="3"/>
      <c r="BX38" s="3"/>
      <c r="BY38" s="3"/>
      <c r="BZ38" s="3"/>
    </row>
    <row r="39" ht="15.75" customHeight="1">
      <c r="BW39" s="3"/>
      <c r="BX39" s="3"/>
      <c r="BY39" s="3"/>
      <c r="BZ39" s="3"/>
    </row>
    <row r="40" ht="15.75" customHeight="1">
      <c r="BW40" s="3"/>
      <c r="BX40" s="3"/>
      <c r="BY40" s="3"/>
      <c r="BZ40" s="3"/>
    </row>
    <row r="41" ht="15.75" customHeight="1">
      <c r="BW41" s="3"/>
      <c r="BX41" s="3"/>
      <c r="BY41" s="3"/>
      <c r="BZ41" s="3"/>
    </row>
    <row r="42" ht="15.75" customHeight="1">
      <c r="BW42" s="3"/>
      <c r="BX42" s="3"/>
      <c r="BY42" s="3"/>
      <c r="BZ42" s="3"/>
    </row>
    <row r="43" ht="15.75" customHeight="1">
      <c r="BW43" s="3"/>
      <c r="BX43" s="3"/>
      <c r="BY43" s="3"/>
      <c r="BZ43" s="3"/>
    </row>
    <row r="44" ht="15.75" customHeight="1">
      <c r="B44" s="6" t="s">
        <v>8</v>
      </c>
      <c r="BW44" s="3"/>
      <c r="BX44" s="3"/>
      <c r="BY44" s="3"/>
      <c r="BZ44" s="3"/>
    </row>
    <row r="45" ht="15.75" customHeight="1">
      <c r="B45" s="12" t="s">
        <v>9</v>
      </c>
      <c r="BW45" s="3"/>
      <c r="BX45" s="3"/>
      <c r="BY45" s="3"/>
      <c r="BZ45" s="3"/>
    </row>
    <row r="46" ht="15.75" customHeight="1">
      <c r="B46" s="13"/>
      <c r="C46" s="13"/>
      <c r="D46" s="13"/>
      <c r="E46" s="13"/>
      <c r="F46" s="13"/>
      <c r="G46" s="13"/>
      <c r="H46" s="13"/>
      <c r="I46" s="13"/>
      <c r="J46" s="13"/>
      <c r="K46" s="13"/>
      <c r="L46" s="13"/>
      <c r="M46" s="13"/>
      <c r="N46" s="13"/>
      <c r="O46" s="13"/>
      <c r="P46" s="13"/>
      <c r="Q46" s="13"/>
      <c r="R46" s="13"/>
      <c r="S46" s="13"/>
      <c r="T46" s="13"/>
      <c r="U46" s="13"/>
      <c r="V46" s="13"/>
      <c r="BW46" s="3"/>
      <c r="BX46" s="3"/>
      <c r="BY46" s="3"/>
      <c r="BZ46" s="3"/>
    </row>
    <row r="47" ht="15.75" customHeight="1">
      <c r="BW47" s="3"/>
      <c r="BX47" s="3"/>
      <c r="BY47" s="3"/>
      <c r="BZ47" s="3"/>
    </row>
    <row r="48" ht="15.75" customHeight="1">
      <c r="BW48" s="3"/>
      <c r="BX48" s="3"/>
      <c r="BY48" s="3"/>
      <c r="BZ48" s="3"/>
    </row>
    <row r="49" ht="15.75" customHeight="1">
      <c r="A49" s="6"/>
      <c r="B49" s="6" t="s">
        <v>11</v>
      </c>
      <c r="C49" s="6"/>
      <c r="D49" s="6"/>
      <c r="E49" s="6"/>
      <c r="F49" s="6"/>
      <c r="G49" s="6"/>
      <c r="H49" s="6"/>
      <c r="I49" s="6"/>
      <c r="J49" s="6"/>
      <c r="K49" s="6"/>
      <c r="L49" s="6"/>
      <c r="M49" s="6"/>
      <c r="N49" s="6"/>
      <c r="O49" s="6"/>
      <c r="P49" s="6"/>
      <c r="Q49" s="6"/>
      <c r="R49" s="6"/>
      <c r="S49" s="6"/>
      <c r="T49" s="6"/>
      <c r="U49" s="6"/>
      <c r="V49" s="6"/>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row>
    <row r="50" ht="15.75" customHeight="1">
      <c r="A50" s="6"/>
      <c r="B50" s="6"/>
      <c r="C50" s="6"/>
      <c r="D50" s="6"/>
      <c r="E50" s="6"/>
      <c r="F50" s="6"/>
      <c r="G50" s="6"/>
      <c r="H50" s="6"/>
      <c r="I50" s="6"/>
      <c r="J50" s="6"/>
      <c r="K50" s="6"/>
      <c r="L50" s="6"/>
      <c r="M50" s="6"/>
      <c r="N50" s="6"/>
      <c r="O50" s="6"/>
      <c r="P50" s="6"/>
      <c r="Q50" s="6"/>
      <c r="R50" s="6"/>
      <c r="S50" s="6"/>
      <c r="T50" s="6"/>
      <c r="U50" s="6"/>
      <c r="V50" s="6"/>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row>
    <row r="51" ht="15.75" customHeight="1">
      <c r="A51" s="6"/>
      <c r="B51" s="6"/>
      <c r="C51" s="6"/>
      <c r="D51" s="6"/>
      <c r="E51" s="6"/>
      <c r="F51" s="6"/>
      <c r="G51" s="6"/>
      <c r="H51" s="6"/>
      <c r="I51" s="6"/>
      <c r="J51" s="6"/>
      <c r="K51" s="6"/>
      <c r="L51" s="6"/>
      <c r="M51" s="6"/>
      <c r="N51" s="6"/>
      <c r="O51" s="6"/>
      <c r="P51" s="6"/>
      <c r="Q51" s="6"/>
      <c r="R51" s="6"/>
      <c r="S51" s="6"/>
      <c r="T51" s="6"/>
      <c r="U51" s="6"/>
      <c r="V51" s="6"/>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row>
    <row r="52" ht="15.75" customHeight="1">
      <c r="A52" s="6"/>
      <c r="B52" s="6"/>
      <c r="C52" s="6"/>
      <c r="D52" s="6"/>
      <c r="E52" s="6"/>
      <c r="F52" s="6"/>
      <c r="G52" s="6"/>
      <c r="H52" s="6"/>
      <c r="I52" s="6"/>
      <c r="J52" s="6"/>
      <c r="K52" s="6"/>
      <c r="L52" s="6"/>
      <c r="M52" s="6"/>
      <c r="N52" s="6"/>
      <c r="O52" s="6"/>
      <c r="P52" s="6"/>
      <c r="Q52" s="6"/>
      <c r="R52" s="6"/>
      <c r="S52" s="6"/>
      <c r="T52" s="6"/>
      <c r="U52" s="6"/>
      <c r="V52" s="6"/>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row>
    <row r="53" ht="15.75" customHeight="1">
      <c r="A53" s="6"/>
      <c r="B53" s="6"/>
      <c r="C53" s="6"/>
      <c r="D53" s="6"/>
      <c r="E53" s="6"/>
      <c r="F53" s="6"/>
      <c r="G53" s="6"/>
      <c r="H53" s="6"/>
      <c r="I53" s="6"/>
      <c r="J53" s="6"/>
      <c r="K53" s="6"/>
      <c r="L53" s="6"/>
      <c r="M53" s="6"/>
      <c r="N53" s="6"/>
      <c r="O53" s="6"/>
      <c r="P53" s="6"/>
      <c r="Q53" s="6"/>
      <c r="R53" s="6"/>
      <c r="S53" s="6"/>
      <c r="T53" s="6"/>
      <c r="U53" s="6"/>
      <c r="V53" s="6"/>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row>
    <row r="54" ht="15.75" customHeight="1">
      <c r="A54" s="6"/>
      <c r="B54" s="6"/>
      <c r="C54" s="6"/>
      <c r="D54" s="6"/>
      <c r="E54" s="6"/>
      <c r="F54" s="6"/>
      <c r="G54" s="6"/>
      <c r="H54" s="6"/>
      <c r="I54" s="6"/>
      <c r="J54" s="6"/>
      <c r="K54" s="6"/>
      <c r="L54" s="6"/>
      <c r="M54" s="6"/>
      <c r="N54" s="6"/>
      <c r="O54" s="6"/>
      <c r="P54" s="6"/>
      <c r="Q54" s="6"/>
      <c r="R54" s="6"/>
      <c r="S54" s="6"/>
      <c r="T54" s="6"/>
      <c r="U54" s="6"/>
      <c r="V54" s="6"/>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row>
    <row r="55" ht="15.75" customHeight="1">
      <c r="A55" s="6"/>
      <c r="B55" s="6"/>
      <c r="C55" s="6"/>
      <c r="D55" s="6"/>
      <c r="E55" s="6"/>
      <c r="F55" s="6"/>
      <c r="G55" s="6"/>
      <c r="H55" s="6"/>
      <c r="I55" s="6"/>
      <c r="J55" s="6"/>
      <c r="K55" s="6"/>
      <c r="L55" s="6"/>
      <c r="M55" s="6"/>
      <c r="N55" s="6"/>
      <c r="O55" s="6"/>
      <c r="P55" s="6"/>
      <c r="Q55" s="6"/>
      <c r="R55" s="6"/>
      <c r="S55" s="6"/>
      <c r="T55" s="6"/>
      <c r="U55" s="6"/>
      <c r="V55" s="6"/>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row>
    <row r="56" ht="15.75" customHeight="1">
      <c r="A56" s="6"/>
      <c r="B56" s="6"/>
      <c r="C56" s="6"/>
      <c r="D56" s="6"/>
      <c r="E56" s="6"/>
      <c r="F56" s="6"/>
      <c r="G56" s="6"/>
      <c r="H56" s="6"/>
      <c r="I56" s="6"/>
      <c r="J56" s="6"/>
      <c r="K56" s="6"/>
      <c r="L56" s="6"/>
      <c r="M56" s="6"/>
      <c r="N56" s="6"/>
      <c r="O56" s="6"/>
      <c r="P56" s="6"/>
      <c r="Q56" s="6"/>
      <c r="R56" s="6"/>
      <c r="S56" s="6"/>
      <c r="T56" s="6"/>
      <c r="U56" s="6"/>
      <c r="V56" s="6"/>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row>
    <row r="57" ht="15.75" customHeight="1">
      <c r="A57" s="6"/>
      <c r="B57" s="6"/>
      <c r="C57" s="6"/>
      <c r="D57" s="6"/>
      <c r="E57" s="6"/>
      <c r="F57" s="6"/>
      <c r="G57" s="6"/>
      <c r="H57" s="6"/>
      <c r="I57" s="6"/>
      <c r="J57" s="6"/>
      <c r="K57" s="6"/>
      <c r="L57" s="6"/>
      <c r="M57" s="6"/>
      <c r="N57" s="6"/>
      <c r="O57" s="6"/>
      <c r="P57" s="6"/>
      <c r="Q57" s="6"/>
      <c r="R57" s="6"/>
      <c r="S57" s="6"/>
      <c r="T57" s="6"/>
      <c r="U57" s="6"/>
      <c r="V57" s="6"/>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row>
    <row r="58" ht="15.75" customHeight="1">
      <c r="A58" s="6"/>
      <c r="B58" s="6"/>
      <c r="C58" s="6"/>
      <c r="D58" s="6"/>
      <c r="E58" s="6"/>
      <c r="F58" s="6"/>
      <c r="G58" s="6"/>
      <c r="H58" s="6"/>
      <c r="I58" s="6"/>
      <c r="J58" s="6"/>
      <c r="K58" s="6"/>
      <c r="L58" s="6"/>
      <c r="M58" s="6"/>
      <c r="N58" s="6"/>
      <c r="O58" s="6"/>
      <c r="P58" s="6"/>
      <c r="Q58" s="6"/>
      <c r="R58" s="6"/>
      <c r="S58" s="6"/>
      <c r="T58" s="6"/>
      <c r="U58" s="6"/>
      <c r="V58" s="6"/>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row>
    <row r="59" ht="15.75" customHeight="1">
      <c r="A59" s="6"/>
      <c r="B59" s="6"/>
      <c r="C59" s="6"/>
      <c r="D59" s="6"/>
      <c r="E59" s="6"/>
      <c r="F59" s="6"/>
      <c r="G59" s="6"/>
      <c r="H59" s="6"/>
      <c r="I59" s="6"/>
      <c r="J59" s="6"/>
      <c r="K59" s="6"/>
      <c r="L59" s="6"/>
      <c r="M59" s="6"/>
      <c r="N59" s="6"/>
      <c r="O59" s="6"/>
      <c r="P59" s="6"/>
      <c r="Q59" s="6"/>
      <c r="R59" s="6"/>
      <c r="S59" s="6"/>
      <c r="T59" s="6"/>
      <c r="U59" s="6"/>
      <c r="V59" s="6"/>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row>
    <row r="60" ht="15.75" customHeight="1">
      <c r="A60" s="6"/>
      <c r="B60" s="6"/>
      <c r="C60" s="6"/>
      <c r="D60" s="6"/>
      <c r="E60" s="6"/>
      <c r="F60" s="6"/>
      <c r="G60" s="6"/>
      <c r="H60" s="6"/>
      <c r="I60" s="6"/>
      <c r="J60" s="6"/>
      <c r="K60" s="6"/>
      <c r="L60" s="6"/>
      <c r="M60" s="6"/>
      <c r="N60" s="6"/>
      <c r="O60" s="6"/>
      <c r="P60" s="6"/>
      <c r="Q60" s="6"/>
      <c r="R60" s="6"/>
      <c r="S60" s="6"/>
      <c r="T60" s="6"/>
      <c r="U60" s="6"/>
      <c r="V60" s="6"/>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row>
    <row r="61" ht="15.75" customHeight="1">
      <c r="A61" s="6"/>
      <c r="B61" s="6"/>
      <c r="C61" s="6"/>
      <c r="D61" s="6"/>
      <c r="E61" s="6"/>
      <c r="F61" s="6"/>
      <c r="G61" s="6"/>
      <c r="H61" s="6"/>
      <c r="I61" s="6"/>
      <c r="J61" s="6"/>
      <c r="K61" s="6"/>
      <c r="L61" s="6"/>
      <c r="M61" s="6"/>
      <c r="N61" s="6"/>
      <c r="O61" s="6"/>
      <c r="P61" s="6"/>
      <c r="Q61" s="6"/>
      <c r="R61" s="6"/>
      <c r="S61" s="6"/>
      <c r="T61" s="6"/>
      <c r="U61" s="6"/>
      <c r="V61" s="6"/>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row>
    <row r="62" ht="15.75" customHeight="1">
      <c r="A62" s="6"/>
      <c r="B62" s="13"/>
      <c r="C62" s="13"/>
      <c r="D62" s="13"/>
      <c r="E62" s="13"/>
      <c r="F62" s="13"/>
      <c r="G62" s="13"/>
      <c r="H62" s="13"/>
      <c r="I62" s="13"/>
      <c r="J62" s="13"/>
      <c r="K62" s="13"/>
      <c r="L62" s="13"/>
      <c r="M62" s="13"/>
      <c r="N62" s="13"/>
      <c r="O62" s="13"/>
      <c r="P62" s="13"/>
      <c r="Q62" s="13"/>
      <c r="R62" s="13"/>
      <c r="S62" s="13"/>
      <c r="T62" s="13"/>
      <c r="U62" s="13"/>
      <c r="V62" s="1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row>
    <row r="63" ht="15.75" customHeight="1">
      <c r="A63" s="6"/>
      <c r="B63" s="6"/>
      <c r="C63" s="6"/>
      <c r="D63" s="6"/>
      <c r="E63" s="6"/>
      <c r="F63" s="6"/>
      <c r="G63" s="6"/>
      <c r="H63" s="6"/>
      <c r="I63" s="6"/>
      <c r="J63" s="6"/>
      <c r="K63" s="6"/>
      <c r="L63" s="6"/>
      <c r="M63" s="6"/>
      <c r="N63" s="6"/>
      <c r="O63" s="6"/>
      <c r="P63" s="6"/>
      <c r="Q63" s="6"/>
      <c r="R63" s="6"/>
      <c r="S63" s="6"/>
      <c r="T63" s="6"/>
      <c r="U63" s="6"/>
      <c r="V63" s="6"/>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row>
    <row r="64" ht="15.75" customHeight="1">
      <c r="A64" s="6"/>
      <c r="B64" s="6"/>
      <c r="C64" s="6"/>
      <c r="D64" s="6"/>
      <c r="E64" s="6"/>
      <c r="F64" s="6"/>
      <c r="G64" s="6"/>
      <c r="H64" s="6"/>
      <c r="I64" s="6"/>
      <c r="J64" s="6"/>
      <c r="K64" s="6"/>
      <c r="L64" s="6"/>
      <c r="M64" s="6"/>
      <c r="N64" s="6"/>
      <c r="O64" s="6"/>
      <c r="P64" s="6"/>
      <c r="Q64" s="6"/>
      <c r="R64" s="6"/>
      <c r="S64" s="6"/>
      <c r="T64" s="6"/>
      <c r="U64" s="6"/>
      <c r="V64" s="6"/>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row>
    <row r="65" ht="15.75" customHeight="1">
      <c r="A65" s="6"/>
      <c r="B65" s="6" t="s">
        <v>26</v>
      </c>
      <c r="C65" s="6"/>
      <c r="D65" s="6"/>
      <c r="E65" s="6"/>
      <c r="F65" s="6"/>
      <c r="G65" s="6"/>
      <c r="H65" s="6"/>
      <c r="I65" s="6"/>
      <c r="J65" s="6"/>
      <c r="K65" s="6"/>
      <c r="L65" s="6"/>
      <c r="M65" s="6"/>
      <c r="N65" s="6"/>
      <c r="O65" s="6"/>
      <c r="P65" s="6"/>
      <c r="Q65" s="6"/>
      <c r="R65" s="6"/>
      <c r="S65" s="6"/>
      <c r="T65" s="6"/>
      <c r="U65" s="6"/>
      <c r="V65" s="6"/>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row>
    <row r="66" ht="15.75" customHeight="1">
      <c r="A66" s="6"/>
      <c r="B66" s="6" t="s">
        <v>27</v>
      </c>
      <c r="C66" s="6"/>
      <c r="D66" s="6"/>
      <c r="E66" s="6"/>
      <c r="F66" s="6"/>
      <c r="G66" s="6"/>
      <c r="H66" s="6"/>
      <c r="I66" s="6"/>
      <c r="J66" s="6"/>
      <c r="K66" s="6"/>
      <c r="L66" s="6"/>
      <c r="M66" s="6"/>
      <c r="N66" s="6"/>
      <c r="O66" s="6"/>
      <c r="P66" s="6"/>
      <c r="Q66" s="6"/>
      <c r="R66" s="6"/>
      <c r="S66" s="6"/>
      <c r="T66" s="6"/>
      <c r="U66" s="6"/>
      <c r="V66" s="6"/>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row>
    <row r="67" ht="15.75" customHeight="1">
      <c r="A67" s="6"/>
      <c r="B67" s="6" t="s">
        <v>28</v>
      </c>
      <c r="C67" s="6"/>
      <c r="D67" s="6"/>
      <c r="E67" s="6"/>
      <c r="F67" s="6"/>
      <c r="G67" s="6"/>
      <c r="H67" s="6"/>
      <c r="I67" s="6"/>
      <c r="J67" s="6"/>
      <c r="K67" s="6"/>
      <c r="L67" s="6"/>
      <c r="M67" s="6"/>
      <c r="N67" s="6"/>
      <c r="O67" s="6"/>
      <c r="P67" s="6"/>
      <c r="Q67" s="6"/>
      <c r="R67" s="6"/>
      <c r="S67" s="6"/>
      <c r="T67" s="6"/>
      <c r="U67" s="6"/>
      <c r="V67" s="6"/>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row>
    <row r="68" ht="15.75" customHeight="1">
      <c r="A68" s="6"/>
      <c r="B68" s="6"/>
      <c r="C68" s="6"/>
      <c r="D68" s="6"/>
      <c r="E68" s="6"/>
      <c r="F68" s="6"/>
      <c r="G68" s="6"/>
      <c r="H68" s="6"/>
      <c r="I68" s="6"/>
      <c r="J68" s="6"/>
      <c r="K68" s="6"/>
      <c r="L68" s="6"/>
      <c r="M68" s="6"/>
      <c r="N68" s="6"/>
      <c r="O68" s="6"/>
      <c r="P68" s="6"/>
      <c r="Q68" s="6"/>
      <c r="R68" s="6"/>
      <c r="S68" s="6"/>
      <c r="T68" s="6"/>
      <c r="U68" s="6"/>
      <c r="V68" s="6"/>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row>
    <row r="69" ht="15.75" customHeight="1">
      <c r="A69" s="6"/>
      <c r="B69" s="8" t="s">
        <v>29</v>
      </c>
      <c r="C69" s="6"/>
      <c r="D69" s="6"/>
      <c r="E69" s="6"/>
      <c r="F69" s="6"/>
      <c r="G69" s="6"/>
      <c r="H69" s="6"/>
      <c r="I69" s="6"/>
      <c r="J69" s="6"/>
      <c r="K69" s="6"/>
      <c r="L69" s="6"/>
      <c r="M69" s="6"/>
      <c r="N69" s="6"/>
      <c r="O69" s="6"/>
      <c r="P69" s="6"/>
      <c r="Q69" s="6"/>
      <c r="R69" s="6"/>
      <c r="S69" s="6"/>
      <c r="T69" s="6"/>
      <c r="U69" s="6"/>
      <c r="V69" s="6"/>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row>
    <row r="70" ht="15.75" customHeight="1">
      <c r="A70" s="6"/>
      <c r="B70" s="6" t="s">
        <v>31</v>
      </c>
      <c r="C70" s="6"/>
      <c r="D70" s="6"/>
      <c r="E70" s="6"/>
      <c r="F70" s="6"/>
      <c r="G70" s="6"/>
      <c r="H70" s="6"/>
      <c r="I70" s="6"/>
      <c r="J70" s="6"/>
      <c r="K70" s="6"/>
      <c r="L70" s="6"/>
      <c r="M70" s="6"/>
      <c r="N70" s="6"/>
      <c r="O70" s="6"/>
      <c r="P70" s="6"/>
      <c r="Q70" s="6"/>
      <c r="R70" s="6"/>
      <c r="S70" s="6"/>
      <c r="T70" s="6"/>
      <c r="U70" s="6"/>
      <c r="V70" s="6"/>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row>
    <row r="71" ht="15.75" customHeight="1">
      <c r="A71" s="6"/>
      <c r="B71" s="6"/>
      <c r="C71" s="6"/>
      <c r="D71" s="6"/>
      <c r="E71" s="6"/>
      <c r="F71" s="6"/>
      <c r="G71" s="6"/>
      <c r="H71" s="6"/>
      <c r="I71" s="6"/>
      <c r="J71" s="6"/>
      <c r="K71" s="6"/>
      <c r="L71" s="6"/>
      <c r="M71" s="6"/>
      <c r="N71" s="6"/>
      <c r="O71" s="6"/>
      <c r="P71" s="6"/>
      <c r="Q71" s="6"/>
      <c r="R71" s="6"/>
      <c r="S71" s="6"/>
      <c r="T71" s="6"/>
      <c r="U71" s="6"/>
      <c r="V71" s="6"/>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row>
    <row r="72" ht="15.75" customHeight="1">
      <c r="A72" s="6"/>
      <c r="B72" s="6"/>
      <c r="C72" s="6"/>
      <c r="D72" s="6"/>
      <c r="E72" s="6"/>
      <c r="F72" s="6"/>
      <c r="G72" s="6"/>
      <c r="H72" s="6"/>
      <c r="I72" s="6"/>
      <c r="J72" s="6"/>
      <c r="K72" s="6"/>
      <c r="L72" s="6"/>
      <c r="M72" s="6"/>
      <c r="N72" s="6"/>
      <c r="O72" s="6"/>
      <c r="P72" s="6"/>
      <c r="Q72" s="6"/>
      <c r="R72" s="6"/>
      <c r="S72" s="6"/>
      <c r="T72" s="6"/>
      <c r="U72" s="6"/>
      <c r="V72" s="6"/>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row>
    <row r="73" ht="15.75" customHeight="1">
      <c r="A73" s="6"/>
      <c r="B73" s="6"/>
      <c r="C73" s="6"/>
      <c r="D73" s="6"/>
      <c r="E73" s="6"/>
      <c r="F73" s="6"/>
      <c r="G73" s="6"/>
      <c r="H73" s="6"/>
      <c r="I73" s="6"/>
      <c r="J73" s="6"/>
      <c r="K73" s="6"/>
      <c r="L73" s="6"/>
      <c r="M73" s="6"/>
      <c r="N73" s="6"/>
      <c r="O73" s="6"/>
      <c r="P73" s="6"/>
      <c r="Q73" s="6"/>
      <c r="R73" s="6"/>
      <c r="S73" s="6"/>
      <c r="T73" s="6"/>
      <c r="U73" s="6"/>
      <c r="V73" s="6"/>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3"/>
      <c r="BX74" s="3"/>
      <c r="BY74" s="3"/>
      <c r="BZ74" s="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3"/>
      <c r="BX75" s="3"/>
      <c r="BY75" s="3"/>
      <c r="BZ75" s="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3"/>
      <c r="BX76" s="3"/>
      <c r="BY76" s="3"/>
      <c r="BZ76" s="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3"/>
      <c r="BX77" s="3"/>
      <c r="BY77" s="3"/>
      <c r="BZ77" s="3"/>
    </row>
    <row r="78" ht="15.75" customHeight="1">
      <c r="A78" s="6"/>
      <c r="B78" s="47" t="s">
        <v>34</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3"/>
      <c r="BX78" s="3"/>
      <c r="BY78" s="3"/>
      <c r="BZ78" s="3"/>
    </row>
    <row r="79" ht="15.75" customHeight="1">
      <c r="A79" s="6"/>
      <c r="B79" s="47" t="s">
        <v>35</v>
      </c>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3"/>
      <c r="BX79" s="3"/>
      <c r="BY79" s="3"/>
      <c r="BZ79" s="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3"/>
      <c r="BX80" s="3"/>
      <c r="BY80" s="3"/>
      <c r="BZ80" s="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3"/>
      <c r="BX81" s="3"/>
      <c r="BY81" s="3"/>
      <c r="BZ81" s="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3"/>
      <c r="BX82" s="3"/>
      <c r="BY82" s="3"/>
      <c r="BZ82" s="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3"/>
      <c r="BX83" s="3"/>
      <c r="BY83" s="3"/>
      <c r="BZ83" s="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3"/>
      <c r="BX84" s="3"/>
      <c r="BY84" s="3"/>
      <c r="BZ84" s="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3"/>
      <c r="BX85" s="3"/>
      <c r="BY85" s="3"/>
      <c r="BZ85" s="3"/>
    </row>
    <row r="86" ht="15.75" customHeight="1">
      <c r="BW86" s="3"/>
      <c r="BX86" s="3"/>
      <c r="BY86" s="3"/>
      <c r="BZ86" s="3"/>
    </row>
    <row r="87" ht="15.75" customHeight="1">
      <c r="BW87" s="3"/>
      <c r="BX87" s="3"/>
      <c r="BY87" s="3"/>
      <c r="BZ87" s="3"/>
    </row>
    <row r="88" ht="15.75" customHeight="1">
      <c r="BI88" s="47" t="s">
        <v>49</v>
      </c>
      <c r="BW88" s="3"/>
      <c r="BX88" s="3"/>
      <c r="BY88" s="3"/>
      <c r="BZ88" s="3"/>
    </row>
    <row r="89" ht="15.75" customHeight="1">
      <c r="BI89" s="47" t="s">
        <v>50</v>
      </c>
      <c r="BW89" s="3"/>
      <c r="BX89" s="3"/>
      <c r="BY89" s="3"/>
      <c r="BZ89" s="3"/>
    </row>
    <row r="90" ht="15.75" customHeight="1">
      <c r="B90" s="47" t="s">
        <v>51</v>
      </c>
      <c r="BI90" s="47" t="s">
        <v>52</v>
      </c>
      <c r="BW90" s="3"/>
      <c r="BX90" s="3"/>
      <c r="BY90" s="3"/>
      <c r="BZ90" s="3"/>
    </row>
    <row r="91" ht="15.75" customHeight="1">
      <c r="B91" s="47" t="s">
        <v>53</v>
      </c>
      <c r="BI91" s="47" t="s">
        <v>54</v>
      </c>
      <c r="BW91" s="3"/>
      <c r="BX91" s="3"/>
      <c r="BY91" s="3"/>
      <c r="BZ91" s="3"/>
    </row>
    <row r="92" ht="15.75" customHeight="1">
      <c r="BI92" s="47" t="s">
        <v>55</v>
      </c>
      <c r="BW92" s="3"/>
      <c r="BX92" s="3"/>
      <c r="BY92" s="3"/>
      <c r="BZ92" s="3"/>
    </row>
    <row r="93" ht="15.75" customHeight="1">
      <c r="BW93" s="3"/>
      <c r="BX93" s="3"/>
      <c r="BY93" s="3"/>
      <c r="BZ93" s="3"/>
    </row>
    <row r="94" ht="15.75" customHeight="1">
      <c r="BW94" s="3"/>
      <c r="BX94" s="3"/>
      <c r="BY94" s="3"/>
      <c r="BZ94" s="3"/>
    </row>
    <row r="95" ht="15.75" customHeight="1">
      <c r="BW95" s="3"/>
      <c r="BX95" s="3"/>
      <c r="BY95" s="3"/>
      <c r="BZ95" s="3"/>
    </row>
    <row r="96" ht="15.75" customHeight="1">
      <c r="BW96" s="3"/>
      <c r="BX96" s="3"/>
      <c r="BY96" s="3"/>
      <c r="BZ96" s="3"/>
    </row>
    <row r="97" ht="15.75" customHeight="1">
      <c r="BW97" s="3"/>
      <c r="BX97" s="3"/>
      <c r="BY97" s="3"/>
      <c r="BZ97" s="3"/>
    </row>
    <row r="98" ht="15.75" customHeight="1">
      <c r="BW98" s="3"/>
      <c r="BX98" s="3"/>
      <c r="BY98" s="3"/>
      <c r="BZ98" s="3"/>
    </row>
    <row r="99" ht="15.75" customHeight="1">
      <c r="BW99" s="3"/>
      <c r="BX99" s="3"/>
      <c r="BY99" s="3"/>
      <c r="BZ99" s="3"/>
    </row>
    <row r="100" ht="15.75" customHeight="1">
      <c r="BW100" s="3"/>
      <c r="BX100" s="3"/>
      <c r="BY100" s="3"/>
      <c r="BZ100" s="3"/>
    </row>
    <row r="101" ht="15.75" customHeight="1">
      <c r="AC101" s="53" t="s">
        <v>56</v>
      </c>
      <c r="BW101" s="3"/>
      <c r="BX101" s="3"/>
      <c r="BY101" s="3"/>
      <c r="BZ101" s="3"/>
    </row>
    <row r="102" ht="15.75" customHeight="1">
      <c r="AC102" s="53" t="s">
        <v>57</v>
      </c>
      <c r="BW102" s="3"/>
      <c r="BX102" s="3"/>
      <c r="BY102" s="3"/>
      <c r="BZ102" s="3"/>
    </row>
    <row r="103" ht="15.75" customHeight="1">
      <c r="AC103" s="53" t="s">
        <v>58</v>
      </c>
      <c r="BW103" s="3"/>
      <c r="BX103" s="3"/>
      <c r="BY103" s="3"/>
      <c r="BZ103" s="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3"/>
      <c r="BX104" s="3"/>
      <c r="BY104" s="3"/>
      <c r="BZ104" s="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3"/>
      <c r="BX105" s="3"/>
      <c r="BY105" s="3"/>
      <c r="B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row>
    <row r="133" ht="15.75" customHeight="1">
      <c r="BW133" s="3"/>
      <c r="BX133" s="3"/>
      <c r="BY133" s="3"/>
      <c r="BZ133" s="3"/>
    </row>
    <row r="134" ht="15.75" customHeight="1">
      <c r="BW134" s="3"/>
      <c r="BX134" s="3"/>
      <c r="BY134" s="3"/>
      <c r="BZ134" s="3"/>
    </row>
    <row r="135" ht="15.75" customHeight="1">
      <c r="BW135" s="3"/>
      <c r="BX135" s="3"/>
      <c r="BY135" s="3"/>
      <c r="BZ135" s="3"/>
    </row>
    <row r="136" ht="15.75" customHeight="1">
      <c r="BW136" s="3"/>
      <c r="BX136" s="3"/>
      <c r="BY136" s="3"/>
      <c r="BZ136" s="3"/>
    </row>
    <row r="137" ht="15.75" customHeight="1">
      <c r="BW137" s="3"/>
      <c r="BX137" s="3"/>
      <c r="BY137" s="3"/>
      <c r="BZ137" s="3"/>
    </row>
    <row r="138" ht="15.75" customHeight="1">
      <c r="BW138" s="3"/>
      <c r="BX138" s="3"/>
      <c r="BY138" s="3"/>
      <c r="BZ138" s="3"/>
    </row>
    <row r="139" ht="15.75" customHeight="1">
      <c r="BW139" s="3"/>
      <c r="BX139" s="3"/>
      <c r="BY139" s="3"/>
      <c r="BZ139" s="3"/>
    </row>
    <row r="140" ht="15.75" customHeight="1">
      <c r="BW140" s="3"/>
      <c r="BX140" s="3"/>
      <c r="BY140" s="3"/>
      <c r="BZ140" s="3"/>
    </row>
    <row r="141" ht="15.75" customHeight="1">
      <c r="BW141" s="3"/>
      <c r="BX141" s="3"/>
      <c r="BY141" s="3"/>
      <c r="BZ141" s="3"/>
    </row>
    <row r="142" ht="15.75" customHeight="1">
      <c r="BW142" s="3"/>
      <c r="BX142" s="3"/>
      <c r="BY142" s="3"/>
      <c r="BZ142" s="3"/>
    </row>
    <row r="143" ht="15.75" customHeight="1">
      <c r="BW143" s="3"/>
      <c r="BX143" s="3"/>
      <c r="BY143" s="3"/>
      <c r="BZ143" s="3"/>
    </row>
    <row r="144" ht="15.75" customHeight="1">
      <c r="BW144" s="3"/>
      <c r="BX144" s="3"/>
      <c r="BY144" s="3"/>
      <c r="BZ144" s="3"/>
    </row>
    <row r="145" ht="15.75" customHeight="1">
      <c r="BW145" s="3"/>
      <c r="BX145" s="3"/>
      <c r="BY145" s="3"/>
      <c r="BZ145" s="3"/>
    </row>
    <row r="146" ht="15.75" customHeight="1">
      <c r="BW146" s="3"/>
      <c r="BX146" s="3"/>
      <c r="BY146" s="3"/>
      <c r="BZ146" s="3"/>
    </row>
    <row r="147" ht="15.75" customHeight="1">
      <c r="BW147" s="3"/>
      <c r="BX147" s="3"/>
      <c r="BY147" s="3"/>
      <c r="BZ147" s="3"/>
    </row>
    <row r="148" ht="15.75" customHeight="1">
      <c r="BW148" s="3"/>
      <c r="BX148" s="3"/>
      <c r="BY148" s="3"/>
      <c r="BZ148" s="3"/>
    </row>
    <row r="149" ht="15.75" customHeight="1">
      <c r="BW149" s="3"/>
      <c r="BX149" s="3"/>
      <c r="BY149" s="3"/>
      <c r="BZ149" s="3"/>
    </row>
    <row r="150" ht="15.75" customHeight="1">
      <c r="BW150" s="3"/>
      <c r="BX150" s="3"/>
      <c r="BY150" s="3"/>
      <c r="BZ150" s="3"/>
    </row>
    <row r="151" ht="15.75" customHeight="1">
      <c r="BW151" s="3"/>
      <c r="BX151" s="3"/>
      <c r="BY151" s="3"/>
      <c r="BZ151" s="3"/>
    </row>
    <row r="152" ht="15.75" customHeight="1">
      <c r="BW152" s="3"/>
      <c r="BX152" s="3"/>
      <c r="BY152" s="3"/>
      <c r="BZ152" s="3"/>
    </row>
    <row r="153" ht="15.75" customHeight="1">
      <c r="BW153" s="3"/>
      <c r="BX153" s="3"/>
      <c r="BY153" s="3"/>
      <c r="BZ153" s="3"/>
    </row>
    <row r="154" ht="15.75" customHeight="1">
      <c r="BW154" s="3"/>
      <c r="BX154" s="3"/>
      <c r="BY154" s="3"/>
      <c r="BZ154" s="3"/>
    </row>
    <row r="155" ht="15.75" customHeight="1">
      <c r="BW155" s="3"/>
      <c r="BX155" s="3"/>
      <c r="BY155" s="3"/>
      <c r="BZ155" s="3"/>
    </row>
    <row r="156" ht="15.75" customHeight="1">
      <c r="BW156" s="3"/>
      <c r="BX156" s="3"/>
      <c r="BY156" s="3"/>
      <c r="BZ156" s="3"/>
    </row>
    <row r="157" ht="15.75" customHeight="1">
      <c r="BW157" s="3"/>
      <c r="BX157" s="3"/>
      <c r="BY157" s="3"/>
      <c r="BZ157" s="3"/>
    </row>
    <row r="158" ht="15.75" customHeight="1">
      <c r="BW158" s="3"/>
      <c r="BX158" s="3"/>
      <c r="BY158" s="3"/>
      <c r="BZ158" s="3"/>
    </row>
    <row r="159" ht="15.75" customHeight="1">
      <c r="BW159" s="3"/>
      <c r="BX159" s="3"/>
      <c r="BY159" s="3"/>
      <c r="BZ159" s="3"/>
    </row>
    <row r="160" ht="15.75" customHeight="1">
      <c r="BW160" s="3"/>
      <c r="BX160" s="3"/>
      <c r="BY160" s="3"/>
      <c r="BZ160" s="3"/>
    </row>
    <row r="161" ht="15.75" customHeight="1">
      <c r="BW161" s="3"/>
      <c r="BX161" s="3"/>
      <c r="BY161" s="3"/>
      <c r="BZ161" s="3"/>
    </row>
    <row r="162" ht="15.75" customHeight="1">
      <c r="BW162" s="3"/>
      <c r="BX162" s="3"/>
      <c r="BY162" s="3"/>
      <c r="BZ162" s="3"/>
    </row>
    <row r="163" ht="15.75" customHeight="1">
      <c r="BW163" s="3"/>
      <c r="BX163" s="3"/>
      <c r="BY163" s="3"/>
      <c r="BZ163" s="3"/>
    </row>
    <row r="164" ht="15.75" customHeight="1">
      <c r="BW164" s="3"/>
      <c r="BX164" s="3"/>
      <c r="BY164" s="3"/>
      <c r="BZ164" s="3"/>
    </row>
    <row r="165" ht="15.75" customHeight="1">
      <c r="BW165" s="3"/>
      <c r="BX165" s="3"/>
      <c r="BY165" s="3"/>
      <c r="BZ165" s="3"/>
    </row>
    <row r="166" ht="15.75" customHeight="1">
      <c r="BW166" s="3"/>
      <c r="BX166" s="3"/>
      <c r="BY166" s="3"/>
      <c r="BZ166" s="3"/>
    </row>
    <row r="167" ht="15.75" customHeight="1">
      <c r="BW167" s="3"/>
      <c r="BX167" s="3"/>
      <c r="BY167" s="3"/>
      <c r="BZ167" s="3"/>
    </row>
    <row r="168" ht="15.75" customHeight="1">
      <c r="BW168" s="3"/>
      <c r="BX168" s="3"/>
      <c r="BY168" s="3"/>
      <c r="BZ168" s="3"/>
    </row>
    <row r="169" ht="15.75" customHeight="1">
      <c r="BW169" s="3"/>
      <c r="BX169" s="3"/>
      <c r="BY169" s="3"/>
      <c r="BZ169" s="3"/>
    </row>
    <row r="170" ht="15.75" customHeight="1">
      <c r="BW170" s="3"/>
      <c r="BX170" s="3"/>
      <c r="BY170" s="3"/>
      <c r="BZ170" s="3"/>
    </row>
    <row r="171" ht="15.75" customHeight="1">
      <c r="BW171" s="3"/>
      <c r="BX171" s="3"/>
      <c r="BY171" s="3"/>
      <c r="BZ171" s="3"/>
    </row>
    <row r="172" ht="15.75" customHeight="1">
      <c r="BW172" s="3"/>
      <c r="BX172" s="3"/>
      <c r="BY172" s="3"/>
      <c r="BZ172" s="3"/>
    </row>
    <row r="173" ht="15.75" customHeight="1">
      <c r="BW173" s="3"/>
      <c r="BX173" s="3"/>
      <c r="BY173" s="3"/>
      <c r="BZ173" s="3"/>
    </row>
    <row r="174" ht="15.75" customHeight="1">
      <c r="BW174" s="3"/>
      <c r="BX174" s="3"/>
      <c r="BY174" s="3"/>
      <c r="BZ174" s="3"/>
    </row>
    <row r="175" ht="15.75" customHeight="1">
      <c r="BW175" s="3"/>
      <c r="BX175" s="3"/>
      <c r="BY175" s="3"/>
      <c r="BZ175" s="3"/>
    </row>
    <row r="176" ht="15.75" customHeight="1">
      <c r="BW176" s="3"/>
      <c r="BX176" s="3"/>
      <c r="BY176" s="3"/>
      <c r="BZ176" s="3"/>
    </row>
    <row r="177" ht="15.75" customHeight="1">
      <c r="BW177" s="3"/>
      <c r="BX177" s="3"/>
      <c r="BY177" s="3"/>
      <c r="BZ177" s="3"/>
    </row>
    <row r="178" ht="15.75" customHeight="1">
      <c r="BW178" s="3"/>
      <c r="BX178" s="3"/>
      <c r="BY178" s="3"/>
      <c r="BZ178" s="3"/>
    </row>
    <row r="179" ht="15.75" customHeight="1">
      <c r="BW179" s="3"/>
      <c r="BX179" s="3"/>
      <c r="BY179" s="3"/>
      <c r="BZ179" s="3"/>
    </row>
    <row r="180" ht="15.75" customHeight="1">
      <c r="BW180" s="3"/>
      <c r="BX180" s="3"/>
      <c r="BY180" s="3"/>
      <c r="BZ180" s="3"/>
    </row>
    <row r="181" ht="15.75" customHeight="1">
      <c r="BW181" s="3"/>
      <c r="BX181" s="3"/>
      <c r="BY181" s="3"/>
      <c r="BZ181" s="3"/>
    </row>
    <row r="182" ht="15.75" customHeight="1">
      <c r="BW182" s="3"/>
      <c r="BX182" s="3"/>
      <c r="BY182" s="3"/>
      <c r="BZ182" s="3"/>
    </row>
    <row r="183" ht="15.75" customHeight="1">
      <c r="BW183" s="3"/>
      <c r="BX183" s="3"/>
      <c r="BY183" s="3"/>
      <c r="BZ183" s="3"/>
    </row>
    <row r="184" ht="15.75" customHeight="1">
      <c r="BW184" s="3"/>
      <c r="BX184" s="3"/>
      <c r="BY184" s="3"/>
      <c r="BZ184" s="3"/>
    </row>
    <row r="185" ht="15.75" customHeight="1">
      <c r="BW185" s="3"/>
      <c r="BX185" s="3"/>
      <c r="BY185" s="3"/>
      <c r="BZ185" s="3"/>
    </row>
    <row r="186" ht="15.75" customHeight="1">
      <c r="BW186" s="3"/>
      <c r="BX186" s="3"/>
      <c r="BY186" s="3"/>
      <c r="BZ186" s="3"/>
    </row>
    <row r="187" ht="15.75" customHeight="1">
      <c r="BW187" s="3"/>
      <c r="BX187" s="3"/>
      <c r="BY187" s="3"/>
      <c r="BZ187" s="3"/>
    </row>
    <row r="188" ht="15.75" customHeight="1">
      <c r="BW188" s="3"/>
      <c r="BX188" s="3"/>
      <c r="BY188" s="3"/>
      <c r="BZ188" s="3"/>
    </row>
    <row r="189" ht="15.75" customHeight="1">
      <c r="BW189" s="3"/>
      <c r="BX189" s="3"/>
      <c r="BY189" s="3"/>
      <c r="BZ189" s="3"/>
    </row>
    <row r="190" ht="15.75" customHeight="1">
      <c r="BW190" s="3"/>
      <c r="BX190" s="3"/>
      <c r="BY190" s="3"/>
      <c r="BZ190" s="3"/>
    </row>
    <row r="191" ht="15.75" customHeight="1">
      <c r="BW191" s="3"/>
      <c r="BX191" s="3"/>
      <c r="BY191" s="3"/>
      <c r="BZ191" s="3"/>
    </row>
    <row r="192" ht="15.75" customHeight="1">
      <c r="BW192" s="3"/>
      <c r="BX192" s="3"/>
      <c r="BY192" s="3"/>
      <c r="BZ192" s="3"/>
    </row>
    <row r="193" ht="15.75" customHeight="1">
      <c r="BW193" s="3"/>
      <c r="BX193" s="3"/>
      <c r="BY193" s="3"/>
      <c r="BZ193" s="3"/>
    </row>
    <row r="194" ht="15.75" customHeight="1">
      <c r="BW194" s="3"/>
      <c r="BX194" s="3"/>
      <c r="BY194" s="3"/>
      <c r="BZ194" s="3"/>
    </row>
    <row r="195" ht="15.75" customHeight="1">
      <c r="BW195" s="3"/>
      <c r="BX195" s="3"/>
      <c r="BY195" s="3"/>
      <c r="BZ195" s="3"/>
    </row>
    <row r="196" ht="15.75" customHeight="1">
      <c r="BW196" s="3"/>
      <c r="BX196" s="3"/>
      <c r="BY196" s="3"/>
      <c r="BZ196" s="3"/>
    </row>
    <row r="197" ht="15.75" customHeight="1">
      <c r="BW197" s="3"/>
      <c r="BX197" s="3"/>
      <c r="BY197" s="3"/>
      <c r="BZ197" s="3"/>
    </row>
    <row r="198" ht="15.75" customHeight="1">
      <c r="BW198" s="3"/>
      <c r="BX198" s="3"/>
      <c r="BY198" s="3"/>
      <c r="BZ198" s="3"/>
    </row>
    <row r="199" ht="15.75" customHeight="1">
      <c r="BW199" s="3"/>
      <c r="BX199" s="3"/>
      <c r="BY199" s="3"/>
      <c r="BZ199" s="3"/>
    </row>
    <row r="200" ht="15.75" customHeight="1">
      <c r="BW200" s="3"/>
      <c r="BX200" s="3"/>
      <c r="BY200" s="3"/>
      <c r="BZ200" s="3"/>
    </row>
    <row r="201" ht="15.75" customHeight="1">
      <c r="BW201" s="3"/>
      <c r="BX201" s="3"/>
      <c r="BY201" s="3"/>
      <c r="BZ201" s="3"/>
    </row>
    <row r="202" ht="15.75" customHeight="1">
      <c r="BW202" s="3"/>
      <c r="BX202" s="3"/>
      <c r="BY202" s="3"/>
      <c r="BZ202" s="3"/>
    </row>
    <row r="203" ht="15.75" customHeight="1">
      <c r="BW203" s="3"/>
      <c r="BX203" s="3"/>
      <c r="BY203" s="3"/>
      <c r="BZ203" s="3"/>
    </row>
    <row r="204" ht="15.75" customHeight="1">
      <c r="BW204" s="3"/>
      <c r="BX204" s="3"/>
      <c r="BY204" s="3"/>
      <c r="BZ204" s="3"/>
    </row>
    <row r="205" ht="15.75" customHeight="1">
      <c r="BW205" s="3"/>
      <c r="BX205" s="3"/>
      <c r="BY205" s="3"/>
      <c r="BZ205" s="3"/>
    </row>
    <row r="206" ht="15.75" customHeight="1">
      <c r="BW206" s="3"/>
      <c r="BX206" s="3"/>
      <c r="BY206" s="3"/>
      <c r="BZ206" s="3"/>
    </row>
    <row r="207" ht="15.75" customHeight="1">
      <c r="BW207" s="3"/>
      <c r="BX207" s="3"/>
      <c r="BY207" s="3"/>
      <c r="BZ207" s="3"/>
    </row>
    <row r="208" ht="15.75" customHeight="1">
      <c r="BW208" s="3"/>
      <c r="BX208" s="3"/>
      <c r="BY208" s="3"/>
      <c r="BZ208" s="3"/>
    </row>
    <row r="209" ht="15.75" customHeight="1">
      <c r="BW209" s="3"/>
      <c r="BX209" s="3"/>
      <c r="BY209" s="3"/>
      <c r="BZ209" s="3"/>
    </row>
    <row r="210" ht="15.75" customHeight="1">
      <c r="BW210" s="3"/>
      <c r="BX210" s="3"/>
      <c r="BY210" s="3"/>
      <c r="BZ210" s="3"/>
    </row>
    <row r="211" ht="15.75" customHeight="1">
      <c r="BW211" s="3"/>
      <c r="BX211" s="3"/>
      <c r="BY211" s="3"/>
      <c r="BZ211" s="3"/>
    </row>
    <row r="212" ht="15.75" customHeight="1">
      <c r="BW212" s="3"/>
      <c r="BX212" s="3"/>
      <c r="BY212" s="3"/>
      <c r="BZ212" s="3"/>
    </row>
    <row r="213" ht="15.75" customHeight="1">
      <c r="BW213" s="3"/>
      <c r="BX213" s="3"/>
      <c r="BY213" s="3"/>
      <c r="BZ213" s="3"/>
    </row>
    <row r="214" ht="15.75" customHeight="1">
      <c r="BW214" s="3"/>
      <c r="BX214" s="3"/>
      <c r="BY214" s="3"/>
      <c r="BZ214" s="3"/>
    </row>
    <row r="215" ht="15.75" customHeight="1">
      <c r="BW215" s="3"/>
      <c r="BX215" s="3"/>
      <c r="BY215" s="3"/>
      <c r="BZ215" s="3"/>
    </row>
    <row r="216" ht="15.75" customHeight="1">
      <c r="BW216" s="3"/>
      <c r="BX216" s="3"/>
      <c r="BY216" s="3"/>
      <c r="BZ216" s="3"/>
    </row>
    <row r="217" ht="15.75" customHeight="1">
      <c r="BW217" s="3"/>
      <c r="BX217" s="3"/>
      <c r="BY217" s="3"/>
      <c r="BZ217" s="3"/>
    </row>
    <row r="218" ht="15.75" customHeight="1">
      <c r="BW218" s="3"/>
      <c r="BX218" s="3"/>
      <c r="BY218" s="3"/>
      <c r="BZ218" s="3"/>
    </row>
    <row r="219" ht="15.75" customHeight="1">
      <c r="BW219" s="3"/>
      <c r="BX219" s="3"/>
      <c r="BY219" s="3"/>
      <c r="BZ219" s="3"/>
    </row>
    <row r="220" ht="15.75" customHeight="1">
      <c r="BW220" s="3"/>
      <c r="BX220" s="3"/>
      <c r="BY220" s="3"/>
      <c r="BZ220" s="3"/>
    </row>
    <row r="221" ht="15.75" customHeight="1">
      <c r="BW221" s="3"/>
      <c r="BX221" s="3"/>
      <c r="BY221" s="3"/>
      <c r="BZ221" s="3"/>
    </row>
    <row r="222" ht="15.75" customHeight="1">
      <c r="BW222" s="3"/>
      <c r="BX222" s="3"/>
      <c r="BY222" s="3"/>
      <c r="BZ222" s="3"/>
    </row>
    <row r="223" ht="15.75" customHeight="1">
      <c r="BW223" s="3"/>
      <c r="BX223" s="3"/>
      <c r="BY223" s="3"/>
      <c r="BZ223" s="3"/>
    </row>
    <row r="224" ht="15.75" customHeight="1">
      <c r="BW224" s="3"/>
      <c r="BX224" s="3"/>
      <c r="BY224" s="3"/>
      <c r="BZ224" s="3"/>
    </row>
    <row r="225" ht="15.75" customHeight="1">
      <c r="BW225" s="3"/>
      <c r="BX225" s="3"/>
      <c r="BY225" s="3"/>
      <c r="BZ225" s="3"/>
    </row>
    <row r="226" ht="15.75" customHeight="1">
      <c r="BW226" s="3"/>
      <c r="BX226" s="3"/>
      <c r="BY226" s="3"/>
      <c r="BZ226" s="3"/>
    </row>
    <row r="227" ht="15.75" customHeight="1">
      <c r="BW227" s="3"/>
      <c r="BX227" s="3"/>
      <c r="BY227" s="3"/>
      <c r="BZ227" s="3"/>
    </row>
    <row r="228" ht="15.75" customHeight="1">
      <c r="BW228" s="3"/>
      <c r="BX228" s="3"/>
      <c r="BY228" s="3"/>
      <c r="BZ228" s="3"/>
    </row>
    <row r="229" ht="15.75" customHeight="1">
      <c r="BW229" s="3"/>
      <c r="BX229" s="3"/>
      <c r="BY229" s="3"/>
      <c r="BZ229" s="3"/>
    </row>
    <row r="230" ht="15.75" customHeight="1">
      <c r="BW230" s="3"/>
      <c r="BX230" s="3"/>
      <c r="BY230" s="3"/>
      <c r="BZ230" s="3"/>
    </row>
    <row r="231" ht="15.75" customHeight="1">
      <c r="BW231" s="3"/>
      <c r="BX231" s="3"/>
      <c r="BY231" s="3"/>
      <c r="BZ231" s="3"/>
    </row>
    <row r="232" ht="15.75" customHeight="1">
      <c r="BW232" s="3"/>
      <c r="BX232" s="3"/>
      <c r="BY232" s="3"/>
      <c r="BZ232" s="3"/>
    </row>
    <row r="233" ht="15.75" customHeight="1">
      <c r="BW233" s="3"/>
      <c r="BX233" s="3"/>
      <c r="BY233" s="3"/>
      <c r="BZ233" s="3"/>
    </row>
    <row r="234" ht="15.75" customHeight="1">
      <c r="BW234" s="3"/>
      <c r="BX234" s="3"/>
      <c r="BY234" s="3"/>
      <c r="BZ234" s="3"/>
    </row>
    <row r="235" ht="15.75" customHeight="1">
      <c r="BW235" s="3"/>
      <c r="BX235" s="3"/>
      <c r="BY235" s="3"/>
      <c r="BZ235" s="3"/>
    </row>
    <row r="236" ht="15.75" customHeight="1">
      <c r="BW236" s="3"/>
      <c r="BX236" s="3"/>
      <c r="BY236" s="3"/>
      <c r="BZ236" s="3"/>
    </row>
    <row r="237" ht="15.75" customHeight="1">
      <c r="BW237" s="3"/>
      <c r="BX237" s="3"/>
      <c r="BY237" s="3"/>
      <c r="BZ237" s="3"/>
    </row>
    <row r="238" ht="15.75" customHeight="1">
      <c r="BW238" s="3"/>
      <c r="BX238" s="3"/>
      <c r="BY238" s="3"/>
      <c r="BZ238" s="3"/>
    </row>
    <row r="239" ht="15.75" customHeight="1">
      <c r="BW239" s="3"/>
      <c r="BX239" s="3"/>
      <c r="BY239" s="3"/>
      <c r="BZ239" s="3"/>
    </row>
    <row r="240" ht="15.75" customHeight="1">
      <c r="BW240" s="3"/>
      <c r="BX240" s="3"/>
      <c r="BY240" s="3"/>
      <c r="BZ240" s="3"/>
    </row>
    <row r="241" ht="15.75" customHeight="1">
      <c r="BW241" s="3"/>
      <c r="BX241" s="3"/>
      <c r="BY241" s="3"/>
      <c r="BZ241" s="3"/>
    </row>
    <row r="242" ht="15.75" customHeight="1">
      <c r="BW242" s="3"/>
      <c r="BX242" s="3"/>
      <c r="BY242" s="3"/>
      <c r="BZ242" s="3"/>
    </row>
    <row r="243" ht="15.75" customHeight="1">
      <c r="BW243" s="3"/>
      <c r="BX243" s="3"/>
      <c r="BY243" s="3"/>
      <c r="BZ243" s="3"/>
    </row>
    <row r="244" ht="15.75" customHeight="1">
      <c r="BW244" s="3"/>
      <c r="BX244" s="3"/>
      <c r="BY244" s="3"/>
      <c r="BZ244" s="3"/>
    </row>
    <row r="245" ht="15.75" customHeight="1">
      <c r="BW245" s="3"/>
      <c r="BX245" s="3"/>
      <c r="BY245" s="3"/>
      <c r="BZ245" s="3"/>
    </row>
    <row r="246" ht="15.75" customHeight="1">
      <c r="BW246" s="3"/>
      <c r="BX246" s="3"/>
      <c r="BY246" s="3"/>
      <c r="BZ246" s="3"/>
    </row>
    <row r="247" ht="15.75" customHeight="1">
      <c r="BW247" s="3"/>
      <c r="BX247" s="3"/>
      <c r="BY247" s="3"/>
      <c r="BZ247" s="3"/>
    </row>
    <row r="248" ht="15.75" customHeight="1">
      <c r="BW248" s="3"/>
      <c r="BX248" s="3"/>
      <c r="BY248" s="3"/>
      <c r="BZ248" s="3"/>
    </row>
    <row r="249" ht="15.75" customHeight="1">
      <c r="BW249" s="3"/>
      <c r="BX249" s="3"/>
      <c r="BY249" s="3"/>
      <c r="BZ249" s="3"/>
    </row>
    <row r="250" ht="15.75" customHeight="1">
      <c r="BW250" s="3"/>
      <c r="BX250" s="3"/>
      <c r="BY250" s="3"/>
      <c r="BZ250" s="3"/>
    </row>
    <row r="251" ht="15.75" customHeight="1">
      <c r="BW251" s="3"/>
      <c r="BX251" s="3"/>
      <c r="BY251" s="3"/>
      <c r="BZ251" s="3"/>
    </row>
    <row r="252" ht="15.75" customHeight="1">
      <c r="BW252" s="3"/>
      <c r="BX252" s="3"/>
      <c r="BY252" s="3"/>
      <c r="BZ252" s="3"/>
    </row>
    <row r="253" ht="15.75" customHeight="1">
      <c r="BW253" s="3"/>
      <c r="BX253" s="3"/>
      <c r="BY253" s="3"/>
      <c r="BZ253" s="3"/>
    </row>
    <row r="254" ht="15.75" customHeight="1">
      <c r="BW254" s="3"/>
      <c r="BX254" s="3"/>
      <c r="BY254" s="3"/>
      <c r="BZ254" s="3"/>
    </row>
    <row r="255" ht="15.75" customHeight="1">
      <c r="BW255" s="3"/>
      <c r="BX255" s="3"/>
      <c r="BY255" s="3"/>
      <c r="BZ255" s="3"/>
    </row>
    <row r="256" ht="15.75" customHeight="1">
      <c r="BW256" s="3"/>
      <c r="BX256" s="3"/>
      <c r="BY256" s="3"/>
      <c r="BZ256" s="3"/>
    </row>
    <row r="257" ht="15.75" customHeight="1">
      <c r="BW257" s="3"/>
      <c r="BX257" s="3"/>
      <c r="BY257" s="3"/>
      <c r="BZ257" s="3"/>
    </row>
    <row r="258" ht="15.75" customHeight="1">
      <c r="BW258" s="3"/>
      <c r="BX258" s="3"/>
      <c r="BY258" s="3"/>
      <c r="BZ258" s="3"/>
    </row>
    <row r="259" ht="15.75" customHeight="1">
      <c r="BW259" s="3"/>
      <c r="BX259" s="3"/>
      <c r="BY259" s="3"/>
      <c r="BZ259" s="3"/>
    </row>
    <row r="260" ht="15.75" customHeight="1">
      <c r="BW260" s="3"/>
      <c r="BX260" s="3"/>
      <c r="BY260" s="3"/>
      <c r="BZ260" s="3"/>
    </row>
    <row r="261" ht="15.75" customHeight="1">
      <c r="BW261" s="3"/>
      <c r="BX261" s="3"/>
      <c r="BY261" s="3"/>
      <c r="BZ261" s="3"/>
    </row>
    <row r="262" ht="15.75" customHeight="1">
      <c r="BW262" s="3"/>
      <c r="BX262" s="3"/>
      <c r="BY262" s="3"/>
      <c r="BZ262" s="3"/>
    </row>
    <row r="263" ht="15.75" customHeight="1">
      <c r="BW263" s="3"/>
      <c r="BX263" s="3"/>
      <c r="BY263" s="3"/>
      <c r="BZ263" s="3"/>
    </row>
    <row r="264" ht="15.75" customHeight="1">
      <c r="BW264" s="3"/>
      <c r="BX264" s="3"/>
      <c r="BY264" s="3"/>
      <c r="BZ264" s="3"/>
    </row>
    <row r="265" ht="15.75" customHeight="1">
      <c r="BW265" s="3"/>
      <c r="BX265" s="3"/>
      <c r="BY265" s="3"/>
      <c r="BZ265" s="3"/>
    </row>
    <row r="266" ht="15.75" customHeight="1">
      <c r="BW266" s="3"/>
      <c r="BX266" s="3"/>
      <c r="BY266" s="3"/>
      <c r="BZ266" s="3"/>
    </row>
    <row r="267" ht="15.75" customHeight="1">
      <c r="BW267" s="3"/>
      <c r="BX267" s="3"/>
      <c r="BY267" s="3"/>
      <c r="BZ267" s="3"/>
    </row>
    <row r="268" ht="15.75" customHeight="1">
      <c r="BW268" s="3"/>
      <c r="BX268" s="3"/>
      <c r="BY268" s="3"/>
      <c r="BZ268" s="3"/>
    </row>
    <row r="269" ht="15.75" customHeight="1">
      <c r="BW269" s="3"/>
      <c r="BX269" s="3"/>
      <c r="BY269" s="3"/>
      <c r="BZ269" s="3"/>
    </row>
    <row r="270" ht="15.75" customHeight="1">
      <c r="BW270" s="3"/>
      <c r="BX270" s="3"/>
      <c r="BY270" s="3"/>
      <c r="BZ270" s="3"/>
    </row>
    <row r="271" ht="15.75" customHeight="1">
      <c r="BW271" s="3"/>
      <c r="BX271" s="3"/>
      <c r="BY271" s="3"/>
      <c r="BZ271" s="3"/>
    </row>
    <row r="272" ht="15.75" customHeight="1">
      <c r="BW272" s="3"/>
      <c r="BX272" s="3"/>
      <c r="BY272" s="3"/>
      <c r="BZ272" s="3"/>
    </row>
    <row r="273" ht="15.75" customHeight="1">
      <c r="BW273" s="3"/>
      <c r="BX273" s="3"/>
      <c r="BY273" s="3"/>
      <c r="BZ273" s="3"/>
    </row>
    <row r="274" ht="15.75" customHeight="1">
      <c r="BW274" s="3"/>
      <c r="BX274" s="3"/>
      <c r="BY274" s="3"/>
      <c r="BZ274" s="3"/>
    </row>
    <row r="275" ht="15.75" customHeight="1">
      <c r="BW275" s="3"/>
      <c r="BX275" s="3"/>
      <c r="BY275" s="3"/>
      <c r="BZ275" s="3"/>
    </row>
    <row r="276" ht="15.75" customHeight="1">
      <c r="BW276" s="3"/>
      <c r="BX276" s="3"/>
      <c r="BY276" s="3"/>
      <c r="BZ276" s="3"/>
    </row>
    <row r="277" ht="15.75" customHeight="1">
      <c r="BW277" s="3"/>
      <c r="BX277" s="3"/>
      <c r="BY277" s="3"/>
      <c r="BZ277" s="3"/>
    </row>
    <row r="278" ht="15.75" customHeight="1">
      <c r="BW278" s="3"/>
      <c r="BX278" s="3"/>
      <c r="BY278" s="3"/>
      <c r="BZ278" s="3"/>
    </row>
    <row r="279" ht="15.75" customHeight="1">
      <c r="BW279" s="3"/>
      <c r="BX279" s="3"/>
      <c r="BY279" s="3"/>
      <c r="BZ279" s="3"/>
    </row>
    <row r="280" ht="15.75" customHeight="1">
      <c r="BW280" s="3"/>
      <c r="BX280" s="3"/>
      <c r="BY280" s="3"/>
      <c r="BZ280" s="3"/>
    </row>
    <row r="281" ht="15.75" customHeight="1">
      <c r="BW281" s="3"/>
      <c r="BX281" s="3"/>
      <c r="BY281" s="3"/>
      <c r="BZ281" s="3"/>
    </row>
    <row r="282" ht="15.75" customHeight="1">
      <c r="BW282" s="3"/>
      <c r="BX282" s="3"/>
      <c r="BY282" s="3"/>
      <c r="BZ282" s="3"/>
    </row>
    <row r="283" ht="15.75" customHeight="1">
      <c r="BW283" s="3"/>
      <c r="BX283" s="3"/>
      <c r="BY283" s="3"/>
      <c r="BZ283" s="3"/>
    </row>
    <row r="284" ht="15.75" customHeight="1">
      <c r="BW284" s="3"/>
      <c r="BX284" s="3"/>
      <c r="BY284" s="3"/>
      <c r="BZ284" s="3"/>
    </row>
    <row r="285" ht="15.75" customHeight="1">
      <c r="BW285" s="3"/>
      <c r="BX285" s="3"/>
      <c r="BY285" s="3"/>
      <c r="BZ285" s="3"/>
    </row>
    <row r="286" ht="15.75" customHeight="1">
      <c r="BW286" s="3"/>
      <c r="BX286" s="3"/>
      <c r="BY286" s="3"/>
      <c r="BZ286" s="3"/>
    </row>
    <row r="287" ht="15.75" customHeight="1">
      <c r="BW287" s="3"/>
      <c r="BX287" s="3"/>
      <c r="BY287" s="3"/>
      <c r="BZ287" s="3"/>
    </row>
    <row r="288" ht="15.75" customHeight="1">
      <c r="BW288" s="3"/>
      <c r="BX288" s="3"/>
      <c r="BY288" s="3"/>
      <c r="BZ288" s="3"/>
    </row>
    <row r="289" ht="15.75" customHeight="1">
      <c r="BW289" s="3"/>
      <c r="BX289" s="3"/>
      <c r="BY289" s="3"/>
      <c r="BZ289" s="3"/>
    </row>
    <row r="290" ht="15.75" customHeight="1">
      <c r="BW290" s="3"/>
      <c r="BX290" s="3"/>
      <c r="BY290" s="3"/>
      <c r="BZ290" s="3"/>
    </row>
    <row r="291" ht="15.75" customHeight="1">
      <c r="BW291" s="3"/>
      <c r="BX291" s="3"/>
      <c r="BY291" s="3"/>
      <c r="BZ291" s="3"/>
    </row>
    <row r="292" ht="15.75" customHeight="1">
      <c r="BW292" s="3"/>
      <c r="BX292" s="3"/>
      <c r="BY292" s="3"/>
      <c r="BZ292" s="3"/>
    </row>
    <row r="293" ht="15.75" customHeight="1">
      <c r="BW293" s="3"/>
      <c r="BX293" s="3"/>
      <c r="BY293" s="3"/>
      <c r="BZ293" s="3"/>
    </row>
    <row r="294" ht="15.75" customHeight="1">
      <c r="BW294" s="3"/>
      <c r="BX294" s="3"/>
      <c r="BY294" s="3"/>
      <c r="BZ294" s="3"/>
    </row>
    <row r="295" ht="15.75" customHeight="1">
      <c r="BW295" s="3"/>
      <c r="BX295" s="3"/>
      <c r="BY295" s="3"/>
      <c r="BZ295" s="3"/>
    </row>
    <row r="296" ht="15.75" customHeight="1">
      <c r="BW296" s="3"/>
      <c r="BX296" s="3"/>
      <c r="BY296" s="3"/>
      <c r="BZ296" s="3"/>
    </row>
    <row r="297" ht="15.75" customHeight="1">
      <c r="BW297" s="3"/>
      <c r="BX297" s="3"/>
      <c r="BY297" s="3"/>
      <c r="BZ297" s="3"/>
    </row>
    <row r="298" ht="15.75" customHeight="1">
      <c r="BW298" s="3"/>
      <c r="BX298" s="3"/>
      <c r="BY298" s="3"/>
      <c r="BZ298" s="3"/>
    </row>
    <row r="299" ht="15.75" customHeight="1">
      <c r="BW299" s="3"/>
      <c r="BX299" s="3"/>
      <c r="BY299" s="3"/>
      <c r="BZ299" s="3"/>
    </row>
    <row r="300" ht="15.75" customHeight="1">
      <c r="BW300" s="3"/>
      <c r="BX300" s="3"/>
      <c r="BY300" s="3"/>
      <c r="BZ300" s="3"/>
    </row>
    <row r="301" ht="15.75" customHeight="1">
      <c r="BW301" s="3"/>
      <c r="BX301" s="3"/>
      <c r="BY301" s="3"/>
      <c r="BZ301" s="3"/>
    </row>
    <row r="302" ht="15.75" customHeight="1">
      <c r="BW302" s="3"/>
      <c r="BX302" s="3"/>
      <c r="BY302" s="3"/>
      <c r="BZ302" s="3"/>
    </row>
    <row r="303" ht="15.75" customHeight="1">
      <c r="BW303" s="3"/>
      <c r="BX303" s="3"/>
      <c r="BY303" s="3"/>
      <c r="BZ303" s="3"/>
    </row>
    <row r="304" ht="15.75" customHeight="1">
      <c r="BW304" s="3"/>
      <c r="BX304" s="3"/>
      <c r="BY304" s="3"/>
      <c r="BZ304" s="3"/>
    </row>
    <row r="305" ht="15.75" customHeight="1">
      <c r="BW305" s="3"/>
      <c r="BX305" s="3"/>
      <c r="BY305" s="3"/>
      <c r="BZ305" s="3"/>
    </row>
    <row r="306" ht="15.75" customHeight="1">
      <c r="BW306" s="3"/>
      <c r="BX306" s="3"/>
      <c r="BY306" s="3"/>
      <c r="BZ306" s="3"/>
    </row>
    <row r="307" ht="15.75" customHeight="1">
      <c r="BW307" s="3"/>
      <c r="BX307" s="3"/>
      <c r="BY307" s="3"/>
      <c r="BZ307" s="3"/>
    </row>
    <row r="308" ht="15.75" customHeight="1">
      <c r="BW308" s="3"/>
      <c r="BX308" s="3"/>
      <c r="BY308" s="3"/>
      <c r="BZ308" s="3"/>
    </row>
    <row r="309" ht="15.75" customHeight="1">
      <c r="BW309" s="3"/>
      <c r="BX309" s="3"/>
      <c r="BY309" s="3"/>
      <c r="BZ309" s="3"/>
    </row>
    <row r="310" ht="15.75" customHeight="1">
      <c r="BW310" s="3"/>
      <c r="BX310" s="3"/>
      <c r="BY310" s="3"/>
      <c r="BZ310" s="3"/>
    </row>
    <row r="311" ht="15.75" customHeight="1">
      <c r="BW311" s="3"/>
      <c r="BX311" s="3"/>
      <c r="BY311" s="3"/>
      <c r="BZ311" s="3"/>
    </row>
    <row r="312" ht="15.75" customHeight="1">
      <c r="BW312" s="3"/>
      <c r="BX312" s="3"/>
      <c r="BY312" s="3"/>
      <c r="BZ312" s="3"/>
    </row>
    <row r="313" ht="15.75" customHeight="1">
      <c r="BW313" s="3"/>
      <c r="BX313" s="3"/>
      <c r="BY313" s="3"/>
      <c r="BZ313" s="3"/>
    </row>
    <row r="314" ht="15.75" customHeight="1">
      <c r="BW314" s="3"/>
      <c r="BX314" s="3"/>
      <c r="BY314" s="3"/>
      <c r="BZ314" s="3"/>
    </row>
    <row r="315" ht="15.75" customHeight="1">
      <c r="BW315" s="3"/>
      <c r="BX315" s="3"/>
      <c r="BY315" s="3"/>
      <c r="BZ315" s="3"/>
    </row>
    <row r="316" ht="15.75" customHeight="1">
      <c r="BW316" s="3"/>
      <c r="BX316" s="3"/>
      <c r="BY316" s="3"/>
      <c r="BZ316" s="3"/>
    </row>
    <row r="317" ht="15.75" customHeight="1">
      <c r="BW317" s="3"/>
      <c r="BX317" s="3"/>
      <c r="BY317" s="3"/>
      <c r="BZ317" s="3"/>
    </row>
    <row r="318" ht="15.75" customHeight="1">
      <c r="BW318" s="3"/>
      <c r="BX318" s="3"/>
      <c r="BY318" s="3"/>
      <c r="BZ318" s="3"/>
    </row>
    <row r="319" ht="15.75" customHeight="1">
      <c r="BW319" s="3"/>
      <c r="BX319" s="3"/>
      <c r="BY319" s="3"/>
      <c r="BZ319" s="3"/>
    </row>
    <row r="320" ht="15.75" customHeight="1">
      <c r="BW320" s="3"/>
      <c r="BX320" s="3"/>
      <c r="BY320" s="3"/>
      <c r="BZ320" s="3"/>
    </row>
    <row r="321" ht="15.75" customHeight="1">
      <c r="BW321" s="3"/>
      <c r="BX321" s="3"/>
      <c r="BY321" s="3"/>
      <c r="BZ321" s="3"/>
    </row>
    <row r="322" ht="15.75" customHeight="1">
      <c r="BW322" s="3"/>
      <c r="BX322" s="3"/>
      <c r="BY322" s="3"/>
      <c r="BZ322" s="3"/>
    </row>
    <row r="323" ht="15.75" customHeight="1">
      <c r="BW323" s="3"/>
      <c r="BX323" s="3"/>
      <c r="BY323" s="3"/>
      <c r="BZ323" s="3"/>
    </row>
    <row r="324" ht="15.75" customHeight="1">
      <c r="BW324" s="3"/>
      <c r="BX324" s="3"/>
      <c r="BY324" s="3"/>
      <c r="BZ324" s="3"/>
    </row>
    <row r="325" ht="15.75" customHeight="1">
      <c r="BW325" s="3"/>
      <c r="BX325" s="3"/>
      <c r="BY325" s="3"/>
      <c r="BZ325" s="3"/>
    </row>
    <row r="326" ht="15.75" customHeight="1">
      <c r="BW326" s="3"/>
      <c r="BX326" s="3"/>
      <c r="BY326" s="3"/>
      <c r="BZ326" s="3"/>
    </row>
    <row r="327" ht="15.75" customHeight="1">
      <c r="BW327" s="3"/>
      <c r="BX327" s="3"/>
      <c r="BY327" s="3"/>
      <c r="BZ327" s="3"/>
    </row>
    <row r="328" ht="15.75" customHeight="1">
      <c r="BW328" s="3"/>
      <c r="BX328" s="3"/>
      <c r="BY328" s="3"/>
      <c r="BZ328" s="3"/>
    </row>
    <row r="329" ht="15.75" customHeight="1">
      <c r="BW329" s="3"/>
      <c r="BX329" s="3"/>
      <c r="BY329" s="3"/>
      <c r="BZ329" s="3"/>
    </row>
    <row r="330" ht="15.75" customHeight="1">
      <c r="BW330" s="3"/>
      <c r="BX330" s="3"/>
      <c r="BY330" s="3"/>
      <c r="BZ330" s="3"/>
    </row>
    <row r="331" ht="15.75" customHeight="1">
      <c r="BW331" s="3"/>
      <c r="BX331" s="3"/>
      <c r="BY331" s="3"/>
      <c r="BZ331" s="3"/>
    </row>
    <row r="332" ht="15.75" customHeight="1">
      <c r="BW332" s="3"/>
      <c r="BX332" s="3"/>
      <c r="BY332" s="3"/>
      <c r="BZ332" s="3"/>
    </row>
    <row r="333" ht="15.75" customHeight="1">
      <c r="BW333" s="3"/>
      <c r="BX333" s="3"/>
      <c r="BY333" s="3"/>
      <c r="BZ333" s="3"/>
    </row>
    <row r="334" ht="15.75" customHeight="1">
      <c r="BW334" s="3"/>
      <c r="BX334" s="3"/>
      <c r="BY334" s="3"/>
      <c r="BZ334" s="3"/>
    </row>
    <row r="335" ht="15.75" customHeight="1">
      <c r="BW335" s="3"/>
      <c r="BX335" s="3"/>
      <c r="BY335" s="3"/>
      <c r="BZ335" s="3"/>
    </row>
    <row r="336" ht="15.75" customHeight="1">
      <c r="BW336" s="3"/>
      <c r="BX336" s="3"/>
      <c r="BY336" s="3"/>
      <c r="BZ336" s="3"/>
    </row>
    <row r="337" ht="15.75" customHeight="1">
      <c r="BW337" s="3"/>
      <c r="BX337" s="3"/>
      <c r="BY337" s="3"/>
      <c r="BZ337" s="3"/>
    </row>
    <row r="338" ht="15.75" customHeight="1">
      <c r="BW338" s="3"/>
      <c r="BX338" s="3"/>
      <c r="BY338" s="3"/>
      <c r="BZ338" s="3"/>
    </row>
    <row r="339" ht="15.75" customHeight="1">
      <c r="BW339" s="3"/>
      <c r="BX339" s="3"/>
      <c r="BY339" s="3"/>
      <c r="BZ339" s="3"/>
    </row>
    <row r="340" ht="15.75" customHeight="1">
      <c r="BW340" s="3"/>
      <c r="BX340" s="3"/>
      <c r="BY340" s="3"/>
      <c r="BZ340" s="3"/>
    </row>
    <row r="341" ht="15.75" customHeight="1">
      <c r="BW341" s="3"/>
      <c r="BX341" s="3"/>
      <c r="BY341" s="3"/>
      <c r="BZ341" s="3"/>
    </row>
    <row r="342" ht="15.75" customHeight="1">
      <c r="BW342" s="3"/>
      <c r="BX342" s="3"/>
      <c r="BY342" s="3"/>
      <c r="BZ342" s="3"/>
    </row>
    <row r="343" ht="15.75" customHeight="1">
      <c r="BW343" s="3"/>
      <c r="BX343" s="3"/>
      <c r="BY343" s="3"/>
      <c r="BZ343" s="3"/>
    </row>
    <row r="344" ht="15.75" customHeight="1">
      <c r="BW344" s="3"/>
      <c r="BX344" s="3"/>
      <c r="BY344" s="3"/>
      <c r="BZ344" s="3"/>
    </row>
    <row r="345" ht="15.75" customHeight="1">
      <c r="BW345" s="3"/>
      <c r="BX345" s="3"/>
      <c r="BY345" s="3"/>
      <c r="BZ345" s="3"/>
    </row>
    <row r="346" ht="15.75" customHeight="1">
      <c r="BW346" s="3"/>
      <c r="BX346" s="3"/>
      <c r="BY346" s="3"/>
      <c r="BZ346" s="3"/>
    </row>
    <row r="347" ht="15.75" customHeight="1">
      <c r="BW347" s="3"/>
      <c r="BX347" s="3"/>
      <c r="BY347" s="3"/>
      <c r="BZ347" s="3"/>
    </row>
    <row r="348" ht="15.75" customHeight="1">
      <c r="BW348" s="3"/>
      <c r="BX348" s="3"/>
      <c r="BY348" s="3"/>
      <c r="BZ348" s="3"/>
    </row>
    <row r="349" ht="15.75" customHeight="1">
      <c r="BW349" s="3"/>
      <c r="BX349" s="3"/>
      <c r="BY349" s="3"/>
      <c r="BZ349" s="3"/>
    </row>
    <row r="350" ht="15.75" customHeight="1">
      <c r="BW350" s="3"/>
      <c r="BX350" s="3"/>
      <c r="BY350" s="3"/>
      <c r="BZ350" s="3"/>
    </row>
    <row r="351" ht="15.75" customHeight="1">
      <c r="BW351" s="3"/>
      <c r="BX351" s="3"/>
      <c r="BY351" s="3"/>
      <c r="BZ351" s="3"/>
    </row>
    <row r="352" ht="15.75" customHeight="1">
      <c r="BW352" s="3"/>
      <c r="BX352" s="3"/>
      <c r="BY352" s="3"/>
      <c r="BZ352" s="3"/>
    </row>
    <row r="353" ht="15.75" customHeight="1">
      <c r="BW353" s="3"/>
      <c r="BX353" s="3"/>
      <c r="BY353" s="3"/>
      <c r="BZ353" s="3"/>
    </row>
    <row r="354" ht="15.75" customHeight="1">
      <c r="BW354" s="3"/>
      <c r="BX354" s="3"/>
      <c r="BY354" s="3"/>
      <c r="BZ354" s="3"/>
    </row>
    <row r="355" ht="15.75" customHeight="1">
      <c r="BW355" s="3"/>
      <c r="BX355" s="3"/>
      <c r="BY355" s="3"/>
      <c r="BZ355" s="3"/>
    </row>
    <row r="356" ht="15.75" customHeight="1">
      <c r="BW356" s="3"/>
      <c r="BX356" s="3"/>
      <c r="BY356" s="3"/>
      <c r="BZ356" s="3"/>
    </row>
    <row r="357" ht="15.75" customHeight="1">
      <c r="BW357" s="3"/>
      <c r="BX357" s="3"/>
      <c r="BY357" s="3"/>
      <c r="BZ357" s="3"/>
    </row>
    <row r="358" ht="15.75" customHeight="1">
      <c r="BW358" s="3"/>
      <c r="BX358" s="3"/>
      <c r="BY358" s="3"/>
      <c r="BZ358" s="3"/>
    </row>
    <row r="359" ht="15.75" customHeight="1">
      <c r="BW359" s="3"/>
      <c r="BX359" s="3"/>
      <c r="BY359" s="3"/>
      <c r="BZ359" s="3"/>
    </row>
    <row r="360" ht="15.75" customHeight="1">
      <c r="BW360" s="3"/>
      <c r="BX360" s="3"/>
      <c r="BY360" s="3"/>
      <c r="BZ360" s="3"/>
    </row>
    <row r="361" ht="15.75" customHeight="1">
      <c r="BW361" s="3"/>
      <c r="BX361" s="3"/>
      <c r="BY361" s="3"/>
      <c r="BZ361" s="3"/>
    </row>
    <row r="362" ht="15.75" customHeight="1">
      <c r="BW362" s="3"/>
      <c r="BX362" s="3"/>
      <c r="BY362" s="3"/>
      <c r="BZ362" s="3"/>
    </row>
    <row r="363" ht="15.75" customHeight="1">
      <c r="BW363" s="3"/>
      <c r="BX363" s="3"/>
      <c r="BY363" s="3"/>
      <c r="BZ363" s="3"/>
    </row>
    <row r="364" ht="15.75" customHeight="1">
      <c r="BW364" s="3"/>
      <c r="BX364" s="3"/>
      <c r="BY364" s="3"/>
      <c r="BZ364" s="3"/>
    </row>
    <row r="365" ht="15.75" customHeight="1">
      <c r="BW365" s="3"/>
      <c r="BX365" s="3"/>
      <c r="BY365" s="3"/>
      <c r="BZ365" s="3"/>
    </row>
    <row r="366" ht="15.75" customHeight="1">
      <c r="BW366" s="3"/>
      <c r="BX366" s="3"/>
      <c r="BY366" s="3"/>
      <c r="BZ366" s="3"/>
    </row>
    <row r="367" ht="15.75" customHeight="1">
      <c r="BW367" s="3"/>
      <c r="BX367" s="3"/>
      <c r="BY367" s="3"/>
      <c r="BZ367" s="3"/>
    </row>
    <row r="368" ht="15.75" customHeight="1">
      <c r="BW368" s="3"/>
      <c r="BX368" s="3"/>
      <c r="BY368" s="3"/>
      <c r="BZ368" s="3"/>
    </row>
    <row r="369" ht="15.75" customHeight="1">
      <c r="BW369" s="3"/>
      <c r="BX369" s="3"/>
      <c r="BY369" s="3"/>
      <c r="BZ369" s="3"/>
    </row>
    <row r="370" ht="15.75" customHeight="1">
      <c r="BW370" s="3"/>
      <c r="BX370" s="3"/>
      <c r="BY370" s="3"/>
      <c r="BZ370" s="3"/>
    </row>
    <row r="371" ht="15.75" customHeight="1">
      <c r="BW371" s="3"/>
      <c r="BX371" s="3"/>
      <c r="BY371" s="3"/>
      <c r="BZ371" s="3"/>
    </row>
    <row r="372" ht="15.75" customHeight="1">
      <c r="BW372" s="3"/>
      <c r="BX372" s="3"/>
      <c r="BY372" s="3"/>
      <c r="BZ372" s="3"/>
    </row>
    <row r="373" ht="15.75" customHeight="1">
      <c r="BW373" s="3"/>
      <c r="BX373" s="3"/>
      <c r="BY373" s="3"/>
      <c r="BZ373" s="3"/>
    </row>
    <row r="374" ht="15.75" customHeight="1">
      <c r="BW374" s="3"/>
      <c r="BX374" s="3"/>
      <c r="BY374" s="3"/>
      <c r="BZ374" s="3"/>
    </row>
    <row r="375" ht="15.75" customHeight="1">
      <c r="BW375" s="3"/>
      <c r="BX375" s="3"/>
      <c r="BY375" s="3"/>
      <c r="BZ375" s="3"/>
    </row>
    <row r="376" ht="15.75" customHeight="1">
      <c r="BW376" s="3"/>
      <c r="BX376" s="3"/>
      <c r="BY376" s="3"/>
      <c r="BZ376" s="3"/>
    </row>
    <row r="377" ht="15.75" customHeight="1">
      <c r="BW377" s="3"/>
      <c r="BX377" s="3"/>
      <c r="BY377" s="3"/>
      <c r="BZ377" s="3"/>
    </row>
    <row r="378" ht="15.75" customHeight="1">
      <c r="BW378" s="3"/>
      <c r="BX378" s="3"/>
      <c r="BY378" s="3"/>
      <c r="BZ378" s="3"/>
    </row>
    <row r="379" ht="15.75" customHeight="1">
      <c r="BW379" s="3"/>
      <c r="BX379" s="3"/>
      <c r="BY379" s="3"/>
      <c r="BZ379" s="3"/>
    </row>
    <row r="380" ht="15.75" customHeight="1">
      <c r="BW380" s="3"/>
      <c r="BX380" s="3"/>
      <c r="BY380" s="3"/>
      <c r="BZ380" s="3"/>
    </row>
    <row r="381" ht="15.75" customHeight="1">
      <c r="BW381" s="3"/>
      <c r="BX381" s="3"/>
      <c r="BY381" s="3"/>
      <c r="BZ381" s="3"/>
    </row>
    <row r="382" ht="15.75" customHeight="1">
      <c r="BW382" s="3"/>
      <c r="BX382" s="3"/>
      <c r="BY382" s="3"/>
      <c r="BZ382" s="3"/>
    </row>
    <row r="383" ht="15.75" customHeight="1">
      <c r="BW383" s="3"/>
      <c r="BX383" s="3"/>
      <c r="BY383" s="3"/>
      <c r="BZ383" s="3"/>
    </row>
    <row r="384" ht="15.75" customHeight="1">
      <c r="BW384" s="3"/>
      <c r="BX384" s="3"/>
      <c r="BY384" s="3"/>
      <c r="BZ384" s="3"/>
    </row>
    <row r="385" ht="15.75" customHeight="1">
      <c r="BW385" s="3"/>
      <c r="BX385" s="3"/>
      <c r="BY385" s="3"/>
      <c r="BZ385" s="3"/>
    </row>
    <row r="386" ht="15.75" customHeight="1">
      <c r="BW386" s="3"/>
      <c r="BX386" s="3"/>
      <c r="BY386" s="3"/>
      <c r="BZ386" s="3"/>
    </row>
    <row r="387" ht="15.75" customHeight="1">
      <c r="BW387" s="3"/>
      <c r="BX387" s="3"/>
      <c r="BY387" s="3"/>
      <c r="BZ387" s="3"/>
    </row>
    <row r="388" ht="15.75" customHeight="1">
      <c r="BW388" s="3"/>
      <c r="BX388" s="3"/>
      <c r="BY388" s="3"/>
      <c r="BZ388" s="3"/>
    </row>
    <row r="389" ht="15.75" customHeight="1">
      <c r="BW389" s="3"/>
      <c r="BX389" s="3"/>
      <c r="BY389" s="3"/>
      <c r="BZ389" s="3"/>
    </row>
    <row r="390" ht="15.75" customHeight="1">
      <c r="BW390" s="3"/>
      <c r="BX390" s="3"/>
      <c r="BY390" s="3"/>
      <c r="BZ390" s="3"/>
    </row>
    <row r="391" ht="15.75" customHeight="1">
      <c r="BW391" s="3"/>
      <c r="BX391" s="3"/>
      <c r="BY391" s="3"/>
      <c r="BZ391" s="3"/>
    </row>
    <row r="392" ht="15.75" customHeight="1">
      <c r="BW392" s="3"/>
      <c r="BX392" s="3"/>
      <c r="BY392" s="3"/>
      <c r="BZ392" s="3"/>
    </row>
    <row r="393" ht="15.75" customHeight="1">
      <c r="BW393" s="3"/>
      <c r="BX393" s="3"/>
      <c r="BY393" s="3"/>
      <c r="BZ393" s="3"/>
    </row>
    <row r="394" ht="15.75" customHeight="1">
      <c r="BW394" s="3"/>
      <c r="BX394" s="3"/>
      <c r="BY394" s="3"/>
      <c r="BZ394" s="3"/>
    </row>
    <row r="395" ht="15.75" customHeight="1">
      <c r="BW395" s="3"/>
      <c r="BX395" s="3"/>
      <c r="BY395" s="3"/>
      <c r="BZ395" s="3"/>
    </row>
    <row r="396" ht="15.75" customHeight="1">
      <c r="BW396" s="3"/>
      <c r="BX396" s="3"/>
      <c r="BY396" s="3"/>
      <c r="BZ396" s="3"/>
    </row>
    <row r="397" ht="15.75" customHeight="1">
      <c r="BW397" s="3"/>
      <c r="BX397" s="3"/>
      <c r="BY397" s="3"/>
      <c r="BZ397" s="3"/>
    </row>
    <row r="398" ht="15.75" customHeight="1">
      <c r="BW398" s="3"/>
      <c r="BX398" s="3"/>
      <c r="BY398" s="3"/>
      <c r="BZ398" s="3"/>
    </row>
    <row r="399" ht="15.75" customHeight="1">
      <c r="BW399" s="3"/>
      <c r="BX399" s="3"/>
      <c r="BY399" s="3"/>
      <c r="BZ399" s="3"/>
    </row>
    <row r="400" ht="15.75" customHeight="1">
      <c r="BW400" s="3"/>
      <c r="BX400" s="3"/>
      <c r="BY400" s="3"/>
      <c r="BZ400" s="3"/>
    </row>
    <row r="401" ht="15.75" customHeight="1">
      <c r="BW401" s="3"/>
      <c r="BX401" s="3"/>
      <c r="BY401" s="3"/>
      <c r="BZ401" s="3"/>
    </row>
    <row r="402" ht="15.75" customHeight="1">
      <c r="BW402" s="3"/>
      <c r="BX402" s="3"/>
      <c r="BY402" s="3"/>
      <c r="BZ402" s="3"/>
    </row>
    <row r="403" ht="15.75" customHeight="1">
      <c r="BW403" s="3"/>
      <c r="BX403" s="3"/>
      <c r="BY403" s="3"/>
      <c r="BZ403" s="3"/>
    </row>
    <row r="404" ht="15.75" customHeight="1">
      <c r="BW404" s="3"/>
      <c r="BX404" s="3"/>
      <c r="BY404" s="3"/>
      <c r="BZ404" s="3"/>
    </row>
    <row r="405" ht="15.75" customHeight="1">
      <c r="BW405" s="3"/>
      <c r="BX405" s="3"/>
      <c r="BY405" s="3"/>
      <c r="BZ405" s="3"/>
    </row>
    <row r="406" ht="15.75" customHeight="1">
      <c r="BW406" s="3"/>
      <c r="BX406" s="3"/>
      <c r="BY406" s="3"/>
      <c r="BZ406" s="3"/>
    </row>
    <row r="407" ht="15.75" customHeight="1">
      <c r="BW407" s="3"/>
      <c r="BX407" s="3"/>
      <c r="BY407" s="3"/>
      <c r="BZ407" s="3"/>
    </row>
    <row r="408" ht="15.75" customHeight="1">
      <c r="BW408" s="3"/>
      <c r="BX408" s="3"/>
      <c r="BY408" s="3"/>
      <c r="BZ408" s="3"/>
    </row>
    <row r="409" ht="15.75" customHeight="1">
      <c r="BW409" s="3"/>
      <c r="BX409" s="3"/>
      <c r="BY409" s="3"/>
      <c r="BZ409" s="3"/>
    </row>
    <row r="410" ht="15.75" customHeight="1">
      <c r="BW410" s="3"/>
      <c r="BX410" s="3"/>
      <c r="BY410" s="3"/>
      <c r="BZ410" s="3"/>
    </row>
    <row r="411" ht="15.75" customHeight="1">
      <c r="BW411" s="3"/>
      <c r="BX411" s="3"/>
      <c r="BY411" s="3"/>
      <c r="BZ411" s="3"/>
    </row>
    <row r="412" ht="15.75" customHeight="1">
      <c r="BW412" s="3"/>
      <c r="BX412" s="3"/>
      <c r="BY412" s="3"/>
      <c r="BZ412" s="3"/>
    </row>
    <row r="413" ht="15.75" customHeight="1">
      <c r="BW413" s="3"/>
      <c r="BX413" s="3"/>
      <c r="BY413" s="3"/>
      <c r="BZ413" s="3"/>
    </row>
    <row r="414" ht="15.75" customHeight="1">
      <c r="BW414" s="3"/>
      <c r="BX414" s="3"/>
      <c r="BY414" s="3"/>
      <c r="BZ414" s="3"/>
    </row>
    <row r="415" ht="15.75" customHeight="1">
      <c r="BW415" s="3"/>
      <c r="BX415" s="3"/>
      <c r="BY415" s="3"/>
      <c r="BZ415" s="3"/>
    </row>
    <row r="416" ht="15.75" customHeight="1">
      <c r="BW416" s="3"/>
      <c r="BX416" s="3"/>
      <c r="BY416" s="3"/>
      <c r="BZ416" s="3"/>
    </row>
    <row r="417" ht="15.75" customHeight="1">
      <c r="BW417" s="3"/>
      <c r="BX417" s="3"/>
      <c r="BY417" s="3"/>
      <c r="BZ417" s="3"/>
    </row>
    <row r="418" ht="15.75" customHeight="1">
      <c r="BW418" s="3"/>
      <c r="BX418" s="3"/>
      <c r="BY418" s="3"/>
      <c r="BZ418" s="3"/>
    </row>
    <row r="419" ht="15.75" customHeight="1">
      <c r="BW419" s="3"/>
      <c r="BX419" s="3"/>
      <c r="BY419" s="3"/>
      <c r="BZ419" s="3"/>
    </row>
    <row r="420" ht="15.75" customHeight="1">
      <c r="BW420" s="3"/>
      <c r="BX420" s="3"/>
      <c r="BY420" s="3"/>
      <c r="BZ420" s="3"/>
    </row>
    <row r="421" ht="15.75" customHeight="1">
      <c r="BW421" s="3"/>
      <c r="BX421" s="3"/>
      <c r="BY421" s="3"/>
      <c r="BZ421" s="3"/>
    </row>
    <row r="422" ht="15.75" customHeight="1">
      <c r="BW422" s="3"/>
      <c r="BX422" s="3"/>
      <c r="BY422" s="3"/>
      <c r="BZ422" s="3"/>
    </row>
    <row r="423" ht="15.75" customHeight="1">
      <c r="BW423" s="3"/>
      <c r="BX423" s="3"/>
      <c r="BY423" s="3"/>
      <c r="BZ423" s="3"/>
    </row>
    <row r="424" ht="15.75" customHeight="1">
      <c r="BW424" s="3"/>
      <c r="BX424" s="3"/>
      <c r="BY424" s="3"/>
      <c r="BZ424" s="3"/>
    </row>
    <row r="425" ht="15.75" customHeight="1">
      <c r="BW425" s="3"/>
      <c r="BX425" s="3"/>
      <c r="BY425" s="3"/>
      <c r="BZ425" s="3"/>
    </row>
    <row r="426" ht="15.75" customHeight="1">
      <c r="BW426" s="3"/>
      <c r="BX426" s="3"/>
      <c r="BY426" s="3"/>
      <c r="BZ426" s="3"/>
    </row>
    <row r="427" ht="15.75" customHeight="1">
      <c r="BW427" s="3"/>
      <c r="BX427" s="3"/>
      <c r="BY427" s="3"/>
      <c r="BZ427" s="3"/>
    </row>
    <row r="428" ht="15.75" customHeight="1">
      <c r="BW428" s="3"/>
      <c r="BX428" s="3"/>
      <c r="BY428" s="3"/>
      <c r="BZ428" s="3"/>
    </row>
    <row r="429" ht="15.75" customHeight="1">
      <c r="BW429" s="3"/>
      <c r="BX429" s="3"/>
      <c r="BY429" s="3"/>
      <c r="BZ429" s="3"/>
    </row>
    <row r="430" ht="15.75" customHeight="1">
      <c r="BW430" s="3"/>
      <c r="BX430" s="3"/>
      <c r="BY430" s="3"/>
      <c r="BZ430" s="3"/>
    </row>
    <row r="431" ht="15.75" customHeight="1">
      <c r="BW431" s="3"/>
      <c r="BX431" s="3"/>
      <c r="BY431" s="3"/>
      <c r="BZ431" s="3"/>
    </row>
    <row r="432" ht="15.75" customHeight="1">
      <c r="BW432" s="3"/>
      <c r="BX432" s="3"/>
      <c r="BY432" s="3"/>
      <c r="BZ432" s="3"/>
    </row>
    <row r="433" ht="15.75" customHeight="1">
      <c r="BW433" s="3"/>
      <c r="BX433" s="3"/>
      <c r="BY433" s="3"/>
      <c r="BZ433" s="3"/>
    </row>
    <row r="434" ht="15.75" customHeight="1">
      <c r="BW434" s="3"/>
      <c r="BX434" s="3"/>
      <c r="BY434" s="3"/>
      <c r="BZ434" s="3"/>
    </row>
    <row r="435" ht="15.75" customHeight="1">
      <c r="BW435" s="3"/>
      <c r="BX435" s="3"/>
      <c r="BY435" s="3"/>
      <c r="BZ435" s="3"/>
    </row>
    <row r="436" ht="15.75" customHeight="1">
      <c r="BW436" s="3"/>
      <c r="BX436" s="3"/>
      <c r="BY436" s="3"/>
      <c r="BZ436" s="3"/>
    </row>
    <row r="437" ht="15.75" customHeight="1">
      <c r="BW437" s="3"/>
      <c r="BX437" s="3"/>
      <c r="BY437" s="3"/>
      <c r="BZ437" s="3"/>
    </row>
    <row r="438" ht="15.75" customHeight="1">
      <c r="BW438" s="3"/>
      <c r="BX438" s="3"/>
      <c r="BY438" s="3"/>
      <c r="BZ438" s="3"/>
    </row>
    <row r="439" ht="15.75" customHeight="1">
      <c r="BW439" s="3"/>
      <c r="BX439" s="3"/>
      <c r="BY439" s="3"/>
      <c r="BZ439" s="3"/>
    </row>
    <row r="440" ht="15.75" customHeight="1">
      <c r="BW440" s="3"/>
      <c r="BX440" s="3"/>
      <c r="BY440" s="3"/>
      <c r="BZ440" s="3"/>
    </row>
    <row r="441" ht="15.75" customHeight="1">
      <c r="BW441" s="3"/>
      <c r="BX441" s="3"/>
      <c r="BY441" s="3"/>
      <c r="BZ441" s="3"/>
    </row>
    <row r="442" ht="15.75" customHeight="1">
      <c r="BW442" s="3"/>
      <c r="BX442" s="3"/>
      <c r="BY442" s="3"/>
      <c r="BZ442" s="3"/>
    </row>
    <row r="443" ht="15.75" customHeight="1">
      <c r="BW443" s="3"/>
      <c r="BX443" s="3"/>
      <c r="BY443" s="3"/>
      <c r="BZ443" s="3"/>
    </row>
    <row r="444" ht="15.75" customHeight="1">
      <c r="BW444" s="3"/>
      <c r="BX444" s="3"/>
      <c r="BY444" s="3"/>
      <c r="BZ444" s="3"/>
    </row>
    <row r="445" ht="15.75" customHeight="1">
      <c r="BW445" s="3"/>
      <c r="BX445" s="3"/>
      <c r="BY445" s="3"/>
      <c r="BZ445" s="3"/>
    </row>
    <row r="446" ht="15.75" customHeight="1">
      <c r="BW446" s="3"/>
      <c r="BX446" s="3"/>
      <c r="BY446" s="3"/>
      <c r="BZ446" s="3"/>
    </row>
    <row r="447" ht="15.75" customHeight="1">
      <c r="BW447" s="3"/>
      <c r="BX447" s="3"/>
      <c r="BY447" s="3"/>
      <c r="BZ447" s="3"/>
    </row>
    <row r="448" ht="15.75" customHeight="1">
      <c r="BW448" s="3"/>
      <c r="BX448" s="3"/>
      <c r="BY448" s="3"/>
      <c r="BZ448" s="3"/>
    </row>
    <row r="449" ht="15.75" customHeight="1">
      <c r="BW449" s="3"/>
      <c r="BX449" s="3"/>
      <c r="BY449" s="3"/>
      <c r="BZ449" s="3"/>
    </row>
    <row r="450" ht="15.75" customHeight="1">
      <c r="BW450" s="3"/>
      <c r="BX450" s="3"/>
      <c r="BY450" s="3"/>
      <c r="BZ450" s="3"/>
    </row>
    <row r="451" ht="15.75" customHeight="1">
      <c r="BW451" s="3"/>
      <c r="BX451" s="3"/>
      <c r="BY451" s="3"/>
      <c r="BZ451" s="3"/>
    </row>
    <row r="452" ht="15.75" customHeight="1">
      <c r="BW452" s="3"/>
      <c r="BX452" s="3"/>
      <c r="BY452" s="3"/>
      <c r="BZ452" s="3"/>
    </row>
    <row r="453" ht="15.75" customHeight="1">
      <c r="BW453" s="3"/>
      <c r="BX453" s="3"/>
      <c r="BY453" s="3"/>
      <c r="BZ453" s="3"/>
    </row>
    <row r="454" ht="15.75" customHeight="1">
      <c r="BW454" s="3"/>
      <c r="BX454" s="3"/>
      <c r="BY454" s="3"/>
      <c r="BZ454" s="3"/>
    </row>
    <row r="455" ht="15.75" customHeight="1">
      <c r="BW455" s="3"/>
      <c r="BX455" s="3"/>
      <c r="BY455" s="3"/>
      <c r="BZ455" s="3"/>
    </row>
    <row r="456" ht="15.75" customHeight="1">
      <c r="BW456" s="3"/>
      <c r="BX456" s="3"/>
      <c r="BY456" s="3"/>
      <c r="BZ456" s="3"/>
    </row>
    <row r="457" ht="15.75" customHeight="1">
      <c r="BW457" s="3"/>
      <c r="BX457" s="3"/>
      <c r="BY457" s="3"/>
      <c r="BZ457" s="3"/>
    </row>
    <row r="458" ht="15.75" customHeight="1">
      <c r="BW458" s="3"/>
      <c r="BX458" s="3"/>
      <c r="BY458" s="3"/>
      <c r="BZ458" s="3"/>
    </row>
    <row r="459" ht="15.75" customHeight="1">
      <c r="BW459" s="3"/>
      <c r="BX459" s="3"/>
      <c r="BY459" s="3"/>
      <c r="BZ459" s="3"/>
    </row>
    <row r="460" ht="15.75" customHeight="1">
      <c r="BW460" s="3"/>
      <c r="BX460" s="3"/>
      <c r="BY460" s="3"/>
      <c r="BZ460" s="3"/>
    </row>
    <row r="461" ht="15.75" customHeight="1">
      <c r="BW461" s="3"/>
      <c r="BX461" s="3"/>
      <c r="BY461" s="3"/>
      <c r="BZ461" s="3"/>
    </row>
    <row r="462" ht="15.75" customHeight="1">
      <c r="BW462" s="3"/>
      <c r="BX462" s="3"/>
      <c r="BY462" s="3"/>
      <c r="BZ462" s="3"/>
    </row>
    <row r="463" ht="15.75" customHeight="1">
      <c r="BW463" s="3"/>
      <c r="BX463" s="3"/>
      <c r="BY463" s="3"/>
      <c r="BZ463" s="3"/>
    </row>
    <row r="464" ht="15.75" customHeight="1">
      <c r="BW464" s="3"/>
      <c r="BX464" s="3"/>
      <c r="BY464" s="3"/>
      <c r="BZ464" s="3"/>
    </row>
    <row r="465" ht="15.75" customHeight="1">
      <c r="BW465" s="3"/>
      <c r="BX465" s="3"/>
      <c r="BY465" s="3"/>
      <c r="BZ465" s="3"/>
    </row>
    <row r="466" ht="15.75" customHeight="1">
      <c r="BW466" s="3"/>
      <c r="BX466" s="3"/>
      <c r="BY466" s="3"/>
      <c r="BZ466" s="3"/>
    </row>
    <row r="467" ht="15.75" customHeight="1">
      <c r="BW467" s="3"/>
      <c r="BX467" s="3"/>
      <c r="BY467" s="3"/>
      <c r="BZ467" s="3"/>
    </row>
    <row r="468" ht="15.75" customHeight="1">
      <c r="BW468" s="3"/>
      <c r="BX468" s="3"/>
      <c r="BY468" s="3"/>
      <c r="BZ468" s="3"/>
    </row>
    <row r="469" ht="15.75" customHeight="1">
      <c r="BW469" s="3"/>
      <c r="BX469" s="3"/>
      <c r="BY469" s="3"/>
      <c r="BZ469" s="3"/>
    </row>
    <row r="470" ht="15.75" customHeight="1">
      <c r="BW470" s="3"/>
      <c r="BX470" s="3"/>
      <c r="BY470" s="3"/>
      <c r="BZ470" s="3"/>
    </row>
    <row r="471" ht="15.75" customHeight="1">
      <c r="BW471" s="3"/>
      <c r="BX471" s="3"/>
      <c r="BY471" s="3"/>
      <c r="BZ471" s="3"/>
    </row>
    <row r="472" ht="15.75" customHeight="1">
      <c r="BW472" s="3"/>
      <c r="BX472" s="3"/>
      <c r="BY472" s="3"/>
      <c r="BZ472" s="3"/>
    </row>
    <row r="473" ht="15.75" customHeight="1">
      <c r="BW473" s="3"/>
      <c r="BX473" s="3"/>
      <c r="BY473" s="3"/>
      <c r="BZ473" s="3"/>
    </row>
    <row r="474" ht="15.75" customHeight="1">
      <c r="BW474" s="3"/>
      <c r="BX474" s="3"/>
      <c r="BY474" s="3"/>
      <c r="BZ474" s="3"/>
    </row>
    <row r="475" ht="15.75" customHeight="1">
      <c r="BW475" s="3"/>
      <c r="BX475" s="3"/>
      <c r="BY475" s="3"/>
      <c r="BZ475" s="3"/>
    </row>
    <row r="476" ht="15.75" customHeight="1">
      <c r="BW476" s="3"/>
      <c r="BX476" s="3"/>
      <c r="BY476" s="3"/>
      <c r="BZ476" s="3"/>
    </row>
    <row r="477" ht="15.75" customHeight="1">
      <c r="BW477" s="3"/>
      <c r="BX477" s="3"/>
      <c r="BY477" s="3"/>
      <c r="BZ477" s="3"/>
    </row>
    <row r="478" ht="15.75" customHeight="1">
      <c r="BW478" s="3"/>
      <c r="BX478" s="3"/>
      <c r="BY478" s="3"/>
      <c r="BZ478" s="3"/>
    </row>
    <row r="479" ht="15.75" customHeight="1">
      <c r="BW479" s="3"/>
      <c r="BX479" s="3"/>
      <c r="BY479" s="3"/>
      <c r="BZ479" s="3"/>
    </row>
    <row r="480" ht="15.75" customHeight="1">
      <c r="BW480" s="3"/>
      <c r="BX480" s="3"/>
      <c r="BY480" s="3"/>
      <c r="BZ480" s="3"/>
    </row>
    <row r="481" ht="15.75" customHeight="1">
      <c r="BW481" s="3"/>
      <c r="BX481" s="3"/>
      <c r="BY481" s="3"/>
      <c r="BZ481" s="3"/>
    </row>
    <row r="482" ht="15.75" customHeight="1">
      <c r="BW482" s="3"/>
      <c r="BX482" s="3"/>
      <c r="BY482" s="3"/>
      <c r="BZ482" s="3"/>
    </row>
    <row r="483" ht="15.75" customHeight="1">
      <c r="BW483" s="3"/>
      <c r="BX483" s="3"/>
      <c r="BY483" s="3"/>
      <c r="BZ483" s="3"/>
    </row>
    <row r="484" ht="15.75" customHeight="1">
      <c r="BW484" s="3"/>
      <c r="BX484" s="3"/>
      <c r="BY484" s="3"/>
      <c r="BZ484" s="3"/>
    </row>
    <row r="485" ht="15.75" customHeight="1">
      <c r="BW485" s="3"/>
      <c r="BX485" s="3"/>
      <c r="BY485" s="3"/>
      <c r="BZ485" s="3"/>
    </row>
    <row r="486" ht="15.75" customHeight="1">
      <c r="BW486" s="3"/>
      <c r="BX486" s="3"/>
      <c r="BY486" s="3"/>
      <c r="BZ486" s="3"/>
    </row>
    <row r="487" ht="15.75" customHeight="1">
      <c r="BW487" s="3"/>
      <c r="BX487" s="3"/>
      <c r="BY487" s="3"/>
      <c r="BZ487" s="3"/>
    </row>
    <row r="488" ht="15.75" customHeight="1">
      <c r="BW488" s="3"/>
      <c r="BX488" s="3"/>
      <c r="BY488" s="3"/>
      <c r="BZ488" s="3"/>
    </row>
    <row r="489" ht="15.75" customHeight="1">
      <c r="BW489" s="3"/>
      <c r="BX489" s="3"/>
      <c r="BY489" s="3"/>
      <c r="BZ489" s="3"/>
    </row>
    <row r="490" ht="15.75" customHeight="1">
      <c r="BW490" s="3"/>
      <c r="BX490" s="3"/>
      <c r="BY490" s="3"/>
      <c r="BZ490" s="3"/>
    </row>
    <row r="491" ht="15.75" customHeight="1">
      <c r="BW491" s="3"/>
      <c r="BX491" s="3"/>
      <c r="BY491" s="3"/>
      <c r="BZ491" s="3"/>
    </row>
    <row r="492" ht="15.75" customHeight="1">
      <c r="BW492" s="3"/>
      <c r="BX492" s="3"/>
      <c r="BY492" s="3"/>
      <c r="BZ492" s="3"/>
    </row>
    <row r="493" ht="15.75" customHeight="1">
      <c r="BW493" s="3"/>
      <c r="BX493" s="3"/>
      <c r="BY493" s="3"/>
      <c r="BZ493" s="3"/>
    </row>
    <row r="494" ht="15.75" customHeight="1">
      <c r="BW494" s="3"/>
      <c r="BX494" s="3"/>
      <c r="BY494" s="3"/>
      <c r="BZ494" s="3"/>
    </row>
    <row r="495" ht="15.75" customHeight="1">
      <c r="BW495" s="3"/>
      <c r="BX495" s="3"/>
      <c r="BY495" s="3"/>
      <c r="BZ495" s="3"/>
    </row>
    <row r="496" ht="15.75" customHeight="1">
      <c r="BW496" s="3"/>
      <c r="BX496" s="3"/>
      <c r="BY496" s="3"/>
      <c r="BZ496" s="3"/>
    </row>
    <row r="497" ht="15.75" customHeight="1">
      <c r="BW497" s="3"/>
      <c r="BX497" s="3"/>
      <c r="BY497" s="3"/>
      <c r="BZ497" s="3"/>
    </row>
    <row r="498" ht="15.75" customHeight="1">
      <c r="BW498" s="3"/>
      <c r="BX498" s="3"/>
      <c r="BY498" s="3"/>
      <c r="BZ498" s="3"/>
    </row>
    <row r="499" ht="15.75" customHeight="1">
      <c r="BW499" s="3"/>
      <c r="BX499" s="3"/>
      <c r="BY499" s="3"/>
      <c r="BZ499" s="3"/>
    </row>
    <row r="500" ht="15.75" customHeight="1">
      <c r="BW500" s="3"/>
      <c r="BX500" s="3"/>
      <c r="BY500" s="3"/>
      <c r="BZ500" s="3"/>
    </row>
    <row r="501" ht="15.75" customHeight="1">
      <c r="BW501" s="3"/>
      <c r="BX501" s="3"/>
      <c r="BY501" s="3"/>
      <c r="BZ501" s="3"/>
    </row>
    <row r="502" ht="15.75" customHeight="1">
      <c r="BW502" s="3"/>
      <c r="BX502" s="3"/>
      <c r="BY502" s="3"/>
      <c r="BZ502" s="3"/>
    </row>
    <row r="503" ht="15.75" customHeight="1">
      <c r="BW503" s="3"/>
      <c r="BX503" s="3"/>
      <c r="BY503" s="3"/>
      <c r="BZ503" s="3"/>
    </row>
    <row r="504" ht="15.75" customHeight="1">
      <c r="BW504" s="3"/>
      <c r="BX504" s="3"/>
      <c r="BY504" s="3"/>
      <c r="BZ504" s="3"/>
    </row>
    <row r="505" ht="15.75" customHeight="1">
      <c r="BW505" s="3"/>
      <c r="BX505" s="3"/>
      <c r="BY505" s="3"/>
      <c r="BZ505" s="3"/>
    </row>
    <row r="506" ht="15.75" customHeight="1">
      <c r="BW506" s="3"/>
      <c r="BX506" s="3"/>
      <c r="BY506" s="3"/>
      <c r="BZ506" s="3"/>
    </row>
    <row r="507" ht="15.75" customHeight="1">
      <c r="BW507" s="3"/>
      <c r="BX507" s="3"/>
      <c r="BY507" s="3"/>
      <c r="BZ507" s="3"/>
    </row>
    <row r="508" ht="15.75" customHeight="1">
      <c r="BW508" s="3"/>
      <c r="BX508" s="3"/>
      <c r="BY508" s="3"/>
      <c r="BZ508" s="3"/>
    </row>
    <row r="509" ht="15.75" customHeight="1">
      <c r="BW509" s="3"/>
      <c r="BX509" s="3"/>
      <c r="BY509" s="3"/>
      <c r="BZ509" s="3"/>
    </row>
    <row r="510" ht="15.75" customHeight="1">
      <c r="BW510" s="3"/>
      <c r="BX510" s="3"/>
      <c r="BY510" s="3"/>
      <c r="BZ510" s="3"/>
    </row>
    <row r="511" ht="15.75" customHeight="1">
      <c r="BW511" s="3"/>
      <c r="BX511" s="3"/>
      <c r="BY511" s="3"/>
      <c r="BZ511" s="3"/>
    </row>
    <row r="512" ht="15.75" customHeight="1">
      <c r="BW512" s="3"/>
      <c r="BX512" s="3"/>
      <c r="BY512" s="3"/>
      <c r="BZ512" s="3"/>
    </row>
    <row r="513" ht="15.75" customHeight="1">
      <c r="BW513" s="3"/>
      <c r="BX513" s="3"/>
      <c r="BY513" s="3"/>
      <c r="BZ513" s="3"/>
    </row>
    <row r="514" ht="15.75" customHeight="1">
      <c r="BW514" s="3"/>
      <c r="BX514" s="3"/>
      <c r="BY514" s="3"/>
      <c r="BZ514" s="3"/>
    </row>
    <row r="515" ht="15.75" customHeight="1">
      <c r="BW515" s="3"/>
      <c r="BX515" s="3"/>
      <c r="BY515" s="3"/>
      <c r="BZ515" s="3"/>
    </row>
    <row r="516" ht="15.75" customHeight="1">
      <c r="BW516" s="3"/>
      <c r="BX516" s="3"/>
      <c r="BY516" s="3"/>
      <c r="BZ516" s="3"/>
    </row>
    <row r="517" ht="15.75" customHeight="1">
      <c r="BW517" s="3"/>
      <c r="BX517" s="3"/>
      <c r="BY517" s="3"/>
      <c r="BZ517" s="3"/>
    </row>
    <row r="518" ht="15.75" customHeight="1">
      <c r="BW518" s="3"/>
      <c r="BX518" s="3"/>
      <c r="BY518" s="3"/>
      <c r="BZ518" s="3"/>
    </row>
    <row r="519" ht="15.75" customHeight="1">
      <c r="BW519" s="3"/>
      <c r="BX519" s="3"/>
      <c r="BY519" s="3"/>
      <c r="BZ519" s="3"/>
    </row>
    <row r="520" ht="15.75" customHeight="1">
      <c r="BW520" s="3"/>
      <c r="BX520" s="3"/>
      <c r="BY520" s="3"/>
      <c r="BZ520" s="3"/>
    </row>
    <row r="521" ht="15.75" customHeight="1">
      <c r="BW521" s="3"/>
      <c r="BX521" s="3"/>
      <c r="BY521" s="3"/>
      <c r="BZ521" s="3"/>
    </row>
    <row r="522" ht="15.75" customHeight="1">
      <c r="BW522" s="3"/>
      <c r="BX522" s="3"/>
      <c r="BY522" s="3"/>
      <c r="BZ522" s="3"/>
    </row>
    <row r="523" ht="15.75" customHeight="1">
      <c r="BW523" s="3"/>
      <c r="BX523" s="3"/>
      <c r="BY523" s="3"/>
      <c r="BZ523" s="3"/>
    </row>
    <row r="524" ht="15.75" customHeight="1">
      <c r="BW524" s="3"/>
      <c r="BX524" s="3"/>
      <c r="BY524" s="3"/>
      <c r="BZ524" s="3"/>
    </row>
    <row r="525" ht="15.75" customHeight="1">
      <c r="BW525" s="3"/>
      <c r="BX525" s="3"/>
      <c r="BY525" s="3"/>
      <c r="BZ525" s="3"/>
    </row>
    <row r="526" ht="15.75" customHeight="1">
      <c r="BW526" s="3"/>
      <c r="BX526" s="3"/>
      <c r="BY526" s="3"/>
      <c r="BZ526" s="3"/>
    </row>
    <row r="527" ht="15.75" customHeight="1">
      <c r="BW527" s="3"/>
      <c r="BX527" s="3"/>
      <c r="BY527" s="3"/>
      <c r="BZ527" s="3"/>
    </row>
    <row r="528" ht="15.75" customHeight="1">
      <c r="BW528" s="3"/>
      <c r="BX528" s="3"/>
      <c r="BY528" s="3"/>
      <c r="BZ528" s="3"/>
    </row>
    <row r="529" ht="15.75" customHeight="1">
      <c r="BW529" s="3"/>
      <c r="BX529" s="3"/>
      <c r="BY529" s="3"/>
      <c r="BZ529" s="3"/>
    </row>
    <row r="530" ht="15.75" customHeight="1">
      <c r="BW530" s="3"/>
      <c r="BX530" s="3"/>
      <c r="BY530" s="3"/>
      <c r="BZ530" s="3"/>
    </row>
    <row r="531" ht="15.75" customHeight="1">
      <c r="BW531" s="3"/>
      <c r="BX531" s="3"/>
      <c r="BY531" s="3"/>
      <c r="BZ531" s="3"/>
    </row>
    <row r="532" ht="15.75" customHeight="1">
      <c r="BW532" s="3"/>
      <c r="BX532" s="3"/>
      <c r="BY532" s="3"/>
      <c r="BZ532" s="3"/>
    </row>
    <row r="533" ht="15.75" customHeight="1">
      <c r="BW533" s="3"/>
      <c r="BX533" s="3"/>
      <c r="BY533" s="3"/>
      <c r="BZ533" s="3"/>
    </row>
    <row r="534" ht="15.75" customHeight="1">
      <c r="BW534" s="3"/>
      <c r="BX534" s="3"/>
      <c r="BY534" s="3"/>
      <c r="BZ534" s="3"/>
    </row>
    <row r="535" ht="15.75" customHeight="1">
      <c r="BW535" s="3"/>
      <c r="BX535" s="3"/>
      <c r="BY535" s="3"/>
      <c r="BZ535" s="3"/>
    </row>
    <row r="536" ht="15.75" customHeight="1">
      <c r="BW536" s="3"/>
      <c r="BX536" s="3"/>
      <c r="BY536" s="3"/>
      <c r="BZ536" s="3"/>
    </row>
    <row r="537" ht="15.75" customHeight="1">
      <c r="BW537" s="3"/>
      <c r="BX537" s="3"/>
      <c r="BY537" s="3"/>
      <c r="BZ537" s="3"/>
    </row>
    <row r="538" ht="15.75" customHeight="1">
      <c r="BW538" s="3"/>
      <c r="BX538" s="3"/>
      <c r="BY538" s="3"/>
      <c r="BZ538" s="3"/>
    </row>
    <row r="539" ht="15.75" customHeight="1">
      <c r="BW539" s="3"/>
      <c r="BX539" s="3"/>
      <c r="BY539" s="3"/>
      <c r="BZ539" s="3"/>
    </row>
    <row r="540" ht="15.75" customHeight="1">
      <c r="BW540" s="3"/>
      <c r="BX540" s="3"/>
      <c r="BY540" s="3"/>
      <c r="BZ540" s="3"/>
    </row>
    <row r="541" ht="15.75" customHeight="1">
      <c r="BW541" s="3"/>
      <c r="BX541" s="3"/>
      <c r="BY541" s="3"/>
      <c r="BZ541" s="3"/>
    </row>
    <row r="542" ht="15.75" customHeight="1">
      <c r="BW542" s="3"/>
      <c r="BX542" s="3"/>
      <c r="BY542" s="3"/>
      <c r="BZ542" s="3"/>
    </row>
    <row r="543" ht="15.75" customHeight="1">
      <c r="BW543" s="3"/>
      <c r="BX543" s="3"/>
      <c r="BY543" s="3"/>
      <c r="BZ543" s="3"/>
    </row>
    <row r="544" ht="15.75" customHeight="1">
      <c r="BW544" s="3"/>
      <c r="BX544" s="3"/>
      <c r="BY544" s="3"/>
      <c r="BZ544" s="3"/>
    </row>
    <row r="545" ht="15.75" customHeight="1">
      <c r="BW545" s="3"/>
      <c r="BX545" s="3"/>
      <c r="BY545" s="3"/>
      <c r="BZ545" s="3"/>
    </row>
    <row r="546" ht="15.75" customHeight="1">
      <c r="BW546" s="3"/>
      <c r="BX546" s="3"/>
      <c r="BY546" s="3"/>
      <c r="BZ546" s="3"/>
    </row>
    <row r="547" ht="15.75" customHeight="1">
      <c r="BW547" s="3"/>
      <c r="BX547" s="3"/>
      <c r="BY547" s="3"/>
      <c r="BZ547" s="3"/>
    </row>
    <row r="548" ht="15.75" customHeight="1">
      <c r="BW548" s="3"/>
      <c r="BX548" s="3"/>
      <c r="BY548" s="3"/>
      <c r="BZ548" s="3"/>
    </row>
    <row r="549" ht="15.75" customHeight="1">
      <c r="BW549" s="3"/>
      <c r="BX549" s="3"/>
      <c r="BY549" s="3"/>
      <c r="BZ549" s="3"/>
    </row>
    <row r="550" ht="15.75" customHeight="1">
      <c r="BW550" s="3"/>
      <c r="BX550" s="3"/>
      <c r="BY550" s="3"/>
      <c r="BZ550" s="3"/>
    </row>
    <row r="551" ht="15.75" customHeight="1">
      <c r="BW551" s="3"/>
      <c r="BX551" s="3"/>
      <c r="BY551" s="3"/>
      <c r="BZ551" s="3"/>
    </row>
    <row r="552" ht="15.75" customHeight="1">
      <c r="BW552" s="3"/>
      <c r="BX552" s="3"/>
      <c r="BY552" s="3"/>
      <c r="BZ552" s="3"/>
    </row>
    <row r="553" ht="15.75" customHeight="1">
      <c r="BW553" s="3"/>
      <c r="BX553" s="3"/>
      <c r="BY553" s="3"/>
      <c r="BZ553" s="3"/>
    </row>
    <row r="554" ht="15.75" customHeight="1">
      <c r="BW554" s="3"/>
      <c r="BX554" s="3"/>
      <c r="BY554" s="3"/>
      <c r="BZ554" s="3"/>
    </row>
    <row r="555" ht="15.75" customHeight="1">
      <c r="BW555" s="3"/>
      <c r="BX555" s="3"/>
      <c r="BY555" s="3"/>
      <c r="BZ555" s="3"/>
    </row>
    <row r="556" ht="15.75" customHeight="1">
      <c r="BW556" s="3"/>
      <c r="BX556" s="3"/>
      <c r="BY556" s="3"/>
      <c r="BZ556" s="3"/>
    </row>
    <row r="557" ht="15.75" customHeight="1">
      <c r="BW557" s="3"/>
      <c r="BX557" s="3"/>
      <c r="BY557" s="3"/>
      <c r="BZ557" s="3"/>
    </row>
    <row r="558" ht="15.75" customHeight="1">
      <c r="BW558" s="3"/>
      <c r="BX558" s="3"/>
      <c r="BY558" s="3"/>
      <c r="BZ558" s="3"/>
    </row>
    <row r="559" ht="15.75" customHeight="1">
      <c r="BW559" s="3"/>
      <c r="BX559" s="3"/>
      <c r="BY559" s="3"/>
      <c r="BZ559" s="3"/>
    </row>
    <row r="560" ht="15.75" customHeight="1">
      <c r="BW560" s="3"/>
      <c r="BX560" s="3"/>
      <c r="BY560" s="3"/>
      <c r="BZ560" s="3"/>
    </row>
    <row r="561" ht="15.75" customHeight="1">
      <c r="BW561" s="3"/>
      <c r="BX561" s="3"/>
      <c r="BY561" s="3"/>
      <c r="BZ561" s="3"/>
    </row>
    <row r="562" ht="15.75" customHeight="1">
      <c r="BW562" s="3"/>
      <c r="BX562" s="3"/>
      <c r="BY562" s="3"/>
      <c r="BZ562" s="3"/>
    </row>
    <row r="563" ht="15.75" customHeight="1">
      <c r="BW563" s="3"/>
      <c r="BX563" s="3"/>
      <c r="BY563" s="3"/>
      <c r="BZ563" s="3"/>
    </row>
    <row r="564" ht="15.75" customHeight="1">
      <c r="BW564" s="3"/>
      <c r="BX564" s="3"/>
      <c r="BY564" s="3"/>
      <c r="BZ564" s="3"/>
    </row>
    <row r="565" ht="15.75" customHeight="1">
      <c r="BW565" s="3"/>
      <c r="BX565" s="3"/>
      <c r="BY565" s="3"/>
      <c r="BZ565" s="3"/>
    </row>
    <row r="566" ht="15.75" customHeight="1">
      <c r="BW566" s="3"/>
      <c r="BX566" s="3"/>
      <c r="BY566" s="3"/>
      <c r="BZ566" s="3"/>
    </row>
    <row r="567" ht="15.75" customHeight="1">
      <c r="BW567" s="3"/>
      <c r="BX567" s="3"/>
      <c r="BY567" s="3"/>
      <c r="BZ567" s="3"/>
    </row>
    <row r="568" ht="15.75" customHeight="1">
      <c r="BW568" s="3"/>
      <c r="BX568" s="3"/>
      <c r="BY568" s="3"/>
      <c r="BZ568" s="3"/>
    </row>
    <row r="569" ht="15.75" customHeight="1">
      <c r="BW569" s="3"/>
      <c r="BX569" s="3"/>
      <c r="BY569" s="3"/>
      <c r="BZ569" s="3"/>
    </row>
    <row r="570" ht="15.75" customHeight="1">
      <c r="BW570" s="3"/>
      <c r="BX570" s="3"/>
      <c r="BY570" s="3"/>
      <c r="BZ570" s="3"/>
    </row>
    <row r="571" ht="15.75" customHeight="1">
      <c r="BW571" s="3"/>
      <c r="BX571" s="3"/>
      <c r="BY571" s="3"/>
      <c r="BZ571" s="3"/>
    </row>
    <row r="572" ht="15.75" customHeight="1">
      <c r="BW572" s="3"/>
      <c r="BX572" s="3"/>
      <c r="BY572" s="3"/>
      <c r="BZ572" s="3"/>
    </row>
    <row r="573" ht="15.75" customHeight="1">
      <c r="BW573" s="3"/>
      <c r="BX573" s="3"/>
      <c r="BY573" s="3"/>
      <c r="BZ573" s="3"/>
    </row>
    <row r="574" ht="15.75" customHeight="1">
      <c r="BW574" s="3"/>
      <c r="BX574" s="3"/>
      <c r="BY574" s="3"/>
      <c r="BZ574" s="3"/>
    </row>
    <row r="575" ht="15.75" customHeight="1">
      <c r="BW575" s="3"/>
      <c r="BX575" s="3"/>
      <c r="BY575" s="3"/>
      <c r="BZ575" s="3"/>
    </row>
    <row r="576" ht="15.75" customHeight="1">
      <c r="BW576" s="3"/>
      <c r="BX576" s="3"/>
      <c r="BY576" s="3"/>
      <c r="BZ576" s="3"/>
    </row>
    <row r="577" ht="15.75" customHeight="1">
      <c r="BW577" s="3"/>
      <c r="BX577" s="3"/>
      <c r="BY577" s="3"/>
      <c r="BZ577" s="3"/>
    </row>
    <row r="578" ht="15.75" customHeight="1">
      <c r="BW578" s="3"/>
      <c r="BX578" s="3"/>
      <c r="BY578" s="3"/>
      <c r="BZ578" s="3"/>
    </row>
    <row r="579" ht="15.75" customHeight="1">
      <c r="BW579" s="3"/>
      <c r="BX579" s="3"/>
      <c r="BY579" s="3"/>
      <c r="BZ579" s="3"/>
    </row>
    <row r="580" ht="15.75" customHeight="1">
      <c r="BW580" s="3"/>
      <c r="BX580" s="3"/>
      <c r="BY580" s="3"/>
      <c r="BZ580" s="3"/>
    </row>
    <row r="581" ht="15.75" customHeight="1">
      <c r="BW581" s="3"/>
      <c r="BX581" s="3"/>
      <c r="BY581" s="3"/>
      <c r="BZ581" s="3"/>
    </row>
    <row r="582" ht="15.75" customHeight="1">
      <c r="BW582" s="3"/>
      <c r="BX582" s="3"/>
      <c r="BY582" s="3"/>
      <c r="BZ582" s="3"/>
    </row>
    <row r="583" ht="15.75" customHeight="1">
      <c r="BW583" s="3"/>
      <c r="BX583" s="3"/>
      <c r="BY583" s="3"/>
      <c r="BZ583" s="3"/>
    </row>
    <row r="584" ht="15.75" customHeight="1">
      <c r="BW584" s="3"/>
      <c r="BX584" s="3"/>
      <c r="BY584" s="3"/>
      <c r="BZ584" s="3"/>
    </row>
    <row r="585" ht="15.75" customHeight="1">
      <c r="BW585" s="3"/>
      <c r="BX585" s="3"/>
      <c r="BY585" s="3"/>
      <c r="BZ585" s="3"/>
    </row>
    <row r="586" ht="15.75" customHeight="1">
      <c r="BW586" s="3"/>
      <c r="BX586" s="3"/>
      <c r="BY586" s="3"/>
      <c r="BZ586" s="3"/>
    </row>
    <row r="587" ht="15.75" customHeight="1">
      <c r="BW587" s="3"/>
      <c r="BX587" s="3"/>
      <c r="BY587" s="3"/>
      <c r="BZ587" s="3"/>
    </row>
    <row r="588" ht="15.75" customHeight="1">
      <c r="BW588" s="3"/>
      <c r="BX588" s="3"/>
      <c r="BY588" s="3"/>
      <c r="BZ588" s="3"/>
    </row>
    <row r="589" ht="15.75" customHeight="1">
      <c r="BW589" s="3"/>
      <c r="BX589" s="3"/>
      <c r="BY589" s="3"/>
      <c r="BZ589" s="3"/>
    </row>
    <row r="590" ht="15.75" customHeight="1">
      <c r="BW590" s="3"/>
      <c r="BX590" s="3"/>
      <c r="BY590" s="3"/>
      <c r="BZ590" s="3"/>
    </row>
    <row r="591" ht="15.75" customHeight="1">
      <c r="BW591" s="3"/>
      <c r="BX591" s="3"/>
      <c r="BY591" s="3"/>
      <c r="BZ591" s="3"/>
    </row>
    <row r="592" ht="15.75" customHeight="1">
      <c r="BW592" s="3"/>
      <c r="BX592" s="3"/>
      <c r="BY592" s="3"/>
      <c r="BZ592" s="3"/>
    </row>
    <row r="593" ht="15.75" customHeight="1">
      <c r="BW593" s="3"/>
      <c r="BX593" s="3"/>
      <c r="BY593" s="3"/>
      <c r="BZ593" s="3"/>
    </row>
    <row r="594" ht="15.75" customHeight="1">
      <c r="BW594" s="3"/>
      <c r="BX594" s="3"/>
      <c r="BY594" s="3"/>
      <c r="BZ594" s="3"/>
    </row>
    <row r="595" ht="15.75" customHeight="1">
      <c r="BW595" s="3"/>
      <c r="BX595" s="3"/>
      <c r="BY595" s="3"/>
      <c r="BZ595" s="3"/>
    </row>
    <row r="596" ht="15.75" customHeight="1">
      <c r="BW596" s="3"/>
      <c r="BX596" s="3"/>
      <c r="BY596" s="3"/>
      <c r="BZ596" s="3"/>
    </row>
    <row r="597" ht="15.75" customHeight="1">
      <c r="BW597" s="3"/>
      <c r="BX597" s="3"/>
      <c r="BY597" s="3"/>
      <c r="BZ597" s="3"/>
    </row>
    <row r="598" ht="15.75" customHeight="1">
      <c r="BW598" s="3"/>
      <c r="BX598" s="3"/>
      <c r="BY598" s="3"/>
      <c r="BZ598" s="3"/>
    </row>
    <row r="599" ht="15.75" customHeight="1">
      <c r="BW599" s="3"/>
      <c r="BX599" s="3"/>
      <c r="BY599" s="3"/>
      <c r="BZ599" s="3"/>
    </row>
    <row r="600" ht="15.75" customHeight="1">
      <c r="BW600" s="3"/>
      <c r="BX600" s="3"/>
      <c r="BY600" s="3"/>
      <c r="BZ600" s="3"/>
    </row>
    <row r="601" ht="15.75" customHeight="1">
      <c r="BW601" s="3"/>
      <c r="BX601" s="3"/>
      <c r="BY601" s="3"/>
      <c r="BZ601" s="3"/>
    </row>
    <row r="602" ht="15.75" customHeight="1">
      <c r="BW602" s="3"/>
      <c r="BX602" s="3"/>
      <c r="BY602" s="3"/>
      <c r="BZ602" s="3"/>
    </row>
    <row r="603" ht="15.75" customHeight="1">
      <c r="BW603" s="3"/>
      <c r="BX603" s="3"/>
      <c r="BY603" s="3"/>
      <c r="BZ603" s="3"/>
    </row>
    <row r="604" ht="15.75" customHeight="1">
      <c r="BW604" s="3"/>
      <c r="BX604" s="3"/>
      <c r="BY604" s="3"/>
      <c r="BZ604" s="3"/>
    </row>
    <row r="605" ht="15.75" customHeight="1">
      <c r="BW605" s="3"/>
      <c r="BX605" s="3"/>
      <c r="BY605" s="3"/>
      <c r="BZ605" s="3"/>
    </row>
    <row r="606" ht="15.75" customHeight="1">
      <c r="BW606" s="3"/>
      <c r="BX606" s="3"/>
      <c r="BY606" s="3"/>
      <c r="BZ606" s="3"/>
    </row>
    <row r="607" ht="15.75" customHeight="1">
      <c r="BW607" s="3"/>
      <c r="BX607" s="3"/>
      <c r="BY607" s="3"/>
      <c r="BZ607" s="3"/>
    </row>
    <row r="608" ht="15.75" customHeight="1">
      <c r="BW608" s="3"/>
      <c r="BX608" s="3"/>
      <c r="BY608" s="3"/>
      <c r="BZ608" s="3"/>
    </row>
    <row r="609" ht="15.75" customHeight="1">
      <c r="BW609" s="3"/>
      <c r="BX609" s="3"/>
      <c r="BY609" s="3"/>
      <c r="BZ609" s="3"/>
    </row>
    <row r="610" ht="15.75" customHeight="1">
      <c r="BW610" s="3"/>
      <c r="BX610" s="3"/>
      <c r="BY610" s="3"/>
      <c r="BZ610" s="3"/>
    </row>
    <row r="611" ht="15.75" customHeight="1">
      <c r="BW611" s="3"/>
      <c r="BX611" s="3"/>
      <c r="BY611" s="3"/>
      <c r="BZ611" s="3"/>
    </row>
    <row r="612" ht="15.75" customHeight="1">
      <c r="BW612" s="3"/>
      <c r="BX612" s="3"/>
      <c r="BY612" s="3"/>
      <c r="BZ612" s="3"/>
    </row>
    <row r="613" ht="15.75" customHeight="1">
      <c r="BW613" s="3"/>
      <c r="BX613" s="3"/>
      <c r="BY613" s="3"/>
      <c r="BZ613" s="3"/>
    </row>
    <row r="614" ht="15.75" customHeight="1">
      <c r="BW614" s="3"/>
      <c r="BX614" s="3"/>
      <c r="BY614" s="3"/>
      <c r="BZ614" s="3"/>
    </row>
    <row r="615" ht="15.75" customHeight="1">
      <c r="BW615" s="3"/>
      <c r="BX615" s="3"/>
      <c r="BY615" s="3"/>
      <c r="BZ615" s="3"/>
    </row>
    <row r="616" ht="15.75" customHeight="1">
      <c r="BW616" s="3"/>
      <c r="BX616" s="3"/>
      <c r="BY616" s="3"/>
      <c r="BZ616" s="3"/>
    </row>
    <row r="617" ht="15.75" customHeight="1">
      <c r="BW617" s="3"/>
      <c r="BX617" s="3"/>
      <c r="BY617" s="3"/>
      <c r="BZ617" s="3"/>
    </row>
    <row r="618" ht="15.75" customHeight="1">
      <c r="BW618" s="3"/>
      <c r="BX618" s="3"/>
      <c r="BY618" s="3"/>
      <c r="BZ618" s="3"/>
    </row>
    <row r="619" ht="15.75" customHeight="1">
      <c r="BW619" s="3"/>
      <c r="BX619" s="3"/>
      <c r="BY619" s="3"/>
      <c r="BZ619" s="3"/>
    </row>
    <row r="620" ht="15.75" customHeight="1">
      <c r="BW620" s="3"/>
      <c r="BX620" s="3"/>
      <c r="BY620" s="3"/>
      <c r="BZ620" s="3"/>
    </row>
    <row r="621" ht="15.75" customHeight="1">
      <c r="BW621" s="3"/>
      <c r="BX621" s="3"/>
      <c r="BY621" s="3"/>
      <c r="BZ621" s="3"/>
    </row>
    <row r="622" ht="15.75" customHeight="1">
      <c r="BW622" s="3"/>
      <c r="BX622" s="3"/>
      <c r="BY622" s="3"/>
      <c r="BZ622" s="3"/>
    </row>
    <row r="623" ht="15.75" customHeight="1">
      <c r="BW623" s="3"/>
      <c r="BX623" s="3"/>
      <c r="BY623" s="3"/>
      <c r="BZ623" s="3"/>
    </row>
    <row r="624" ht="15.75" customHeight="1">
      <c r="BW624" s="3"/>
      <c r="BX624" s="3"/>
      <c r="BY624" s="3"/>
      <c r="BZ624" s="3"/>
    </row>
    <row r="625" ht="15.75" customHeight="1">
      <c r="BW625" s="3"/>
      <c r="BX625" s="3"/>
      <c r="BY625" s="3"/>
      <c r="BZ625" s="3"/>
    </row>
    <row r="626" ht="15.75" customHeight="1">
      <c r="BW626" s="3"/>
      <c r="BX626" s="3"/>
      <c r="BY626" s="3"/>
      <c r="BZ626" s="3"/>
    </row>
    <row r="627" ht="15.75" customHeight="1">
      <c r="BW627" s="3"/>
      <c r="BX627" s="3"/>
      <c r="BY627" s="3"/>
      <c r="BZ627" s="3"/>
    </row>
    <row r="628" ht="15.75" customHeight="1">
      <c r="BW628" s="3"/>
      <c r="BX628" s="3"/>
      <c r="BY628" s="3"/>
      <c r="BZ628" s="3"/>
    </row>
    <row r="629" ht="15.75" customHeight="1">
      <c r="BW629" s="3"/>
      <c r="BX629" s="3"/>
      <c r="BY629" s="3"/>
      <c r="BZ629" s="3"/>
    </row>
    <row r="630" ht="15.75" customHeight="1">
      <c r="BW630" s="3"/>
      <c r="BX630" s="3"/>
      <c r="BY630" s="3"/>
      <c r="BZ630" s="3"/>
    </row>
    <row r="631" ht="15.75" customHeight="1">
      <c r="BW631" s="3"/>
      <c r="BX631" s="3"/>
      <c r="BY631" s="3"/>
      <c r="BZ631" s="3"/>
    </row>
    <row r="632" ht="15.75" customHeight="1">
      <c r="BW632" s="3"/>
      <c r="BX632" s="3"/>
      <c r="BY632" s="3"/>
      <c r="BZ632" s="3"/>
    </row>
    <row r="633" ht="15.75" customHeight="1">
      <c r="BW633" s="3"/>
      <c r="BX633" s="3"/>
      <c r="BY633" s="3"/>
      <c r="BZ633" s="3"/>
    </row>
    <row r="634" ht="15.75" customHeight="1">
      <c r="BW634" s="3"/>
      <c r="BX634" s="3"/>
      <c r="BY634" s="3"/>
      <c r="BZ634" s="3"/>
    </row>
    <row r="635" ht="15.75" customHeight="1">
      <c r="BW635" s="3"/>
      <c r="BX635" s="3"/>
      <c r="BY635" s="3"/>
      <c r="BZ635" s="3"/>
    </row>
    <row r="636" ht="15.75" customHeight="1">
      <c r="BW636" s="3"/>
      <c r="BX636" s="3"/>
      <c r="BY636" s="3"/>
      <c r="BZ636" s="3"/>
    </row>
    <row r="637" ht="15.75" customHeight="1">
      <c r="BW637" s="3"/>
      <c r="BX637" s="3"/>
      <c r="BY637" s="3"/>
      <c r="BZ637" s="3"/>
    </row>
    <row r="638" ht="15.75" customHeight="1">
      <c r="BW638" s="3"/>
      <c r="BX638" s="3"/>
      <c r="BY638" s="3"/>
      <c r="BZ638" s="3"/>
    </row>
    <row r="639" ht="15.75" customHeight="1">
      <c r="BW639" s="3"/>
      <c r="BX639" s="3"/>
      <c r="BY639" s="3"/>
      <c r="BZ639" s="3"/>
    </row>
    <row r="640" ht="15.75" customHeight="1">
      <c r="BW640" s="3"/>
      <c r="BX640" s="3"/>
      <c r="BY640" s="3"/>
      <c r="BZ640" s="3"/>
    </row>
    <row r="641" ht="15.75" customHeight="1">
      <c r="BW641" s="3"/>
      <c r="BX641" s="3"/>
      <c r="BY641" s="3"/>
      <c r="BZ641" s="3"/>
    </row>
    <row r="642" ht="15.75" customHeight="1">
      <c r="BW642" s="3"/>
      <c r="BX642" s="3"/>
      <c r="BY642" s="3"/>
      <c r="BZ642" s="3"/>
    </row>
    <row r="643" ht="15.75" customHeight="1">
      <c r="BW643" s="3"/>
      <c r="BX643" s="3"/>
      <c r="BY643" s="3"/>
      <c r="BZ643" s="3"/>
    </row>
    <row r="644" ht="15.75" customHeight="1">
      <c r="BW644" s="3"/>
      <c r="BX644" s="3"/>
      <c r="BY644" s="3"/>
      <c r="BZ644" s="3"/>
    </row>
    <row r="645" ht="15.75" customHeight="1">
      <c r="BW645" s="3"/>
      <c r="BX645" s="3"/>
      <c r="BY645" s="3"/>
      <c r="BZ645" s="3"/>
    </row>
    <row r="646" ht="15.75" customHeight="1">
      <c r="BW646" s="3"/>
      <c r="BX646" s="3"/>
      <c r="BY646" s="3"/>
      <c r="BZ646" s="3"/>
    </row>
    <row r="647" ht="15.75" customHeight="1">
      <c r="BW647" s="3"/>
      <c r="BX647" s="3"/>
      <c r="BY647" s="3"/>
      <c r="BZ647" s="3"/>
    </row>
    <row r="648" ht="15.75" customHeight="1">
      <c r="BW648" s="3"/>
      <c r="BX648" s="3"/>
      <c r="BY648" s="3"/>
      <c r="BZ648" s="3"/>
    </row>
    <row r="649" ht="15.75" customHeight="1">
      <c r="BW649" s="3"/>
      <c r="BX649" s="3"/>
      <c r="BY649" s="3"/>
      <c r="BZ649" s="3"/>
    </row>
    <row r="650" ht="15.75" customHeight="1">
      <c r="BW650" s="3"/>
      <c r="BX650" s="3"/>
      <c r="BY650" s="3"/>
      <c r="BZ650" s="3"/>
    </row>
    <row r="651" ht="15.75" customHeight="1">
      <c r="BW651" s="3"/>
      <c r="BX651" s="3"/>
      <c r="BY651" s="3"/>
      <c r="BZ651" s="3"/>
    </row>
    <row r="652" ht="15.75" customHeight="1">
      <c r="BW652" s="3"/>
      <c r="BX652" s="3"/>
      <c r="BY652" s="3"/>
      <c r="BZ652" s="3"/>
    </row>
    <row r="653" ht="15.75" customHeight="1">
      <c r="BW653" s="3"/>
      <c r="BX653" s="3"/>
      <c r="BY653" s="3"/>
      <c r="BZ653" s="3"/>
    </row>
    <row r="654" ht="15.75" customHeight="1">
      <c r="BW654" s="3"/>
      <c r="BX654" s="3"/>
      <c r="BY654" s="3"/>
      <c r="BZ654" s="3"/>
    </row>
    <row r="655" ht="15.75" customHeight="1">
      <c r="BW655" s="3"/>
      <c r="BX655" s="3"/>
      <c r="BY655" s="3"/>
      <c r="BZ655" s="3"/>
    </row>
    <row r="656" ht="15.75" customHeight="1">
      <c r="BW656" s="3"/>
      <c r="BX656" s="3"/>
      <c r="BY656" s="3"/>
      <c r="BZ656" s="3"/>
    </row>
    <row r="657" ht="15.75" customHeight="1">
      <c r="BW657" s="3"/>
      <c r="BX657" s="3"/>
      <c r="BY657" s="3"/>
      <c r="BZ657" s="3"/>
    </row>
    <row r="658" ht="15.75" customHeight="1">
      <c r="BW658" s="3"/>
      <c r="BX658" s="3"/>
      <c r="BY658" s="3"/>
      <c r="BZ658" s="3"/>
    </row>
    <row r="659" ht="15.75" customHeight="1">
      <c r="BW659" s="3"/>
      <c r="BX659" s="3"/>
      <c r="BY659" s="3"/>
      <c r="BZ659" s="3"/>
    </row>
    <row r="660" ht="15.75" customHeight="1">
      <c r="BW660" s="3"/>
      <c r="BX660" s="3"/>
      <c r="BY660" s="3"/>
      <c r="BZ660" s="3"/>
    </row>
    <row r="661" ht="15.75" customHeight="1">
      <c r="BW661" s="3"/>
      <c r="BX661" s="3"/>
      <c r="BY661" s="3"/>
      <c r="BZ661" s="3"/>
    </row>
    <row r="662" ht="15.75" customHeight="1">
      <c r="BW662" s="3"/>
      <c r="BX662" s="3"/>
      <c r="BY662" s="3"/>
      <c r="BZ662" s="3"/>
    </row>
    <row r="663" ht="15.75" customHeight="1">
      <c r="BW663" s="3"/>
      <c r="BX663" s="3"/>
      <c r="BY663" s="3"/>
      <c r="BZ663" s="3"/>
    </row>
    <row r="664" ht="15.75" customHeight="1">
      <c r="BW664" s="3"/>
      <c r="BX664" s="3"/>
      <c r="BY664" s="3"/>
      <c r="BZ664" s="3"/>
    </row>
    <row r="665" ht="15.75" customHeight="1">
      <c r="BW665" s="3"/>
      <c r="BX665" s="3"/>
      <c r="BY665" s="3"/>
      <c r="BZ665" s="3"/>
    </row>
    <row r="666" ht="15.75" customHeight="1">
      <c r="BW666" s="3"/>
      <c r="BX666" s="3"/>
      <c r="BY666" s="3"/>
      <c r="BZ666" s="3"/>
    </row>
    <row r="667" ht="15.75" customHeight="1">
      <c r="BW667" s="3"/>
      <c r="BX667" s="3"/>
      <c r="BY667" s="3"/>
      <c r="BZ667" s="3"/>
    </row>
    <row r="668" ht="15.75" customHeight="1">
      <c r="BW668" s="3"/>
      <c r="BX668" s="3"/>
      <c r="BY668" s="3"/>
      <c r="BZ668" s="3"/>
    </row>
    <row r="669" ht="15.75" customHeight="1">
      <c r="BW669" s="3"/>
      <c r="BX669" s="3"/>
      <c r="BY669" s="3"/>
      <c r="BZ669" s="3"/>
    </row>
    <row r="670" ht="15.75" customHeight="1">
      <c r="BW670" s="3"/>
      <c r="BX670" s="3"/>
      <c r="BY670" s="3"/>
      <c r="BZ670" s="3"/>
    </row>
    <row r="671" ht="15.75" customHeight="1">
      <c r="BW671" s="3"/>
      <c r="BX671" s="3"/>
      <c r="BY671" s="3"/>
      <c r="BZ671" s="3"/>
    </row>
    <row r="672" ht="15.75" customHeight="1">
      <c r="BW672" s="3"/>
      <c r="BX672" s="3"/>
      <c r="BY672" s="3"/>
      <c r="BZ672" s="3"/>
    </row>
    <row r="673" ht="15.75" customHeight="1">
      <c r="BW673" s="3"/>
      <c r="BX673" s="3"/>
      <c r="BY673" s="3"/>
      <c r="BZ673" s="3"/>
    </row>
    <row r="674" ht="15.75" customHeight="1">
      <c r="BW674" s="3"/>
      <c r="BX674" s="3"/>
      <c r="BY674" s="3"/>
      <c r="BZ674" s="3"/>
    </row>
    <row r="675" ht="15.75" customHeight="1">
      <c r="BW675" s="3"/>
      <c r="BX675" s="3"/>
      <c r="BY675" s="3"/>
      <c r="BZ675" s="3"/>
    </row>
    <row r="676" ht="15.75" customHeight="1">
      <c r="BW676" s="3"/>
      <c r="BX676" s="3"/>
      <c r="BY676" s="3"/>
      <c r="BZ676" s="3"/>
    </row>
    <row r="677" ht="15.75" customHeight="1">
      <c r="BW677" s="3"/>
      <c r="BX677" s="3"/>
      <c r="BY677" s="3"/>
      <c r="BZ677" s="3"/>
    </row>
    <row r="678" ht="15.75" customHeight="1">
      <c r="BW678" s="3"/>
      <c r="BX678" s="3"/>
      <c r="BY678" s="3"/>
      <c r="BZ678" s="3"/>
    </row>
    <row r="679" ht="15.75" customHeight="1">
      <c r="BW679" s="3"/>
      <c r="BX679" s="3"/>
      <c r="BY679" s="3"/>
      <c r="BZ679" s="3"/>
    </row>
    <row r="680" ht="15.75" customHeight="1">
      <c r="BW680" s="3"/>
      <c r="BX680" s="3"/>
      <c r="BY680" s="3"/>
      <c r="BZ680" s="3"/>
    </row>
    <row r="681" ht="15.75" customHeight="1">
      <c r="BW681" s="3"/>
      <c r="BX681" s="3"/>
      <c r="BY681" s="3"/>
      <c r="BZ681" s="3"/>
    </row>
    <row r="682" ht="15.75" customHeight="1">
      <c r="BW682" s="3"/>
      <c r="BX682" s="3"/>
      <c r="BY682" s="3"/>
      <c r="BZ682" s="3"/>
    </row>
    <row r="683" ht="15.75" customHeight="1">
      <c r="BW683" s="3"/>
      <c r="BX683" s="3"/>
      <c r="BY683" s="3"/>
      <c r="BZ683" s="3"/>
    </row>
    <row r="684" ht="15.75" customHeight="1">
      <c r="BW684" s="3"/>
      <c r="BX684" s="3"/>
      <c r="BY684" s="3"/>
      <c r="BZ684" s="3"/>
    </row>
    <row r="685" ht="15.75" customHeight="1">
      <c r="BW685" s="3"/>
      <c r="BX685" s="3"/>
      <c r="BY685" s="3"/>
      <c r="BZ685" s="3"/>
    </row>
    <row r="686" ht="15.75" customHeight="1">
      <c r="BW686" s="3"/>
      <c r="BX686" s="3"/>
      <c r="BY686" s="3"/>
      <c r="BZ686" s="3"/>
    </row>
    <row r="687" ht="15.75" customHeight="1">
      <c r="BW687" s="3"/>
      <c r="BX687" s="3"/>
      <c r="BY687" s="3"/>
      <c r="BZ687" s="3"/>
    </row>
    <row r="688" ht="15.75" customHeight="1">
      <c r="BW688" s="3"/>
      <c r="BX688" s="3"/>
      <c r="BY688" s="3"/>
      <c r="BZ688" s="3"/>
    </row>
    <row r="689" ht="15.75" customHeight="1">
      <c r="BW689" s="3"/>
      <c r="BX689" s="3"/>
      <c r="BY689" s="3"/>
      <c r="BZ689" s="3"/>
    </row>
    <row r="690" ht="15.75" customHeight="1">
      <c r="BW690" s="3"/>
      <c r="BX690" s="3"/>
      <c r="BY690" s="3"/>
      <c r="BZ690" s="3"/>
    </row>
    <row r="691" ht="15.75" customHeight="1">
      <c r="BW691" s="3"/>
      <c r="BX691" s="3"/>
      <c r="BY691" s="3"/>
      <c r="BZ691" s="3"/>
    </row>
    <row r="692" ht="15.75" customHeight="1">
      <c r="BW692" s="3"/>
      <c r="BX692" s="3"/>
      <c r="BY692" s="3"/>
      <c r="BZ692" s="3"/>
    </row>
    <row r="693" ht="15.75" customHeight="1">
      <c r="BW693" s="3"/>
      <c r="BX693" s="3"/>
      <c r="BY693" s="3"/>
      <c r="BZ693" s="3"/>
    </row>
    <row r="694" ht="15.75" customHeight="1">
      <c r="BW694" s="3"/>
      <c r="BX694" s="3"/>
      <c r="BY694" s="3"/>
      <c r="BZ694" s="3"/>
    </row>
    <row r="695" ht="15.75" customHeight="1">
      <c r="BW695" s="3"/>
      <c r="BX695" s="3"/>
      <c r="BY695" s="3"/>
      <c r="BZ695" s="3"/>
    </row>
    <row r="696" ht="15.75" customHeight="1">
      <c r="BW696" s="3"/>
      <c r="BX696" s="3"/>
      <c r="BY696" s="3"/>
      <c r="BZ696" s="3"/>
    </row>
    <row r="697" ht="15.75" customHeight="1">
      <c r="BW697" s="3"/>
      <c r="BX697" s="3"/>
      <c r="BY697" s="3"/>
      <c r="BZ697" s="3"/>
    </row>
    <row r="698" ht="15.75" customHeight="1">
      <c r="BW698" s="3"/>
      <c r="BX698" s="3"/>
      <c r="BY698" s="3"/>
      <c r="BZ698" s="3"/>
    </row>
    <row r="699" ht="15.75" customHeight="1">
      <c r="BW699" s="3"/>
      <c r="BX699" s="3"/>
      <c r="BY699" s="3"/>
      <c r="BZ699" s="3"/>
    </row>
    <row r="700" ht="15.75" customHeight="1">
      <c r="BW700" s="3"/>
      <c r="BX700" s="3"/>
      <c r="BY700" s="3"/>
      <c r="BZ700" s="3"/>
    </row>
    <row r="701" ht="15.75" customHeight="1">
      <c r="BW701" s="3"/>
      <c r="BX701" s="3"/>
      <c r="BY701" s="3"/>
      <c r="BZ701" s="3"/>
    </row>
    <row r="702" ht="15.75" customHeight="1">
      <c r="BW702" s="3"/>
      <c r="BX702" s="3"/>
      <c r="BY702" s="3"/>
      <c r="BZ702" s="3"/>
    </row>
    <row r="703" ht="15.75" customHeight="1">
      <c r="BW703" s="3"/>
      <c r="BX703" s="3"/>
      <c r="BY703" s="3"/>
      <c r="BZ703" s="3"/>
    </row>
    <row r="704" ht="15.75" customHeight="1">
      <c r="BW704" s="3"/>
      <c r="BX704" s="3"/>
      <c r="BY704" s="3"/>
      <c r="BZ704" s="3"/>
    </row>
    <row r="705" ht="15.75" customHeight="1">
      <c r="BW705" s="3"/>
      <c r="BX705" s="3"/>
      <c r="BY705" s="3"/>
      <c r="BZ705" s="3"/>
    </row>
    <row r="706" ht="15.75" customHeight="1">
      <c r="BW706" s="3"/>
      <c r="BX706" s="3"/>
      <c r="BY706" s="3"/>
      <c r="BZ706" s="3"/>
    </row>
    <row r="707" ht="15.75" customHeight="1">
      <c r="BW707" s="3"/>
      <c r="BX707" s="3"/>
      <c r="BY707" s="3"/>
      <c r="BZ707" s="3"/>
    </row>
    <row r="708" ht="15.75" customHeight="1">
      <c r="BW708" s="3"/>
      <c r="BX708" s="3"/>
      <c r="BY708" s="3"/>
      <c r="BZ708" s="3"/>
    </row>
    <row r="709" ht="15.75" customHeight="1">
      <c r="BW709" s="3"/>
      <c r="BX709" s="3"/>
      <c r="BY709" s="3"/>
      <c r="BZ709" s="3"/>
    </row>
    <row r="710" ht="15.75" customHeight="1">
      <c r="BW710" s="3"/>
      <c r="BX710" s="3"/>
      <c r="BY710" s="3"/>
      <c r="BZ710" s="3"/>
    </row>
    <row r="711" ht="15.75" customHeight="1">
      <c r="BW711" s="3"/>
      <c r="BX711" s="3"/>
      <c r="BY711" s="3"/>
      <c r="BZ711" s="3"/>
    </row>
    <row r="712" ht="15.75" customHeight="1">
      <c r="BW712" s="3"/>
      <c r="BX712" s="3"/>
      <c r="BY712" s="3"/>
      <c r="BZ712" s="3"/>
    </row>
    <row r="713" ht="15.75" customHeight="1">
      <c r="BW713" s="3"/>
      <c r="BX713" s="3"/>
      <c r="BY713" s="3"/>
      <c r="BZ713" s="3"/>
    </row>
    <row r="714" ht="15.75" customHeight="1">
      <c r="BW714" s="3"/>
      <c r="BX714" s="3"/>
      <c r="BY714" s="3"/>
      <c r="BZ714" s="3"/>
    </row>
    <row r="715" ht="15.75" customHeight="1">
      <c r="BW715" s="3"/>
      <c r="BX715" s="3"/>
      <c r="BY715" s="3"/>
      <c r="BZ715" s="3"/>
    </row>
    <row r="716" ht="15.75" customHeight="1">
      <c r="BW716" s="3"/>
      <c r="BX716" s="3"/>
      <c r="BY716" s="3"/>
      <c r="BZ716" s="3"/>
    </row>
    <row r="717" ht="15.75" customHeight="1">
      <c r="BW717" s="3"/>
      <c r="BX717" s="3"/>
      <c r="BY717" s="3"/>
      <c r="BZ717" s="3"/>
    </row>
    <row r="718" ht="15.75" customHeight="1">
      <c r="BW718" s="3"/>
      <c r="BX718" s="3"/>
      <c r="BY718" s="3"/>
      <c r="BZ718" s="3"/>
    </row>
    <row r="719" ht="15.75" customHeight="1">
      <c r="BW719" s="3"/>
      <c r="BX719" s="3"/>
      <c r="BY719" s="3"/>
      <c r="BZ719" s="3"/>
    </row>
    <row r="720" ht="15.75" customHeight="1">
      <c r="BW720" s="3"/>
      <c r="BX720" s="3"/>
      <c r="BY720" s="3"/>
      <c r="BZ720" s="3"/>
    </row>
    <row r="721" ht="15.75" customHeight="1">
      <c r="BW721" s="3"/>
      <c r="BX721" s="3"/>
      <c r="BY721" s="3"/>
      <c r="BZ721" s="3"/>
    </row>
    <row r="722" ht="15.75" customHeight="1">
      <c r="BW722" s="3"/>
      <c r="BX722" s="3"/>
      <c r="BY722" s="3"/>
      <c r="BZ722" s="3"/>
    </row>
    <row r="723" ht="15.75" customHeight="1">
      <c r="BW723" s="3"/>
      <c r="BX723" s="3"/>
      <c r="BY723" s="3"/>
      <c r="BZ723" s="3"/>
    </row>
    <row r="724" ht="15.75" customHeight="1">
      <c r="BW724" s="3"/>
      <c r="BX724" s="3"/>
      <c r="BY724" s="3"/>
      <c r="BZ724" s="3"/>
    </row>
    <row r="725" ht="15.75" customHeight="1">
      <c r="BW725" s="3"/>
      <c r="BX725" s="3"/>
      <c r="BY725" s="3"/>
      <c r="BZ725" s="3"/>
    </row>
    <row r="726" ht="15.75" customHeight="1">
      <c r="BW726" s="3"/>
      <c r="BX726" s="3"/>
      <c r="BY726" s="3"/>
      <c r="BZ726" s="3"/>
    </row>
    <row r="727" ht="15.75" customHeight="1">
      <c r="BW727" s="3"/>
      <c r="BX727" s="3"/>
      <c r="BY727" s="3"/>
      <c r="BZ727" s="3"/>
    </row>
    <row r="728" ht="15.75" customHeight="1">
      <c r="BW728" s="3"/>
      <c r="BX728" s="3"/>
      <c r="BY728" s="3"/>
      <c r="BZ728" s="3"/>
    </row>
    <row r="729" ht="15.75" customHeight="1">
      <c r="BW729" s="3"/>
      <c r="BX729" s="3"/>
      <c r="BY729" s="3"/>
      <c r="BZ729" s="3"/>
    </row>
    <row r="730" ht="15.75" customHeight="1">
      <c r="BW730" s="3"/>
      <c r="BX730" s="3"/>
      <c r="BY730" s="3"/>
      <c r="BZ730" s="3"/>
    </row>
    <row r="731" ht="15.75" customHeight="1">
      <c r="BW731" s="3"/>
      <c r="BX731" s="3"/>
      <c r="BY731" s="3"/>
      <c r="BZ731" s="3"/>
    </row>
    <row r="732" ht="15.75" customHeight="1">
      <c r="BW732" s="3"/>
      <c r="BX732" s="3"/>
      <c r="BY732" s="3"/>
      <c r="BZ732" s="3"/>
    </row>
    <row r="733" ht="15.75" customHeight="1">
      <c r="BW733" s="3"/>
      <c r="BX733" s="3"/>
      <c r="BY733" s="3"/>
      <c r="BZ733" s="3"/>
    </row>
    <row r="734" ht="15.75" customHeight="1">
      <c r="BW734" s="3"/>
      <c r="BX734" s="3"/>
      <c r="BY734" s="3"/>
      <c r="BZ734" s="3"/>
    </row>
    <row r="735" ht="15.75" customHeight="1">
      <c r="BW735" s="3"/>
      <c r="BX735" s="3"/>
      <c r="BY735" s="3"/>
      <c r="BZ735" s="3"/>
    </row>
    <row r="736" ht="15.75" customHeight="1">
      <c r="BW736" s="3"/>
      <c r="BX736" s="3"/>
      <c r="BY736" s="3"/>
      <c r="BZ736" s="3"/>
    </row>
    <row r="737" ht="15.75" customHeight="1">
      <c r="BW737" s="3"/>
      <c r="BX737" s="3"/>
      <c r="BY737" s="3"/>
      <c r="BZ737" s="3"/>
    </row>
    <row r="738" ht="15.75" customHeight="1">
      <c r="BW738" s="3"/>
      <c r="BX738" s="3"/>
      <c r="BY738" s="3"/>
      <c r="BZ738" s="3"/>
    </row>
    <row r="739" ht="15.75" customHeight="1">
      <c r="BW739" s="3"/>
      <c r="BX739" s="3"/>
      <c r="BY739" s="3"/>
      <c r="BZ739" s="3"/>
    </row>
    <row r="740" ht="15.75" customHeight="1">
      <c r="BW740" s="3"/>
      <c r="BX740" s="3"/>
      <c r="BY740" s="3"/>
      <c r="BZ740" s="3"/>
    </row>
    <row r="741" ht="15.75" customHeight="1">
      <c r="BW741" s="3"/>
      <c r="BX741" s="3"/>
      <c r="BY741" s="3"/>
      <c r="BZ741" s="3"/>
    </row>
    <row r="742" ht="15.75" customHeight="1">
      <c r="BW742" s="3"/>
      <c r="BX742" s="3"/>
      <c r="BY742" s="3"/>
      <c r="BZ742" s="3"/>
    </row>
    <row r="743" ht="15.75" customHeight="1">
      <c r="BW743" s="3"/>
      <c r="BX743" s="3"/>
      <c r="BY743" s="3"/>
      <c r="BZ743" s="3"/>
    </row>
    <row r="744" ht="15.75" customHeight="1">
      <c r="BW744" s="3"/>
      <c r="BX744" s="3"/>
      <c r="BY744" s="3"/>
      <c r="BZ744" s="3"/>
    </row>
    <row r="745" ht="15.75" customHeight="1">
      <c r="BW745" s="3"/>
      <c r="BX745" s="3"/>
      <c r="BY745" s="3"/>
      <c r="BZ745" s="3"/>
    </row>
    <row r="746" ht="15.75" customHeight="1">
      <c r="BW746" s="3"/>
      <c r="BX746" s="3"/>
      <c r="BY746" s="3"/>
      <c r="BZ746" s="3"/>
    </row>
    <row r="747" ht="15.75" customHeight="1">
      <c r="BW747" s="3"/>
      <c r="BX747" s="3"/>
      <c r="BY747" s="3"/>
      <c r="BZ747" s="3"/>
    </row>
    <row r="748" ht="15.75" customHeight="1">
      <c r="BW748" s="3"/>
      <c r="BX748" s="3"/>
      <c r="BY748" s="3"/>
      <c r="BZ748" s="3"/>
    </row>
    <row r="749" ht="15.75" customHeight="1">
      <c r="BW749" s="3"/>
      <c r="BX749" s="3"/>
      <c r="BY749" s="3"/>
      <c r="BZ749" s="3"/>
    </row>
    <row r="750" ht="15.75" customHeight="1">
      <c r="BW750" s="3"/>
      <c r="BX750" s="3"/>
      <c r="BY750" s="3"/>
      <c r="BZ750" s="3"/>
    </row>
    <row r="751" ht="15.75" customHeight="1">
      <c r="BW751" s="3"/>
      <c r="BX751" s="3"/>
      <c r="BY751" s="3"/>
      <c r="BZ751" s="3"/>
    </row>
    <row r="752" ht="15.75" customHeight="1">
      <c r="BW752" s="3"/>
      <c r="BX752" s="3"/>
      <c r="BY752" s="3"/>
      <c r="BZ752" s="3"/>
    </row>
    <row r="753" ht="15.75" customHeight="1">
      <c r="BW753" s="3"/>
      <c r="BX753" s="3"/>
      <c r="BY753" s="3"/>
      <c r="BZ753" s="3"/>
    </row>
    <row r="754" ht="15.75" customHeight="1">
      <c r="BW754" s="3"/>
      <c r="BX754" s="3"/>
      <c r="BY754" s="3"/>
      <c r="BZ754" s="3"/>
    </row>
    <row r="755" ht="15.75" customHeight="1">
      <c r="BW755" s="3"/>
      <c r="BX755" s="3"/>
      <c r="BY755" s="3"/>
      <c r="BZ755" s="3"/>
    </row>
    <row r="756" ht="15.75" customHeight="1">
      <c r="BW756" s="3"/>
      <c r="BX756" s="3"/>
      <c r="BY756" s="3"/>
      <c r="BZ756" s="3"/>
    </row>
    <row r="757" ht="15.75" customHeight="1">
      <c r="BW757" s="3"/>
      <c r="BX757" s="3"/>
      <c r="BY757" s="3"/>
      <c r="BZ757" s="3"/>
    </row>
    <row r="758" ht="15.75" customHeight="1">
      <c r="BW758" s="3"/>
      <c r="BX758" s="3"/>
      <c r="BY758" s="3"/>
      <c r="BZ758" s="3"/>
    </row>
    <row r="759" ht="15.75" customHeight="1">
      <c r="BW759" s="3"/>
      <c r="BX759" s="3"/>
      <c r="BY759" s="3"/>
      <c r="BZ759" s="3"/>
    </row>
    <row r="760" ht="15.75" customHeight="1">
      <c r="BW760" s="3"/>
      <c r="BX760" s="3"/>
      <c r="BY760" s="3"/>
      <c r="BZ760" s="3"/>
    </row>
    <row r="761" ht="15.75" customHeight="1">
      <c r="BW761" s="3"/>
      <c r="BX761" s="3"/>
      <c r="BY761" s="3"/>
      <c r="BZ761" s="3"/>
    </row>
    <row r="762" ht="15.75" customHeight="1">
      <c r="BW762" s="3"/>
      <c r="BX762" s="3"/>
      <c r="BY762" s="3"/>
      <c r="BZ762" s="3"/>
    </row>
    <row r="763" ht="15.75" customHeight="1">
      <c r="BW763" s="3"/>
      <c r="BX763" s="3"/>
      <c r="BY763" s="3"/>
      <c r="BZ763" s="3"/>
    </row>
    <row r="764" ht="15.75" customHeight="1">
      <c r="BW764" s="3"/>
      <c r="BX764" s="3"/>
      <c r="BY764" s="3"/>
      <c r="BZ764" s="3"/>
    </row>
    <row r="765" ht="15.75" customHeight="1">
      <c r="BW765" s="3"/>
      <c r="BX765" s="3"/>
      <c r="BY765" s="3"/>
      <c r="BZ765" s="3"/>
    </row>
    <row r="766" ht="15.75" customHeight="1">
      <c r="BW766" s="3"/>
      <c r="BX766" s="3"/>
      <c r="BY766" s="3"/>
      <c r="BZ766" s="3"/>
    </row>
    <row r="767" ht="15.75" customHeight="1">
      <c r="BW767" s="3"/>
      <c r="BX767" s="3"/>
      <c r="BY767" s="3"/>
      <c r="BZ767" s="3"/>
    </row>
    <row r="768" ht="15.75" customHeight="1">
      <c r="BW768" s="3"/>
      <c r="BX768" s="3"/>
      <c r="BY768" s="3"/>
      <c r="BZ768" s="3"/>
    </row>
    <row r="769" ht="15.75" customHeight="1">
      <c r="BW769" s="3"/>
      <c r="BX769" s="3"/>
      <c r="BY769" s="3"/>
      <c r="BZ769" s="3"/>
    </row>
    <row r="770" ht="15.75" customHeight="1">
      <c r="BW770" s="3"/>
      <c r="BX770" s="3"/>
      <c r="BY770" s="3"/>
      <c r="BZ770" s="3"/>
    </row>
    <row r="771" ht="15.75" customHeight="1">
      <c r="BW771" s="3"/>
      <c r="BX771" s="3"/>
      <c r="BY771" s="3"/>
      <c r="BZ771" s="3"/>
    </row>
    <row r="772" ht="15.75" customHeight="1">
      <c r="BW772" s="3"/>
      <c r="BX772" s="3"/>
      <c r="BY772" s="3"/>
      <c r="BZ772" s="3"/>
    </row>
    <row r="773" ht="15.75" customHeight="1">
      <c r="BW773" s="3"/>
      <c r="BX773" s="3"/>
      <c r="BY773" s="3"/>
      <c r="BZ773" s="3"/>
    </row>
    <row r="774" ht="15.75" customHeight="1">
      <c r="BW774" s="3"/>
      <c r="BX774" s="3"/>
      <c r="BY774" s="3"/>
      <c r="BZ774" s="3"/>
    </row>
    <row r="775" ht="15.75" customHeight="1">
      <c r="BW775" s="3"/>
      <c r="BX775" s="3"/>
      <c r="BY775" s="3"/>
      <c r="BZ775" s="3"/>
    </row>
    <row r="776" ht="15.75" customHeight="1">
      <c r="BW776" s="3"/>
      <c r="BX776" s="3"/>
      <c r="BY776" s="3"/>
      <c r="BZ776" s="3"/>
    </row>
    <row r="777" ht="15.75" customHeight="1">
      <c r="BW777" s="3"/>
      <c r="BX777" s="3"/>
      <c r="BY777" s="3"/>
      <c r="BZ777" s="3"/>
    </row>
    <row r="778" ht="15.75" customHeight="1">
      <c r="BW778" s="3"/>
      <c r="BX778" s="3"/>
      <c r="BY778" s="3"/>
      <c r="BZ778" s="3"/>
    </row>
    <row r="779" ht="15.75" customHeight="1">
      <c r="BW779" s="3"/>
      <c r="BX779" s="3"/>
      <c r="BY779" s="3"/>
      <c r="BZ779" s="3"/>
    </row>
    <row r="780" ht="15.75" customHeight="1">
      <c r="BW780" s="3"/>
      <c r="BX780" s="3"/>
      <c r="BY780" s="3"/>
      <c r="BZ780" s="3"/>
    </row>
    <row r="781" ht="15.75" customHeight="1">
      <c r="BW781" s="3"/>
      <c r="BX781" s="3"/>
      <c r="BY781" s="3"/>
      <c r="BZ781" s="3"/>
    </row>
    <row r="782" ht="15.75" customHeight="1">
      <c r="BW782" s="3"/>
      <c r="BX782" s="3"/>
      <c r="BY782" s="3"/>
      <c r="BZ782" s="3"/>
    </row>
    <row r="783" ht="15.75" customHeight="1">
      <c r="BW783" s="3"/>
      <c r="BX783" s="3"/>
      <c r="BY783" s="3"/>
      <c r="BZ783" s="3"/>
    </row>
    <row r="784" ht="15.75" customHeight="1">
      <c r="BW784" s="3"/>
      <c r="BX784" s="3"/>
      <c r="BY784" s="3"/>
      <c r="BZ784" s="3"/>
    </row>
    <row r="785" ht="15.75" customHeight="1">
      <c r="BW785" s="3"/>
      <c r="BX785" s="3"/>
      <c r="BY785" s="3"/>
      <c r="BZ785" s="3"/>
    </row>
    <row r="786" ht="15.75" customHeight="1">
      <c r="BW786" s="3"/>
      <c r="BX786" s="3"/>
      <c r="BY786" s="3"/>
      <c r="BZ786" s="3"/>
    </row>
    <row r="787" ht="15.75" customHeight="1">
      <c r="BW787" s="3"/>
      <c r="BX787" s="3"/>
      <c r="BY787" s="3"/>
      <c r="BZ787" s="3"/>
    </row>
    <row r="788" ht="15.75" customHeight="1">
      <c r="BW788" s="3"/>
      <c r="BX788" s="3"/>
      <c r="BY788" s="3"/>
      <c r="BZ788" s="3"/>
    </row>
    <row r="789" ht="15.75" customHeight="1">
      <c r="BW789" s="3"/>
      <c r="BX789" s="3"/>
      <c r="BY789" s="3"/>
      <c r="BZ789" s="3"/>
    </row>
    <row r="790" ht="15.75" customHeight="1">
      <c r="BW790" s="3"/>
      <c r="BX790" s="3"/>
      <c r="BY790" s="3"/>
      <c r="BZ790" s="3"/>
    </row>
    <row r="791" ht="15.75" customHeight="1">
      <c r="BW791" s="3"/>
      <c r="BX791" s="3"/>
      <c r="BY791" s="3"/>
      <c r="BZ791" s="3"/>
    </row>
    <row r="792" ht="15.75" customHeight="1">
      <c r="BW792" s="3"/>
      <c r="BX792" s="3"/>
      <c r="BY792" s="3"/>
      <c r="BZ792" s="3"/>
    </row>
    <row r="793" ht="15.75" customHeight="1">
      <c r="BW793" s="3"/>
      <c r="BX793" s="3"/>
      <c r="BY793" s="3"/>
      <c r="BZ793" s="3"/>
    </row>
    <row r="794" ht="15.75" customHeight="1">
      <c r="BW794" s="3"/>
      <c r="BX794" s="3"/>
      <c r="BY794" s="3"/>
      <c r="BZ794" s="3"/>
    </row>
    <row r="795" ht="15.75" customHeight="1">
      <c r="BW795" s="3"/>
      <c r="BX795" s="3"/>
      <c r="BY795" s="3"/>
      <c r="BZ795" s="3"/>
    </row>
    <row r="796" ht="15.75" customHeight="1">
      <c r="BW796" s="3"/>
      <c r="BX796" s="3"/>
      <c r="BY796" s="3"/>
      <c r="BZ796" s="3"/>
    </row>
    <row r="797" ht="15.75" customHeight="1">
      <c r="BW797" s="3"/>
      <c r="BX797" s="3"/>
      <c r="BY797" s="3"/>
      <c r="BZ797" s="3"/>
    </row>
    <row r="798" ht="15.75" customHeight="1">
      <c r="BW798" s="3"/>
      <c r="BX798" s="3"/>
      <c r="BY798" s="3"/>
      <c r="BZ798" s="3"/>
    </row>
    <row r="799" ht="15.75" customHeight="1">
      <c r="BW799" s="3"/>
      <c r="BX799" s="3"/>
      <c r="BY799" s="3"/>
      <c r="BZ799" s="3"/>
    </row>
    <row r="800" ht="15.75" customHeight="1">
      <c r="BW800" s="3"/>
      <c r="BX800" s="3"/>
      <c r="BY800" s="3"/>
      <c r="BZ800" s="3"/>
    </row>
    <row r="801" ht="15.75" customHeight="1">
      <c r="BW801" s="3"/>
      <c r="BX801" s="3"/>
      <c r="BY801" s="3"/>
      <c r="BZ801" s="3"/>
    </row>
    <row r="802" ht="15.75" customHeight="1">
      <c r="BW802" s="3"/>
      <c r="BX802" s="3"/>
      <c r="BY802" s="3"/>
      <c r="BZ802" s="3"/>
    </row>
    <row r="803" ht="15.75" customHeight="1">
      <c r="BW803" s="3"/>
      <c r="BX803" s="3"/>
      <c r="BY803" s="3"/>
      <c r="BZ803" s="3"/>
    </row>
    <row r="804" ht="15.75" customHeight="1">
      <c r="BW804" s="3"/>
      <c r="BX804" s="3"/>
      <c r="BY804" s="3"/>
      <c r="BZ804" s="3"/>
    </row>
    <row r="805" ht="15.75" customHeight="1">
      <c r="BW805" s="3"/>
      <c r="BX805" s="3"/>
      <c r="BY805" s="3"/>
      <c r="BZ805" s="3"/>
    </row>
    <row r="806" ht="15.75" customHeight="1">
      <c r="BW806" s="3"/>
      <c r="BX806" s="3"/>
      <c r="BY806" s="3"/>
      <c r="BZ806" s="3"/>
    </row>
    <row r="807" ht="15.75" customHeight="1">
      <c r="BW807" s="3"/>
      <c r="BX807" s="3"/>
      <c r="BY807" s="3"/>
      <c r="BZ807" s="3"/>
    </row>
    <row r="808" ht="15.75" customHeight="1">
      <c r="BW808" s="3"/>
      <c r="BX808" s="3"/>
      <c r="BY808" s="3"/>
      <c r="BZ808" s="3"/>
    </row>
    <row r="809" ht="15.75" customHeight="1">
      <c r="BW809" s="3"/>
      <c r="BX809" s="3"/>
      <c r="BY809" s="3"/>
      <c r="BZ809" s="3"/>
    </row>
    <row r="810" ht="15.75" customHeight="1">
      <c r="BW810" s="3"/>
      <c r="BX810" s="3"/>
      <c r="BY810" s="3"/>
      <c r="BZ810" s="3"/>
    </row>
    <row r="811" ht="15.75" customHeight="1">
      <c r="BW811" s="3"/>
      <c r="BX811" s="3"/>
      <c r="BY811" s="3"/>
      <c r="BZ811" s="3"/>
    </row>
    <row r="812" ht="15.75" customHeight="1">
      <c r="BW812" s="3"/>
      <c r="BX812" s="3"/>
      <c r="BY812" s="3"/>
      <c r="BZ812" s="3"/>
    </row>
    <row r="813" ht="15.75" customHeight="1">
      <c r="BW813" s="3"/>
      <c r="BX813" s="3"/>
      <c r="BY813" s="3"/>
      <c r="BZ813" s="3"/>
    </row>
    <row r="814" ht="15.75" customHeight="1">
      <c r="BW814" s="3"/>
      <c r="BX814" s="3"/>
      <c r="BY814" s="3"/>
      <c r="BZ814" s="3"/>
    </row>
    <row r="815" ht="15.75" customHeight="1">
      <c r="BW815" s="3"/>
      <c r="BX815" s="3"/>
      <c r="BY815" s="3"/>
      <c r="BZ815" s="3"/>
    </row>
    <row r="816" ht="15.75" customHeight="1">
      <c r="BW816" s="3"/>
      <c r="BX816" s="3"/>
      <c r="BY816" s="3"/>
      <c r="BZ816" s="3"/>
    </row>
    <row r="817" ht="15.75" customHeight="1">
      <c r="BW817" s="3"/>
      <c r="BX817" s="3"/>
      <c r="BY817" s="3"/>
      <c r="BZ817" s="3"/>
    </row>
    <row r="818" ht="15.75" customHeight="1">
      <c r="BW818" s="3"/>
      <c r="BX818" s="3"/>
      <c r="BY818" s="3"/>
      <c r="BZ818" s="3"/>
    </row>
    <row r="819" ht="15.75" customHeight="1">
      <c r="BW819" s="3"/>
      <c r="BX819" s="3"/>
      <c r="BY819" s="3"/>
      <c r="BZ819" s="3"/>
    </row>
    <row r="820" ht="15.75" customHeight="1">
      <c r="BW820" s="3"/>
      <c r="BX820" s="3"/>
      <c r="BY820" s="3"/>
      <c r="BZ820" s="3"/>
    </row>
    <row r="821" ht="15.75" customHeight="1">
      <c r="BW821" s="3"/>
      <c r="BX821" s="3"/>
      <c r="BY821" s="3"/>
      <c r="BZ821" s="3"/>
    </row>
    <row r="822" ht="15.75" customHeight="1">
      <c r="BW822" s="3"/>
      <c r="BX822" s="3"/>
      <c r="BY822" s="3"/>
      <c r="BZ822" s="3"/>
    </row>
    <row r="823" ht="15.75" customHeight="1">
      <c r="BW823" s="3"/>
      <c r="BX823" s="3"/>
      <c r="BY823" s="3"/>
      <c r="BZ823" s="3"/>
    </row>
    <row r="824" ht="15.75" customHeight="1">
      <c r="BW824" s="3"/>
      <c r="BX824" s="3"/>
      <c r="BY824" s="3"/>
      <c r="BZ824" s="3"/>
    </row>
    <row r="825" ht="15.75" customHeight="1">
      <c r="BW825" s="3"/>
      <c r="BX825" s="3"/>
      <c r="BY825" s="3"/>
      <c r="BZ825" s="3"/>
    </row>
    <row r="826" ht="15.75" customHeight="1">
      <c r="BW826" s="3"/>
      <c r="BX826" s="3"/>
      <c r="BY826" s="3"/>
      <c r="BZ826" s="3"/>
    </row>
    <row r="827" ht="15.75" customHeight="1">
      <c r="BW827" s="3"/>
      <c r="BX827" s="3"/>
      <c r="BY827" s="3"/>
      <c r="BZ827" s="3"/>
    </row>
    <row r="828" ht="15.75" customHeight="1">
      <c r="BW828" s="3"/>
      <c r="BX828" s="3"/>
      <c r="BY828" s="3"/>
      <c r="BZ828" s="3"/>
    </row>
    <row r="829" ht="15.75" customHeight="1">
      <c r="BW829" s="3"/>
      <c r="BX829" s="3"/>
      <c r="BY829" s="3"/>
      <c r="BZ829" s="3"/>
    </row>
    <row r="830" ht="15.75" customHeight="1">
      <c r="BW830" s="3"/>
      <c r="BX830" s="3"/>
      <c r="BY830" s="3"/>
      <c r="BZ830" s="3"/>
    </row>
    <row r="831" ht="15.75" customHeight="1">
      <c r="BW831" s="3"/>
      <c r="BX831" s="3"/>
      <c r="BY831" s="3"/>
      <c r="BZ831" s="3"/>
    </row>
    <row r="832" ht="15.75" customHeight="1">
      <c r="BW832" s="3"/>
      <c r="BX832" s="3"/>
      <c r="BY832" s="3"/>
      <c r="BZ832" s="3"/>
    </row>
    <row r="833" ht="15.75" customHeight="1">
      <c r="BW833" s="3"/>
      <c r="BX833" s="3"/>
      <c r="BY833" s="3"/>
      <c r="BZ833" s="3"/>
    </row>
    <row r="834" ht="15.75" customHeight="1">
      <c r="BW834" s="3"/>
      <c r="BX834" s="3"/>
      <c r="BY834" s="3"/>
      <c r="BZ834" s="3"/>
    </row>
    <row r="835" ht="15.75" customHeight="1">
      <c r="BW835" s="3"/>
      <c r="BX835" s="3"/>
      <c r="BY835" s="3"/>
      <c r="BZ835" s="3"/>
    </row>
    <row r="836" ht="15.75" customHeight="1">
      <c r="BW836" s="3"/>
      <c r="BX836" s="3"/>
      <c r="BY836" s="3"/>
      <c r="BZ836" s="3"/>
    </row>
    <row r="837" ht="15.75" customHeight="1">
      <c r="BW837" s="3"/>
      <c r="BX837" s="3"/>
      <c r="BY837" s="3"/>
      <c r="BZ837" s="3"/>
    </row>
    <row r="838" ht="15.75" customHeight="1">
      <c r="BW838" s="3"/>
      <c r="BX838" s="3"/>
      <c r="BY838" s="3"/>
      <c r="BZ838" s="3"/>
    </row>
    <row r="839" ht="15.75" customHeight="1">
      <c r="BW839" s="3"/>
      <c r="BX839" s="3"/>
      <c r="BY839" s="3"/>
      <c r="BZ839" s="3"/>
    </row>
    <row r="840" ht="15.75" customHeight="1">
      <c r="BW840" s="3"/>
      <c r="BX840" s="3"/>
      <c r="BY840" s="3"/>
      <c r="BZ840" s="3"/>
    </row>
    <row r="841" ht="15.75" customHeight="1">
      <c r="BW841" s="3"/>
      <c r="BX841" s="3"/>
      <c r="BY841" s="3"/>
      <c r="BZ841" s="3"/>
    </row>
    <row r="842" ht="15.75" customHeight="1">
      <c r="BW842" s="3"/>
      <c r="BX842" s="3"/>
      <c r="BY842" s="3"/>
      <c r="BZ842" s="3"/>
    </row>
    <row r="843" ht="15.75" customHeight="1">
      <c r="BW843" s="3"/>
      <c r="BX843" s="3"/>
      <c r="BY843" s="3"/>
      <c r="BZ843" s="3"/>
    </row>
    <row r="844" ht="15.75" customHeight="1">
      <c r="BW844" s="3"/>
      <c r="BX844" s="3"/>
      <c r="BY844" s="3"/>
      <c r="BZ844" s="3"/>
    </row>
    <row r="845" ht="15.75" customHeight="1">
      <c r="BW845" s="3"/>
      <c r="BX845" s="3"/>
      <c r="BY845" s="3"/>
      <c r="BZ845" s="3"/>
    </row>
    <row r="846" ht="15.75" customHeight="1">
      <c r="BW846" s="3"/>
      <c r="BX846" s="3"/>
      <c r="BY846" s="3"/>
      <c r="BZ846" s="3"/>
    </row>
    <row r="847" ht="15.75" customHeight="1">
      <c r="BW847" s="3"/>
      <c r="BX847" s="3"/>
      <c r="BY847" s="3"/>
      <c r="BZ847" s="3"/>
    </row>
    <row r="848" ht="15.75" customHeight="1">
      <c r="BW848" s="3"/>
      <c r="BX848" s="3"/>
      <c r="BY848" s="3"/>
      <c r="BZ848" s="3"/>
    </row>
    <row r="849" ht="15.75" customHeight="1">
      <c r="BW849" s="3"/>
      <c r="BX849" s="3"/>
      <c r="BY849" s="3"/>
      <c r="BZ849" s="3"/>
    </row>
    <row r="850" ht="15.75" customHeight="1">
      <c r="BW850" s="3"/>
      <c r="BX850" s="3"/>
      <c r="BY850" s="3"/>
      <c r="BZ850" s="3"/>
    </row>
    <row r="851" ht="15.75" customHeight="1">
      <c r="BW851" s="3"/>
      <c r="BX851" s="3"/>
      <c r="BY851" s="3"/>
      <c r="BZ851" s="3"/>
    </row>
    <row r="852" ht="15.75" customHeight="1">
      <c r="BW852" s="3"/>
      <c r="BX852" s="3"/>
      <c r="BY852" s="3"/>
      <c r="BZ852" s="3"/>
    </row>
    <row r="853" ht="15.75" customHeight="1">
      <c r="BW853" s="3"/>
      <c r="BX853" s="3"/>
      <c r="BY853" s="3"/>
      <c r="BZ853" s="3"/>
    </row>
    <row r="854" ht="15.75" customHeight="1">
      <c r="BW854" s="3"/>
      <c r="BX854" s="3"/>
      <c r="BY854" s="3"/>
      <c r="BZ854" s="3"/>
    </row>
    <row r="855" ht="15.75" customHeight="1">
      <c r="BW855" s="3"/>
      <c r="BX855" s="3"/>
      <c r="BY855" s="3"/>
      <c r="BZ855" s="3"/>
    </row>
    <row r="856" ht="15.75" customHeight="1">
      <c r="BW856" s="3"/>
      <c r="BX856" s="3"/>
      <c r="BY856" s="3"/>
      <c r="BZ856" s="3"/>
    </row>
    <row r="857" ht="15.75" customHeight="1">
      <c r="BW857" s="3"/>
      <c r="BX857" s="3"/>
      <c r="BY857" s="3"/>
      <c r="BZ857" s="3"/>
    </row>
    <row r="858" ht="15.75" customHeight="1">
      <c r="BW858" s="3"/>
      <c r="BX858" s="3"/>
      <c r="BY858" s="3"/>
      <c r="BZ858" s="3"/>
    </row>
    <row r="859" ht="15.75" customHeight="1">
      <c r="BW859" s="3"/>
      <c r="BX859" s="3"/>
      <c r="BY859" s="3"/>
      <c r="BZ859" s="3"/>
    </row>
    <row r="860" ht="15.75" customHeight="1">
      <c r="BW860" s="3"/>
      <c r="BX860" s="3"/>
      <c r="BY860" s="3"/>
      <c r="BZ860" s="3"/>
    </row>
    <row r="861" ht="15.75" customHeight="1">
      <c r="BW861" s="3"/>
      <c r="BX861" s="3"/>
      <c r="BY861" s="3"/>
      <c r="BZ861" s="3"/>
    </row>
    <row r="862" ht="15.75" customHeight="1">
      <c r="BW862" s="3"/>
      <c r="BX862" s="3"/>
      <c r="BY862" s="3"/>
      <c r="BZ862" s="3"/>
    </row>
    <row r="863" ht="15.75" customHeight="1">
      <c r="BW863" s="3"/>
      <c r="BX863" s="3"/>
      <c r="BY863" s="3"/>
      <c r="BZ863" s="3"/>
    </row>
    <row r="864" ht="15.75" customHeight="1">
      <c r="BW864" s="3"/>
      <c r="BX864" s="3"/>
      <c r="BY864" s="3"/>
      <c r="BZ864" s="3"/>
    </row>
    <row r="865" ht="15.75" customHeight="1">
      <c r="BW865" s="3"/>
      <c r="BX865" s="3"/>
      <c r="BY865" s="3"/>
      <c r="BZ865" s="3"/>
    </row>
    <row r="866" ht="15.75" customHeight="1">
      <c r="BW866" s="3"/>
      <c r="BX866" s="3"/>
      <c r="BY866" s="3"/>
      <c r="BZ866" s="3"/>
    </row>
    <row r="867" ht="15.75" customHeight="1">
      <c r="BW867" s="3"/>
      <c r="BX867" s="3"/>
      <c r="BY867" s="3"/>
      <c r="BZ867" s="3"/>
    </row>
    <row r="868" ht="15.75" customHeight="1">
      <c r="BW868" s="3"/>
      <c r="BX868" s="3"/>
      <c r="BY868" s="3"/>
      <c r="BZ868" s="3"/>
    </row>
    <row r="869" ht="15.75" customHeight="1">
      <c r="BW869" s="3"/>
      <c r="BX869" s="3"/>
      <c r="BY869" s="3"/>
      <c r="BZ869" s="3"/>
    </row>
    <row r="870" ht="15.75" customHeight="1">
      <c r="BW870" s="3"/>
      <c r="BX870" s="3"/>
      <c r="BY870" s="3"/>
      <c r="BZ870" s="3"/>
    </row>
    <row r="871" ht="15.75" customHeight="1">
      <c r="BW871" s="3"/>
      <c r="BX871" s="3"/>
      <c r="BY871" s="3"/>
      <c r="BZ871" s="3"/>
    </row>
    <row r="872" ht="15.75" customHeight="1">
      <c r="BW872" s="3"/>
      <c r="BX872" s="3"/>
      <c r="BY872" s="3"/>
      <c r="BZ872" s="3"/>
    </row>
    <row r="873" ht="15.75" customHeight="1">
      <c r="BW873" s="3"/>
      <c r="BX873" s="3"/>
      <c r="BY873" s="3"/>
      <c r="BZ873" s="3"/>
    </row>
    <row r="874" ht="15.75" customHeight="1">
      <c r="BW874" s="3"/>
      <c r="BX874" s="3"/>
      <c r="BY874" s="3"/>
      <c r="BZ874" s="3"/>
    </row>
    <row r="875" ht="15.75" customHeight="1">
      <c r="BW875" s="3"/>
      <c r="BX875" s="3"/>
      <c r="BY875" s="3"/>
      <c r="BZ875" s="3"/>
    </row>
    <row r="876" ht="15.75" customHeight="1">
      <c r="BW876" s="3"/>
      <c r="BX876" s="3"/>
      <c r="BY876" s="3"/>
      <c r="BZ876" s="3"/>
    </row>
    <row r="877" ht="15.75" customHeight="1">
      <c r="BW877" s="3"/>
      <c r="BX877" s="3"/>
      <c r="BY877" s="3"/>
      <c r="BZ877" s="3"/>
    </row>
    <row r="878" ht="15.75" customHeight="1">
      <c r="BW878" s="3"/>
      <c r="BX878" s="3"/>
      <c r="BY878" s="3"/>
      <c r="BZ878" s="3"/>
    </row>
    <row r="879" ht="15.75" customHeight="1">
      <c r="BW879" s="3"/>
      <c r="BX879" s="3"/>
      <c r="BY879" s="3"/>
      <c r="BZ879" s="3"/>
    </row>
    <row r="880" ht="15.75" customHeight="1">
      <c r="BW880" s="3"/>
      <c r="BX880" s="3"/>
      <c r="BY880" s="3"/>
      <c r="BZ880" s="3"/>
    </row>
    <row r="881" ht="15.75" customHeight="1">
      <c r="BW881" s="3"/>
      <c r="BX881" s="3"/>
      <c r="BY881" s="3"/>
      <c r="BZ881" s="3"/>
    </row>
    <row r="882" ht="15.75" customHeight="1">
      <c r="BW882" s="3"/>
      <c r="BX882" s="3"/>
      <c r="BY882" s="3"/>
      <c r="BZ882" s="3"/>
    </row>
    <row r="883" ht="15.75" customHeight="1">
      <c r="BW883" s="3"/>
      <c r="BX883" s="3"/>
      <c r="BY883" s="3"/>
      <c r="BZ883" s="3"/>
    </row>
    <row r="884" ht="15.75" customHeight="1">
      <c r="BW884" s="3"/>
      <c r="BX884" s="3"/>
      <c r="BY884" s="3"/>
      <c r="BZ884" s="3"/>
    </row>
    <row r="885" ht="15.75" customHeight="1">
      <c r="BW885" s="3"/>
      <c r="BX885" s="3"/>
      <c r="BY885" s="3"/>
      <c r="BZ885" s="3"/>
    </row>
    <row r="886" ht="15.75" customHeight="1">
      <c r="BW886" s="3"/>
      <c r="BX886" s="3"/>
      <c r="BY886" s="3"/>
      <c r="BZ886" s="3"/>
    </row>
    <row r="887" ht="15.75" customHeight="1">
      <c r="BW887" s="3"/>
      <c r="BX887" s="3"/>
      <c r="BY887" s="3"/>
      <c r="BZ887" s="3"/>
    </row>
    <row r="888" ht="15.75" customHeight="1">
      <c r="BW888" s="3"/>
      <c r="BX888" s="3"/>
      <c r="BY888" s="3"/>
      <c r="BZ888" s="3"/>
    </row>
    <row r="889" ht="15.75" customHeight="1">
      <c r="BW889" s="3"/>
      <c r="BX889" s="3"/>
      <c r="BY889" s="3"/>
      <c r="BZ889" s="3"/>
    </row>
    <row r="890" ht="15.75" customHeight="1">
      <c r="BW890" s="3"/>
      <c r="BX890" s="3"/>
      <c r="BY890" s="3"/>
      <c r="BZ890" s="3"/>
    </row>
    <row r="891" ht="15.75" customHeight="1">
      <c r="BW891" s="3"/>
      <c r="BX891" s="3"/>
      <c r="BY891" s="3"/>
      <c r="BZ891" s="3"/>
    </row>
    <row r="892" ht="15.75" customHeight="1">
      <c r="BW892" s="3"/>
      <c r="BX892" s="3"/>
      <c r="BY892" s="3"/>
      <c r="BZ892" s="3"/>
    </row>
    <row r="893" ht="15.75" customHeight="1">
      <c r="BW893" s="3"/>
      <c r="BX893" s="3"/>
      <c r="BY893" s="3"/>
      <c r="BZ893" s="3"/>
    </row>
    <row r="894" ht="15.75" customHeight="1">
      <c r="BW894" s="3"/>
      <c r="BX894" s="3"/>
      <c r="BY894" s="3"/>
      <c r="BZ894" s="3"/>
    </row>
    <row r="895" ht="15.75" customHeight="1">
      <c r="BW895" s="3"/>
      <c r="BX895" s="3"/>
      <c r="BY895" s="3"/>
      <c r="BZ895" s="3"/>
    </row>
    <row r="896" ht="15.75" customHeight="1">
      <c r="BW896" s="3"/>
      <c r="BX896" s="3"/>
      <c r="BY896" s="3"/>
      <c r="BZ896" s="3"/>
    </row>
    <row r="897" ht="15.75" customHeight="1">
      <c r="BW897" s="3"/>
      <c r="BX897" s="3"/>
      <c r="BY897" s="3"/>
      <c r="BZ897" s="3"/>
    </row>
    <row r="898" ht="15.75" customHeight="1">
      <c r="BW898" s="3"/>
      <c r="BX898" s="3"/>
      <c r="BY898" s="3"/>
      <c r="BZ898" s="3"/>
    </row>
    <row r="899" ht="15.75" customHeight="1">
      <c r="BW899" s="3"/>
      <c r="BX899" s="3"/>
      <c r="BY899" s="3"/>
      <c r="BZ899" s="3"/>
    </row>
    <row r="900" ht="15.75" customHeight="1">
      <c r="BW900" s="3"/>
      <c r="BX900" s="3"/>
      <c r="BY900" s="3"/>
      <c r="BZ900" s="3"/>
    </row>
    <row r="901" ht="15.75" customHeight="1">
      <c r="BW901" s="3"/>
      <c r="BX901" s="3"/>
      <c r="BY901" s="3"/>
      <c r="BZ901" s="3"/>
    </row>
    <row r="902" ht="15.75" customHeight="1">
      <c r="BW902" s="3"/>
      <c r="BX902" s="3"/>
      <c r="BY902" s="3"/>
      <c r="BZ902" s="3"/>
    </row>
    <row r="903" ht="15.75" customHeight="1">
      <c r="BW903" s="3"/>
      <c r="BX903" s="3"/>
      <c r="BY903" s="3"/>
      <c r="BZ903" s="3"/>
    </row>
    <row r="904" ht="15.75" customHeight="1">
      <c r="BW904" s="3"/>
      <c r="BX904" s="3"/>
      <c r="BY904" s="3"/>
      <c r="BZ904" s="3"/>
    </row>
    <row r="905" ht="15.75" customHeight="1">
      <c r="BW905" s="3"/>
      <c r="BX905" s="3"/>
      <c r="BY905" s="3"/>
      <c r="BZ905" s="3"/>
    </row>
    <row r="906" ht="15.75" customHeight="1">
      <c r="BW906" s="3"/>
      <c r="BX906" s="3"/>
      <c r="BY906" s="3"/>
      <c r="BZ906" s="3"/>
    </row>
    <row r="907" ht="15.75" customHeight="1">
      <c r="BW907" s="3"/>
      <c r="BX907" s="3"/>
      <c r="BY907" s="3"/>
      <c r="BZ907" s="3"/>
    </row>
    <row r="908" ht="15.75" customHeight="1">
      <c r="BW908" s="3"/>
      <c r="BX908" s="3"/>
      <c r="BY908" s="3"/>
      <c r="BZ908" s="3"/>
    </row>
    <row r="909" ht="15.75" customHeight="1">
      <c r="BW909" s="3"/>
      <c r="BX909" s="3"/>
      <c r="BY909" s="3"/>
      <c r="BZ909" s="3"/>
    </row>
    <row r="910" ht="15.75" customHeight="1">
      <c r="BW910" s="3"/>
      <c r="BX910" s="3"/>
      <c r="BY910" s="3"/>
      <c r="BZ910" s="3"/>
    </row>
    <row r="911" ht="15.75" customHeight="1">
      <c r="BW911" s="3"/>
      <c r="BX911" s="3"/>
      <c r="BY911" s="3"/>
      <c r="BZ911" s="3"/>
    </row>
    <row r="912" ht="15.75" customHeight="1">
      <c r="BW912" s="3"/>
      <c r="BX912" s="3"/>
      <c r="BY912" s="3"/>
      <c r="BZ912" s="3"/>
    </row>
    <row r="913" ht="15.75" customHeight="1">
      <c r="BW913" s="3"/>
      <c r="BX913" s="3"/>
      <c r="BY913" s="3"/>
      <c r="BZ913" s="3"/>
    </row>
    <row r="914" ht="15.75" customHeight="1">
      <c r="BW914" s="3"/>
      <c r="BX914" s="3"/>
      <c r="BY914" s="3"/>
      <c r="BZ914" s="3"/>
    </row>
    <row r="915" ht="15.75" customHeight="1">
      <c r="BW915" s="3"/>
      <c r="BX915" s="3"/>
      <c r="BY915" s="3"/>
      <c r="BZ915" s="3"/>
    </row>
    <row r="916" ht="15.75" customHeight="1">
      <c r="BW916" s="3"/>
      <c r="BX916" s="3"/>
      <c r="BY916" s="3"/>
      <c r="BZ916" s="3"/>
    </row>
    <row r="917" ht="15.75" customHeight="1">
      <c r="BW917" s="3"/>
      <c r="BX917" s="3"/>
      <c r="BY917" s="3"/>
      <c r="BZ917" s="3"/>
    </row>
    <row r="918" ht="15.75" customHeight="1">
      <c r="BW918" s="3"/>
      <c r="BX918" s="3"/>
      <c r="BY918" s="3"/>
      <c r="BZ918" s="3"/>
    </row>
    <row r="919" ht="15.75" customHeight="1">
      <c r="BW919" s="3"/>
      <c r="BX919" s="3"/>
      <c r="BY919" s="3"/>
      <c r="BZ919" s="3"/>
    </row>
    <row r="920" ht="15.75" customHeight="1">
      <c r="BW920" s="3"/>
      <c r="BX920" s="3"/>
      <c r="BY920" s="3"/>
      <c r="BZ920" s="3"/>
    </row>
    <row r="921" ht="15.75" customHeight="1">
      <c r="BW921" s="3"/>
      <c r="BX921" s="3"/>
      <c r="BY921" s="3"/>
      <c r="BZ921" s="3"/>
    </row>
    <row r="922" ht="15.75" customHeight="1">
      <c r="BW922" s="3"/>
      <c r="BX922" s="3"/>
      <c r="BY922" s="3"/>
      <c r="BZ922" s="3"/>
    </row>
    <row r="923" ht="15.75" customHeight="1">
      <c r="BW923" s="3"/>
      <c r="BX923" s="3"/>
      <c r="BY923" s="3"/>
      <c r="BZ923" s="3"/>
    </row>
    <row r="924" ht="15.75" customHeight="1">
      <c r="BW924" s="3"/>
      <c r="BX924" s="3"/>
      <c r="BY924" s="3"/>
      <c r="BZ924" s="3"/>
    </row>
    <row r="925" ht="15.75" customHeight="1">
      <c r="BW925" s="3"/>
      <c r="BX925" s="3"/>
      <c r="BY925" s="3"/>
      <c r="BZ925" s="3"/>
    </row>
    <row r="926" ht="15.75" customHeight="1">
      <c r="BW926" s="3"/>
      <c r="BX926" s="3"/>
      <c r="BY926" s="3"/>
      <c r="BZ926" s="3"/>
    </row>
    <row r="927" ht="15.75" customHeight="1">
      <c r="BW927" s="3"/>
      <c r="BX927" s="3"/>
      <c r="BY927" s="3"/>
      <c r="BZ927" s="3"/>
    </row>
    <row r="928" ht="15.75" customHeight="1">
      <c r="BW928" s="3"/>
      <c r="BX928" s="3"/>
      <c r="BY928" s="3"/>
      <c r="BZ928" s="3"/>
    </row>
    <row r="929" ht="15.75" customHeight="1">
      <c r="BW929" s="3"/>
      <c r="BX929" s="3"/>
      <c r="BY929" s="3"/>
      <c r="BZ929" s="3"/>
    </row>
    <row r="930" ht="15.75" customHeight="1">
      <c r="BW930" s="3"/>
      <c r="BX930" s="3"/>
      <c r="BY930" s="3"/>
      <c r="BZ930" s="3"/>
    </row>
    <row r="931" ht="15.75" customHeight="1">
      <c r="BW931" s="3"/>
      <c r="BX931" s="3"/>
      <c r="BY931" s="3"/>
      <c r="BZ931" s="3"/>
    </row>
    <row r="932" ht="15.75" customHeight="1">
      <c r="BW932" s="3"/>
      <c r="BX932" s="3"/>
      <c r="BY932" s="3"/>
      <c r="BZ932" s="3"/>
    </row>
    <row r="933" ht="15.75" customHeight="1">
      <c r="BW933" s="3"/>
      <c r="BX933" s="3"/>
      <c r="BY933" s="3"/>
      <c r="BZ933" s="3"/>
    </row>
    <row r="934" ht="15.75" customHeight="1">
      <c r="BW934" s="3"/>
      <c r="BX934" s="3"/>
      <c r="BY934" s="3"/>
      <c r="BZ934" s="3"/>
    </row>
    <row r="935" ht="15.75" customHeight="1">
      <c r="BW935" s="3"/>
      <c r="BX935" s="3"/>
      <c r="BY935" s="3"/>
      <c r="BZ935" s="3"/>
    </row>
    <row r="936" ht="15.75" customHeight="1">
      <c r="BW936" s="3"/>
      <c r="BX936" s="3"/>
      <c r="BY936" s="3"/>
      <c r="BZ936" s="3"/>
    </row>
    <row r="937" ht="15.75" customHeight="1">
      <c r="BW937" s="3"/>
      <c r="BX937" s="3"/>
      <c r="BY937" s="3"/>
      <c r="BZ937" s="3"/>
    </row>
    <row r="938" ht="15.75" customHeight="1">
      <c r="BW938" s="3"/>
      <c r="BX938" s="3"/>
      <c r="BY938" s="3"/>
      <c r="BZ938" s="3"/>
    </row>
    <row r="939" ht="15.75" customHeight="1">
      <c r="BW939" s="3"/>
      <c r="BX939" s="3"/>
      <c r="BY939" s="3"/>
      <c r="BZ939" s="3"/>
    </row>
    <row r="940" ht="15.75" customHeight="1">
      <c r="BW940" s="3"/>
      <c r="BX940" s="3"/>
      <c r="BY940" s="3"/>
      <c r="BZ940" s="3"/>
    </row>
    <row r="941" ht="15.75" customHeight="1">
      <c r="BW941" s="3"/>
      <c r="BX941" s="3"/>
      <c r="BY941" s="3"/>
      <c r="BZ941" s="3"/>
    </row>
    <row r="942" ht="15.75" customHeight="1">
      <c r="BW942" s="3"/>
      <c r="BX942" s="3"/>
      <c r="BY942" s="3"/>
      <c r="BZ942" s="3"/>
    </row>
    <row r="943" ht="15.75" customHeight="1">
      <c r="BW943" s="3"/>
      <c r="BX943" s="3"/>
      <c r="BY943" s="3"/>
      <c r="BZ943" s="3"/>
    </row>
    <row r="944" ht="15.75" customHeight="1">
      <c r="BW944" s="3"/>
      <c r="BX944" s="3"/>
      <c r="BY944" s="3"/>
      <c r="BZ944" s="3"/>
    </row>
    <row r="945" ht="15.75" customHeight="1">
      <c r="BW945" s="3"/>
      <c r="BX945" s="3"/>
      <c r="BY945" s="3"/>
      <c r="BZ945" s="3"/>
    </row>
    <row r="946" ht="15.75" customHeight="1">
      <c r="BW946" s="3"/>
      <c r="BX946" s="3"/>
      <c r="BY946" s="3"/>
      <c r="BZ946" s="3"/>
    </row>
    <row r="947" ht="15.75" customHeight="1">
      <c r="BW947" s="3"/>
      <c r="BX947" s="3"/>
      <c r="BY947" s="3"/>
      <c r="BZ947" s="3"/>
    </row>
    <row r="948" ht="15.75" customHeight="1">
      <c r="BW948" s="3"/>
      <c r="BX948" s="3"/>
      <c r="BY948" s="3"/>
      <c r="BZ948" s="3"/>
    </row>
    <row r="949" ht="15.75" customHeight="1">
      <c r="BW949" s="3"/>
      <c r="BX949" s="3"/>
      <c r="BY949" s="3"/>
      <c r="BZ949" s="3"/>
    </row>
    <row r="950" ht="15.75" customHeight="1">
      <c r="BW950" s="3"/>
      <c r="BX950" s="3"/>
      <c r="BY950" s="3"/>
      <c r="BZ950" s="3"/>
    </row>
    <row r="951" ht="15.75" customHeight="1">
      <c r="BW951" s="3"/>
      <c r="BX951" s="3"/>
      <c r="BY951" s="3"/>
      <c r="BZ951" s="3"/>
    </row>
    <row r="952" ht="15.75" customHeight="1">
      <c r="BW952" s="3"/>
      <c r="BX952" s="3"/>
      <c r="BY952" s="3"/>
      <c r="BZ952" s="3"/>
    </row>
    <row r="953" ht="15.75" customHeight="1">
      <c r="BW953" s="3"/>
      <c r="BX953" s="3"/>
      <c r="BY953" s="3"/>
      <c r="BZ953" s="3"/>
    </row>
    <row r="954" ht="15.75" customHeight="1">
      <c r="BW954" s="3"/>
      <c r="BX954" s="3"/>
      <c r="BY954" s="3"/>
      <c r="BZ954" s="3"/>
    </row>
    <row r="955" ht="15.75" customHeight="1">
      <c r="BW955" s="3"/>
      <c r="BX955" s="3"/>
      <c r="BY955" s="3"/>
      <c r="BZ955" s="3"/>
    </row>
    <row r="956" ht="15.75" customHeight="1">
      <c r="BW956" s="3"/>
      <c r="BX956" s="3"/>
      <c r="BY956" s="3"/>
      <c r="BZ956" s="3"/>
    </row>
    <row r="957" ht="15.75" customHeight="1">
      <c r="BW957" s="3"/>
      <c r="BX957" s="3"/>
      <c r="BY957" s="3"/>
      <c r="BZ957" s="3"/>
    </row>
    <row r="958" ht="15.75" customHeight="1">
      <c r="BW958" s="3"/>
      <c r="BX958" s="3"/>
      <c r="BY958" s="3"/>
      <c r="BZ958" s="3"/>
    </row>
    <row r="959" ht="15.75" customHeight="1">
      <c r="BW959" s="3"/>
      <c r="BX959" s="3"/>
      <c r="BY959" s="3"/>
      <c r="BZ959" s="3"/>
    </row>
    <row r="960" ht="15.75" customHeight="1">
      <c r="BW960" s="3"/>
      <c r="BX960" s="3"/>
      <c r="BY960" s="3"/>
      <c r="BZ960" s="3"/>
    </row>
    <row r="961" ht="15.75" customHeight="1">
      <c r="BW961" s="3"/>
      <c r="BX961" s="3"/>
      <c r="BY961" s="3"/>
      <c r="BZ961" s="3"/>
    </row>
    <row r="962" ht="15.75" customHeight="1">
      <c r="BW962" s="3"/>
      <c r="BX962" s="3"/>
      <c r="BY962" s="3"/>
      <c r="BZ962" s="3"/>
    </row>
    <row r="963" ht="15.75" customHeight="1">
      <c r="BW963" s="3"/>
      <c r="BX963" s="3"/>
      <c r="BY963" s="3"/>
      <c r="BZ963" s="3"/>
    </row>
    <row r="964" ht="15.75" customHeight="1">
      <c r="BW964" s="3"/>
      <c r="BX964" s="3"/>
      <c r="BY964" s="3"/>
      <c r="BZ964" s="3"/>
    </row>
    <row r="965" ht="15.75" customHeight="1">
      <c r="BW965" s="3"/>
      <c r="BX965" s="3"/>
      <c r="BY965" s="3"/>
      <c r="BZ965" s="3"/>
    </row>
    <row r="966" ht="15.75" customHeight="1">
      <c r="BW966" s="3"/>
      <c r="BX966" s="3"/>
      <c r="BY966" s="3"/>
      <c r="BZ966" s="3"/>
    </row>
    <row r="967" ht="15.75" customHeight="1">
      <c r="BW967" s="3"/>
      <c r="BX967" s="3"/>
      <c r="BY967" s="3"/>
      <c r="BZ967" s="3"/>
    </row>
    <row r="968" ht="15.75" customHeight="1">
      <c r="BW968" s="3"/>
      <c r="BX968" s="3"/>
      <c r="BY968" s="3"/>
      <c r="BZ968" s="3"/>
    </row>
    <row r="969" ht="15.75" customHeight="1">
      <c r="BW969" s="3"/>
      <c r="BX969" s="3"/>
      <c r="BY969" s="3"/>
      <c r="BZ969" s="3"/>
    </row>
    <row r="970" ht="15.75" customHeight="1">
      <c r="BW970" s="3"/>
      <c r="BX970" s="3"/>
      <c r="BY970" s="3"/>
      <c r="BZ970" s="3"/>
    </row>
    <row r="971" ht="15.75" customHeight="1">
      <c r="BW971" s="3"/>
      <c r="BX971" s="3"/>
      <c r="BY971" s="3"/>
      <c r="BZ971" s="3"/>
    </row>
    <row r="972" ht="15.75" customHeight="1">
      <c r="BW972" s="3"/>
      <c r="BX972" s="3"/>
      <c r="BY972" s="3"/>
      <c r="BZ972" s="3"/>
    </row>
    <row r="973" ht="15.75" customHeight="1">
      <c r="BW973" s="3"/>
      <c r="BX973" s="3"/>
      <c r="BY973" s="3"/>
      <c r="BZ973" s="3"/>
    </row>
    <row r="974" ht="15.75" customHeight="1">
      <c r="BW974" s="3"/>
      <c r="BX974" s="3"/>
      <c r="BY974" s="3"/>
      <c r="BZ974" s="3"/>
    </row>
    <row r="975" ht="15.75" customHeight="1">
      <c r="BW975" s="3"/>
      <c r="BX975" s="3"/>
      <c r="BY975" s="3"/>
      <c r="BZ975" s="3"/>
    </row>
    <row r="976" ht="15.75" customHeight="1">
      <c r="BW976" s="3"/>
      <c r="BX976" s="3"/>
      <c r="BY976" s="3"/>
      <c r="BZ976" s="3"/>
    </row>
    <row r="977" ht="15.75" customHeight="1">
      <c r="BW977" s="3"/>
      <c r="BX977" s="3"/>
      <c r="BY977" s="3"/>
      <c r="BZ977" s="3"/>
    </row>
    <row r="978" ht="15.75" customHeight="1">
      <c r="BW978" s="3"/>
      <c r="BX978" s="3"/>
      <c r="BY978" s="3"/>
      <c r="BZ978" s="3"/>
    </row>
    <row r="979" ht="15.75" customHeight="1">
      <c r="BW979" s="3"/>
      <c r="BX979" s="3"/>
      <c r="BY979" s="3"/>
      <c r="BZ979" s="3"/>
    </row>
    <row r="980" ht="15.75" customHeight="1">
      <c r="BW980" s="3"/>
      <c r="BX980" s="3"/>
      <c r="BY980" s="3"/>
      <c r="BZ980" s="3"/>
    </row>
    <row r="981" ht="15.75" customHeight="1">
      <c r="BW981" s="3"/>
      <c r="BX981" s="3"/>
      <c r="BY981" s="3"/>
      <c r="BZ981" s="3"/>
    </row>
    <row r="982" ht="15.75" customHeight="1">
      <c r="BW982" s="3"/>
      <c r="BX982" s="3"/>
      <c r="BY982" s="3"/>
      <c r="BZ982" s="3"/>
    </row>
    <row r="983" ht="15.75" customHeight="1">
      <c r="BW983" s="3"/>
      <c r="BX983" s="3"/>
      <c r="BY983" s="3"/>
      <c r="BZ983" s="3"/>
    </row>
    <row r="984" ht="15.75" customHeight="1">
      <c r="BW984" s="3"/>
      <c r="BX984" s="3"/>
      <c r="BY984" s="3"/>
      <c r="BZ984" s="3"/>
    </row>
    <row r="985" ht="15.75" customHeight="1">
      <c r="BW985" s="3"/>
      <c r="BX985" s="3"/>
      <c r="BY985" s="3"/>
      <c r="BZ985" s="3"/>
    </row>
    <row r="986" ht="15.75" customHeight="1">
      <c r="BW986" s="3"/>
      <c r="BX986" s="3"/>
      <c r="BY986" s="3"/>
      <c r="BZ986" s="3"/>
    </row>
    <row r="987" ht="15.75" customHeight="1">
      <c r="BW987" s="3"/>
      <c r="BX987" s="3"/>
      <c r="BY987" s="3"/>
      <c r="BZ987" s="3"/>
    </row>
    <row r="988" ht="15.75" customHeight="1">
      <c r="BW988" s="3"/>
      <c r="BX988" s="3"/>
      <c r="BY988" s="3"/>
      <c r="BZ988" s="3"/>
    </row>
    <row r="989" ht="15.75" customHeight="1">
      <c r="BW989" s="3"/>
      <c r="BX989" s="3"/>
      <c r="BY989" s="3"/>
      <c r="BZ989" s="3"/>
    </row>
    <row r="990" ht="15.75" customHeight="1">
      <c r="BW990" s="3"/>
      <c r="BX990" s="3"/>
      <c r="BY990" s="3"/>
      <c r="BZ990" s="3"/>
    </row>
    <row r="991" ht="15.75" customHeight="1">
      <c r="BW991" s="3"/>
      <c r="BX991" s="3"/>
      <c r="BY991" s="3"/>
      <c r="BZ991" s="3"/>
    </row>
    <row r="992" ht="15.75" customHeight="1">
      <c r="BW992" s="3"/>
      <c r="BX992" s="3"/>
      <c r="BY992" s="3"/>
      <c r="BZ992" s="3"/>
    </row>
    <row r="993" ht="15.75" customHeight="1">
      <c r="BW993" s="3"/>
      <c r="BX993" s="3"/>
      <c r="BY993" s="3"/>
      <c r="BZ993" s="3"/>
    </row>
    <row r="994" ht="15.75" customHeight="1">
      <c r="BW994" s="3"/>
      <c r="BX994" s="3"/>
      <c r="BY994" s="3"/>
      <c r="BZ994" s="3"/>
    </row>
    <row r="995" ht="15.75" customHeight="1">
      <c r="BW995" s="3"/>
      <c r="BX995" s="3"/>
      <c r="BY995" s="3"/>
      <c r="BZ995" s="3"/>
    </row>
    <row r="996" ht="15.75" customHeight="1">
      <c r="BW996" s="3"/>
      <c r="BX996" s="3"/>
      <c r="BY996" s="3"/>
      <c r="BZ996" s="3"/>
    </row>
    <row r="997" ht="15.75" customHeight="1">
      <c r="BW997" s="3"/>
      <c r="BX997" s="3"/>
      <c r="BY997" s="3"/>
      <c r="BZ997" s="3"/>
    </row>
    <row r="998" ht="15.75" customHeight="1">
      <c r="BW998" s="3"/>
      <c r="BX998" s="3"/>
      <c r="BY998" s="3"/>
      <c r="BZ998" s="3"/>
    </row>
    <row r="999" ht="15.75" customHeight="1">
      <c r="BW999" s="3"/>
      <c r="BX999" s="3"/>
      <c r="BY999" s="3"/>
      <c r="BZ999" s="3"/>
    </row>
    <row r="1000" ht="15.75" customHeight="1">
      <c r="BW1000" s="3"/>
      <c r="BX1000" s="3"/>
      <c r="BY1000" s="3"/>
      <c r="BZ1000" s="3"/>
    </row>
  </sheetData>
  <mergeCells count="6">
    <mergeCell ref="A1:BU3"/>
    <mergeCell ref="A4:BU4"/>
    <mergeCell ref="A5:BU5"/>
    <mergeCell ref="AC101:AP101"/>
    <mergeCell ref="AC102:AP102"/>
    <mergeCell ref="AC103:AP103"/>
  </mergeCells>
  <printOptions horizontalCentered="1"/>
  <pageMargins bottom="0.75" footer="0.0" header="0.0" left="0.25" right="0.25"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7030A0"/>
    <pageSetUpPr fitToPage="1"/>
  </sheetPr>
  <sheetViews>
    <sheetView showGridLines="0" workbookViewId="0"/>
  </sheetViews>
  <sheetFormatPr customHeight="1" defaultColWidth="14.43" defaultRowHeight="15.0"/>
  <cols>
    <col customWidth="1" min="1" max="1" width="7.0"/>
    <col customWidth="1" min="2" max="2" width="3.43"/>
    <col customWidth="1" min="3" max="73" width="1.86"/>
    <col customWidth="1" min="74" max="78" width="8.86"/>
  </cols>
  <sheetData>
    <row r="1" ht="15.0" customHeight="1">
      <c r="A1" s="10" t="s">
        <v>7</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11"/>
      <c r="BW1" s="11"/>
      <c r="BX1" s="11"/>
      <c r="BY1" s="11"/>
      <c r="BZ1" s="11"/>
    </row>
    <row r="2">
      <c r="A2" s="4"/>
      <c r="BV2" s="11"/>
      <c r="BW2" s="11"/>
      <c r="BX2" s="11"/>
      <c r="BY2" s="11"/>
      <c r="BZ2" s="11"/>
    </row>
    <row r="3">
      <c r="A3" s="4"/>
      <c r="BV3" s="11"/>
      <c r="BW3" s="11"/>
      <c r="BX3" s="11"/>
      <c r="BY3" s="11"/>
      <c r="BZ3" s="11"/>
    </row>
    <row r="4">
      <c r="BT4" s="14"/>
      <c r="BU4" s="14"/>
      <c r="BV4" s="11"/>
      <c r="BW4" s="11"/>
      <c r="BX4" s="11"/>
      <c r="BY4" s="11"/>
      <c r="BZ4" s="11"/>
    </row>
    <row r="5" ht="19.5" customHeight="1">
      <c r="AK5" s="15" t="s">
        <v>10</v>
      </c>
      <c r="AL5" s="16"/>
      <c r="AM5" s="16"/>
      <c r="AN5" s="17"/>
      <c r="AO5" s="15" t="s">
        <v>12</v>
      </c>
      <c r="AP5" s="16"/>
      <c r="AQ5" s="16"/>
      <c r="AR5" s="16"/>
      <c r="AS5" s="17"/>
      <c r="AT5" s="15" t="s">
        <v>14</v>
      </c>
      <c r="AU5" s="16"/>
      <c r="AV5" s="16"/>
      <c r="AW5" s="16"/>
      <c r="AX5" s="17"/>
      <c r="AY5" s="15" t="s">
        <v>15</v>
      </c>
      <c r="AZ5" s="16"/>
      <c r="BA5" s="16"/>
      <c r="BB5" s="16"/>
      <c r="BC5" s="17"/>
      <c r="BD5" s="15" t="s">
        <v>16</v>
      </c>
      <c r="BE5" s="16"/>
      <c r="BF5" s="16"/>
      <c r="BG5" s="16"/>
      <c r="BH5" s="17"/>
      <c r="BT5" s="14"/>
      <c r="BU5" s="14"/>
      <c r="BV5" s="11"/>
      <c r="BW5" s="11"/>
      <c r="BX5" s="11"/>
      <c r="BY5" s="11"/>
      <c r="BZ5" s="11"/>
    </row>
    <row r="6" ht="19.5" customHeight="1">
      <c r="B6" s="15" t="s">
        <v>17</v>
      </c>
      <c r="C6" s="16"/>
      <c r="D6" s="16"/>
      <c r="E6" s="16"/>
      <c r="F6" s="16"/>
      <c r="G6" s="17"/>
      <c r="H6" s="20" t="s">
        <v>18</v>
      </c>
      <c r="I6" s="16"/>
      <c r="J6" s="16"/>
      <c r="K6" s="16"/>
      <c r="L6" s="16"/>
      <c r="M6" s="16"/>
      <c r="N6" s="16"/>
      <c r="O6" s="16"/>
      <c r="P6" s="16"/>
      <c r="Q6" s="16"/>
      <c r="R6" s="16"/>
      <c r="S6" s="16"/>
      <c r="T6" s="16"/>
      <c r="U6" s="16"/>
      <c r="V6" s="16"/>
      <c r="W6" s="16"/>
      <c r="X6" s="16"/>
      <c r="Y6" s="16"/>
      <c r="Z6" s="16"/>
      <c r="AA6" s="16"/>
      <c r="AB6" s="16"/>
      <c r="AC6" s="16"/>
      <c r="AD6" s="16"/>
      <c r="AE6" s="17"/>
      <c r="AK6" s="15" t="s">
        <v>19</v>
      </c>
      <c r="AL6" s="16"/>
      <c r="AM6" s="16"/>
      <c r="AN6" s="17"/>
      <c r="AO6" s="22">
        <f>SUM(BQ25,BL42,AW59)</f>
        <v>6.5</v>
      </c>
      <c r="AP6" s="16"/>
      <c r="AQ6" s="16"/>
      <c r="AR6" s="16"/>
      <c r="AS6" s="17"/>
      <c r="AT6" s="23">
        <v>46326.0</v>
      </c>
      <c r="AU6" s="16"/>
      <c r="AV6" s="16"/>
      <c r="AW6" s="16"/>
      <c r="AX6" s="17"/>
      <c r="AY6" s="25"/>
      <c r="AZ6" s="16"/>
      <c r="BA6" s="16"/>
      <c r="BB6" s="16"/>
      <c r="BC6" s="17"/>
      <c r="BD6" s="26" t="s">
        <v>21</v>
      </c>
      <c r="BE6" s="16"/>
      <c r="BF6" s="16"/>
      <c r="BG6" s="16"/>
      <c r="BH6" s="17"/>
      <c r="BI6" s="27"/>
      <c r="BJ6" s="27"/>
      <c r="BK6" s="27"/>
      <c r="BL6" s="27"/>
      <c r="BT6" s="14"/>
      <c r="BU6" s="14"/>
      <c r="BV6" s="11"/>
      <c r="BW6" s="11"/>
      <c r="BX6" s="11"/>
      <c r="BY6" s="11"/>
      <c r="BZ6" s="11"/>
    </row>
    <row r="7" ht="19.5" customHeight="1">
      <c r="B7" s="15" t="s">
        <v>22</v>
      </c>
      <c r="C7" s="16"/>
      <c r="D7" s="16"/>
      <c r="E7" s="16"/>
      <c r="F7" s="16"/>
      <c r="G7" s="17"/>
      <c r="H7" s="28">
        <v>45108.0</v>
      </c>
      <c r="I7" s="16"/>
      <c r="J7" s="16"/>
      <c r="K7" s="16"/>
      <c r="L7" s="16"/>
      <c r="M7" s="16"/>
      <c r="N7" s="16"/>
      <c r="O7" s="16"/>
      <c r="P7" s="16"/>
      <c r="Q7" s="16"/>
      <c r="R7" s="16"/>
      <c r="S7" s="16"/>
      <c r="T7" s="16"/>
      <c r="U7" s="16"/>
      <c r="V7" s="16"/>
      <c r="W7" s="16"/>
      <c r="X7" s="16"/>
      <c r="Y7" s="16"/>
      <c r="Z7" s="16"/>
      <c r="AA7" s="16"/>
      <c r="AB7" s="16"/>
      <c r="AC7" s="16"/>
      <c r="AD7" s="16"/>
      <c r="AE7" s="17"/>
      <c r="AK7" s="15" t="s">
        <v>23</v>
      </c>
      <c r="AL7" s="16"/>
      <c r="AM7" s="16"/>
      <c r="AN7" s="17"/>
      <c r="AO7" s="22">
        <f>SUM(BQ25:BR25,BL42:BM42,AW59:AX59)</f>
        <v>6.5</v>
      </c>
      <c r="AP7" s="16"/>
      <c r="AQ7" s="16"/>
      <c r="AR7" s="16"/>
      <c r="AS7" s="17"/>
      <c r="AT7" s="31"/>
      <c r="AU7" s="16"/>
      <c r="AV7" s="16"/>
      <c r="AW7" s="16"/>
      <c r="AX7" s="17"/>
      <c r="AY7" s="33"/>
      <c r="AZ7" s="16"/>
      <c r="BA7" s="16"/>
      <c r="BB7" s="16"/>
      <c r="BC7" s="17"/>
      <c r="BD7" s="32"/>
      <c r="BE7" s="16"/>
      <c r="BF7" s="16"/>
      <c r="BG7" s="16"/>
      <c r="BH7" s="17"/>
      <c r="BI7" s="14"/>
      <c r="BJ7" s="14"/>
      <c r="BK7" s="14"/>
      <c r="BL7" s="14"/>
      <c r="BT7" s="14"/>
      <c r="BU7" s="14"/>
      <c r="BV7" s="11"/>
      <c r="BW7" s="11"/>
      <c r="BX7" s="11"/>
      <c r="BY7" s="11"/>
      <c r="BZ7" s="11"/>
    </row>
    <row r="8" ht="19.5" customHeight="1">
      <c r="B8" s="15" t="s">
        <v>24</v>
      </c>
      <c r="C8" s="16"/>
      <c r="D8" s="16"/>
      <c r="E8" s="16"/>
      <c r="F8" s="16"/>
      <c r="G8" s="17"/>
      <c r="H8" s="36">
        <v>1.0</v>
      </c>
      <c r="I8" s="17"/>
      <c r="J8" s="37" t="s">
        <v>25</v>
      </c>
      <c r="K8" s="16"/>
      <c r="L8" s="16"/>
      <c r="M8" s="17"/>
      <c r="N8" s="36">
        <v>2.0</v>
      </c>
      <c r="O8" s="17"/>
      <c r="P8" s="39" t="str">
        <f>IF(OR(ISBLANK($H$7),ISBLANK($AT$7)),"",INT(YEARFRAC($H$7,$AT$7))&amp;" y, "&amp;INT((YEARFRAC($H$7,$AT$7)-INT(YEARFRAC($H$7,$AT$7)))*12)&amp;" m")</f>
        <v/>
      </c>
      <c r="Q8" s="16"/>
      <c r="R8" s="16"/>
      <c r="S8" s="17"/>
      <c r="T8" s="36">
        <v>3.0</v>
      </c>
      <c r="U8" s="17"/>
      <c r="V8" s="39" t="str">
        <f>IF(OR(ISBLANK($H$7),ISBLANK($AT$8)),"",INT(YEARFRAC($H$7,$AT$8))&amp;" y, "&amp;INT((YEARFRAC($H$7,$AT$8)-INT(YEARFRAC($H$7,$AT$8)))*12)&amp;" m")</f>
        <v/>
      </c>
      <c r="W8" s="16"/>
      <c r="X8" s="16"/>
      <c r="Y8" s="17"/>
      <c r="Z8" s="36">
        <v>4.0</v>
      </c>
      <c r="AA8" s="17"/>
      <c r="AB8" s="39" t="str">
        <f>IF(OR(ISBLANK($H$7),ISBLANK($AT$9)),"",INT(YEARFRAC($H$7,$AT$9))&amp;" y, "&amp;INT((YEARFRAC($H$7,$AT$9)-INT(YEARFRAC($H$7,$AT$9)))*12)&amp;" m")</f>
        <v/>
      </c>
      <c r="AC8" s="16"/>
      <c r="AD8" s="16"/>
      <c r="AE8" s="17"/>
      <c r="AK8" s="15" t="s">
        <v>30</v>
      </c>
      <c r="AL8" s="16"/>
      <c r="AM8" s="16"/>
      <c r="AN8" s="17"/>
      <c r="AO8" s="22">
        <f>SUM(BQ25:BS25,BL42:BN42,AW59:AY59)</f>
        <v>6.5</v>
      </c>
      <c r="AP8" s="16"/>
      <c r="AQ8" s="16"/>
      <c r="AR8" s="16"/>
      <c r="AS8" s="17"/>
      <c r="AT8" s="31"/>
      <c r="AU8" s="16"/>
      <c r="AV8" s="16"/>
      <c r="AW8" s="16"/>
      <c r="AX8" s="17"/>
      <c r="AY8" s="43"/>
      <c r="AZ8" s="16"/>
      <c r="BA8" s="16"/>
      <c r="BB8" s="16"/>
      <c r="BC8" s="17"/>
      <c r="BD8" s="32"/>
      <c r="BE8" s="16"/>
      <c r="BF8" s="16"/>
      <c r="BG8" s="16"/>
      <c r="BH8" s="17"/>
      <c r="BI8" s="14"/>
      <c r="BJ8" s="14"/>
      <c r="BK8" s="14"/>
      <c r="BL8" s="14"/>
      <c r="BT8" s="14"/>
      <c r="BU8" s="14"/>
      <c r="BV8" s="11"/>
      <c r="BW8" s="11"/>
      <c r="BX8" s="11"/>
      <c r="BY8" s="11"/>
      <c r="BZ8" s="11"/>
    </row>
    <row r="9" ht="19.5" customHeight="1">
      <c r="AK9" s="15" t="s">
        <v>32</v>
      </c>
      <c r="AL9" s="16"/>
      <c r="AM9" s="16"/>
      <c r="AN9" s="17"/>
      <c r="AO9" s="22">
        <f>SUM(BQ25:BT25,BL42:BO42,AW59:AZ59)</f>
        <v>6.5</v>
      </c>
      <c r="AP9" s="16"/>
      <c r="AQ9" s="16"/>
      <c r="AR9" s="16"/>
      <c r="AS9" s="17"/>
      <c r="AT9" s="31"/>
      <c r="AU9" s="16"/>
      <c r="AV9" s="16"/>
      <c r="AW9" s="16"/>
      <c r="AX9" s="17"/>
      <c r="AY9" s="45"/>
      <c r="AZ9" s="16"/>
      <c r="BA9" s="16"/>
      <c r="BB9" s="16"/>
      <c r="BC9" s="17"/>
      <c r="BD9" s="32"/>
      <c r="BE9" s="16"/>
      <c r="BF9" s="16"/>
      <c r="BG9" s="16"/>
      <c r="BH9" s="17"/>
      <c r="BT9" s="14"/>
      <c r="BU9" s="14"/>
      <c r="BV9" s="11"/>
      <c r="BW9" s="11"/>
      <c r="BX9" s="11"/>
      <c r="BY9" s="11"/>
      <c r="BZ9" s="11"/>
    </row>
    <row r="10">
      <c r="BT10" s="14"/>
      <c r="BU10" s="14"/>
      <c r="BV10" s="11"/>
      <c r="BW10" s="11"/>
      <c r="BX10" s="11"/>
      <c r="BY10" s="11"/>
      <c r="BZ10" s="11"/>
    </row>
    <row r="11">
      <c r="C11" s="46" t="s">
        <v>33</v>
      </c>
      <c r="BT11" s="14"/>
      <c r="BU11" s="14"/>
      <c r="BV11" s="11"/>
      <c r="BW11" s="11"/>
      <c r="BX11" s="11"/>
      <c r="BY11" s="11"/>
      <c r="BZ11" s="11"/>
    </row>
    <row r="12">
      <c r="BT12" s="14"/>
      <c r="BU12" s="14"/>
      <c r="BV12" s="11"/>
      <c r="BW12" s="11"/>
      <c r="BX12" s="11"/>
      <c r="BY12" s="11"/>
      <c r="BZ12" s="11"/>
    </row>
    <row r="13" ht="7.5" customHeight="1">
      <c r="BT13" s="14"/>
      <c r="BU13" s="14"/>
      <c r="BV13" s="11"/>
      <c r="BW13" s="11"/>
      <c r="BX13" s="11"/>
      <c r="BY13" s="11"/>
      <c r="BZ13" s="11"/>
    </row>
    <row r="14" ht="16.5" customHeight="1">
      <c r="D14" s="48" t="s">
        <v>36</v>
      </c>
      <c r="E14" s="49"/>
      <c r="F14" s="49"/>
      <c r="G14" s="50"/>
      <c r="H14" s="51"/>
      <c r="I14" s="48" t="s">
        <v>37</v>
      </c>
      <c r="J14" s="49"/>
      <c r="K14" s="49"/>
      <c r="L14" s="50"/>
      <c r="M14" s="51"/>
      <c r="N14" s="48" t="s">
        <v>38</v>
      </c>
      <c r="O14" s="49"/>
      <c r="P14" s="49"/>
      <c r="Q14" s="50"/>
      <c r="R14" s="51"/>
      <c r="S14" s="48" t="s">
        <v>39</v>
      </c>
      <c r="T14" s="49"/>
      <c r="U14" s="49"/>
      <c r="V14" s="50"/>
      <c r="W14" s="51"/>
      <c r="X14" s="48" t="s">
        <v>40</v>
      </c>
      <c r="Y14" s="49"/>
      <c r="Z14" s="49"/>
      <c r="AA14" s="50"/>
      <c r="AB14" s="51"/>
      <c r="AC14" s="48" t="s">
        <v>41</v>
      </c>
      <c r="AD14" s="49"/>
      <c r="AE14" s="49"/>
      <c r="AF14" s="50"/>
      <c r="AG14" s="51"/>
      <c r="AH14" s="48" t="s">
        <v>42</v>
      </c>
      <c r="AI14" s="49"/>
      <c r="AJ14" s="49"/>
      <c r="AK14" s="50"/>
      <c r="AL14" s="51"/>
      <c r="AM14" s="48" t="s">
        <v>43</v>
      </c>
      <c r="AN14" s="49"/>
      <c r="AO14" s="49"/>
      <c r="AP14" s="50"/>
      <c r="AQ14" s="51"/>
      <c r="AR14" s="48" t="s">
        <v>44</v>
      </c>
      <c r="AS14" s="49"/>
      <c r="AT14" s="49"/>
      <c r="AU14" s="50"/>
      <c r="AV14" s="51"/>
      <c r="AW14" s="48" t="s">
        <v>45</v>
      </c>
      <c r="AX14" s="49"/>
      <c r="AY14" s="49"/>
      <c r="AZ14" s="50"/>
      <c r="BA14" s="51"/>
      <c r="BB14" s="48" t="s">
        <v>46</v>
      </c>
      <c r="BC14" s="49"/>
      <c r="BD14" s="49"/>
      <c r="BE14" s="50"/>
      <c r="BF14" s="51"/>
      <c r="BG14" s="48" t="s">
        <v>47</v>
      </c>
      <c r="BH14" s="49"/>
      <c r="BI14" s="49"/>
      <c r="BJ14" s="50"/>
      <c r="BK14" s="51"/>
      <c r="BL14" s="48" t="s">
        <v>48</v>
      </c>
      <c r="BM14" s="49"/>
      <c r="BN14" s="49"/>
      <c r="BO14" s="50"/>
      <c r="BS14" s="14">
        <f>SUM(BQ15,BL32,AW49)</f>
        <v>6.5</v>
      </c>
      <c r="BT14" s="14"/>
      <c r="BU14" s="14"/>
      <c r="BV14" s="11"/>
      <c r="BW14" s="11"/>
      <c r="BX14" s="11"/>
      <c r="BY14" s="11"/>
      <c r="BZ14" s="11"/>
    </row>
    <row r="15" ht="10.5" customHeight="1">
      <c r="D15" s="14">
        <f>SUMIF(D16:G25,1)/2</f>
        <v>0</v>
      </c>
      <c r="E15" s="14">
        <f>SUMIF(D16:G25,2)/4</f>
        <v>0</v>
      </c>
      <c r="F15" s="14">
        <f>SUMIF(D16:G25,3)/6</f>
        <v>0</v>
      </c>
      <c r="G15" s="14">
        <f>SUMIF(D16:G25,4)/8</f>
        <v>0</v>
      </c>
      <c r="H15" s="14"/>
      <c r="I15" s="14">
        <f>SUMIF(I16:L25,1)/2</f>
        <v>0</v>
      </c>
      <c r="J15" s="14">
        <f>SUMIF(I16:L25,2)/4</f>
        <v>0</v>
      </c>
      <c r="K15" s="14">
        <f>SUMIF(I16:L25,3)/6</f>
        <v>0</v>
      </c>
      <c r="L15" s="14">
        <f>SUMIF(I16:L25,4)/8</f>
        <v>0</v>
      </c>
      <c r="M15" s="14"/>
      <c r="N15" s="14">
        <f>SUMIF(N16:Q25,1)/2</f>
        <v>0</v>
      </c>
      <c r="O15" s="14">
        <f>SUMIF(N16:Q25,2)/4</f>
        <v>0</v>
      </c>
      <c r="P15" s="14">
        <f>SUMIF(N16:Q25,3)/6</f>
        <v>0</v>
      </c>
      <c r="Q15" s="14">
        <f>SUMIF(N16:Q25,4)/8</f>
        <v>0</v>
      </c>
      <c r="R15" s="14"/>
      <c r="S15" s="14">
        <f>SUMIF(S16:V25,1)/2</f>
        <v>0</v>
      </c>
      <c r="T15" s="14">
        <f>SUMIF(S16:V25,2)/4</f>
        <v>0</v>
      </c>
      <c r="U15" s="14">
        <f>SUMIF(S16:V25,3)/6</f>
        <v>0</v>
      </c>
      <c r="V15" s="14">
        <f>SUMIF(S16:V25,4)/8</f>
        <v>0</v>
      </c>
      <c r="W15" s="14"/>
      <c r="X15" s="14">
        <f>SUMIF(X16:AA25,1)/2</f>
        <v>0</v>
      </c>
      <c r="Y15" s="14">
        <f>SUMIF(X16:AA25,2)/4</f>
        <v>0</v>
      </c>
      <c r="Z15" s="14">
        <f>SUMIF(X16:AA25,3)/6</f>
        <v>0</v>
      </c>
      <c r="AA15" s="14">
        <f>SUMIF(X16:AA25,4)/8</f>
        <v>0</v>
      </c>
      <c r="AB15" s="14"/>
      <c r="AC15" s="14">
        <f>SUMIF(AC16:AF25,1)/2</f>
        <v>0</v>
      </c>
      <c r="AD15" s="14">
        <f>SUMIF(AC16:AF25,2)/4</f>
        <v>0</v>
      </c>
      <c r="AE15" s="14">
        <f>SUMIF(AC16:AF25,3)/6</f>
        <v>0</v>
      </c>
      <c r="AF15" s="14">
        <f>SUMIF(AC16:AF25,4)/8</f>
        <v>0</v>
      </c>
      <c r="AG15" s="14"/>
      <c r="AH15" s="14">
        <f>SUMIF(AH16:AK25,1)/2</f>
        <v>0</v>
      </c>
      <c r="AI15" s="14">
        <f>SUMIF(AH16:AK25,2)/4</f>
        <v>0</v>
      </c>
      <c r="AJ15" s="14">
        <f>SUMIF(AH16:AK25,3)/6</f>
        <v>0</v>
      </c>
      <c r="AK15" s="14">
        <f>SUMIF(AH16:AK25,4)/8</f>
        <v>0</v>
      </c>
      <c r="AL15" s="14"/>
      <c r="AM15" s="14">
        <f>SUMIF(AM16:AP25,1)/2</f>
        <v>0</v>
      </c>
      <c r="AN15" s="14">
        <f>SUMIF(AM16:AP25,2)/4</f>
        <v>0</v>
      </c>
      <c r="AO15" s="14">
        <f>SUMIF(AM16:AP25,3)/6</f>
        <v>0</v>
      </c>
      <c r="AP15" s="14">
        <f>SUMIF(AM16:AP25,4)/8</f>
        <v>0</v>
      </c>
      <c r="AQ15" s="14"/>
      <c r="AR15" s="14">
        <f>SUMIF(AR16:AU25,1)/2</f>
        <v>0</v>
      </c>
      <c r="AS15" s="14">
        <f>SUMIF(AR16:AU25,2)/4</f>
        <v>0</v>
      </c>
      <c r="AT15" s="14">
        <f>SUMIF(AR16:AU25,3)/6</f>
        <v>0</v>
      </c>
      <c r="AU15" s="14">
        <f>SUMIF(AR16:AU25,4)/8</f>
        <v>0</v>
      </c>
      <c r="AV15" s="14"/>
      <c r="AW15" s="14">
        <f>SUMIF(AW16:AZ25,1)/2</f>
        <v>0</v>
      </c>
      <c r="AX15" s="14">
        <f>SUMIF(AW16:AZ25,2)/4</f>
        <v>0</v>
      </c>
      <c r="AY15" s="14">
        <f>SUMIF(AW16:AZ25,3)/6</f>
        <v>0</v>
      </c>
      <c r="AZ15" s="14">
        <f>SUMIF(AW16:AZ25,4)/8</f>
        <v>0</v>
      </c>
      <c r="BA15" s="14"/>
      <c r="BB15" s="14">
        <f>SUMIF(BB16:BE25,1)/2</f>
        <v>0</v>
      </c>
      <c r="BC15" s="14">
        <f>SUMIF(BB16:BE25,2)/4</f>
        <v>0</v>
      </c>
      <c r="BD15" s="14">
        <f>SUMIF(BB16:BE25,3)/6</f>
        <v>0</v>
      </c>
      <c r="BE15" s="14">
        <f>SUMIF(BB16:BE25,4)/8</f>
        <v>0</v>
      </c>
      <c r="BF15" s="14"/>
      <c r="BG15" s="14">
        <f>SUMIF(BG16:BJ25,1)/2</f>
        <v>0</v>
      </c>
      <c r="BH15" s="14">
        <f>SUMIF(BG16:BJ25,2)/4</f>
        <v>0</v>
      </c>
      <c r="BI15" s="14">
        <f>SUMIF(BG16:BJ25,3)/6</f>
        <v>0</v>
      </c>
      <c r="BJ15" s="14">
        <f>SUMIF(BG16:BJ25,4)/8</f>
        <v>0</v>
      </c>
      <c r="BK15" s="14"/>
      <c r="BL15" s="14">
        <f>SUMIF(BL16:BO25,1)/2</f>
        <v>0</v>
      </c>
      <c r="BM15" s="14">
        <f>SUMIF(BL16:BO25,2)/4</f>
        <v>0</v>
      </c>
      <c r="BN15" s="14">
        <f>SUMIF(BL16:BO25,3)/6</f>
        <v>0</v>
      </c>
      <c r="BO15" s="14">
        <f>SUMIF(BL16:BO25,4)/8</f>
        <v>0</v>
      </c>
      <c r="BP15" s="14"/>
      <c r="BQ15" s="14">
        <f>SUM(D15:G15,I15:L15,N15:Q15,S15:V15,X15:AA15,AC15:AF15,AH15:AK15,AM15:AP15,AR15:AU15,AW15:AZ15,BB15:BE15,BG15:BJ15,BL15:BO15)</f>
        <v>0</v>
      </c>
      <c r="BT15" s="14"/>
      <c r="BU15" s="14"/>
      <c r="BV15" s="11"/>
      <c r="BW15" s="11"/>
      <c r="BX15" s="11"/>
      <c r="BY15" s="11"/>
      <c r="BZ15" s="11"/>
    </row>
    <row r="16" ht="16.5" customHeight="1">
      <c r="B16" s="60">
        <v>15.0</v>
      </c>
      <c r="C16" s="6"/>
      <c r="D16" s="61"/>
      <c r="E16" s="62"/>
      <c r="F16" s="62"/>
      <c r="G16" s="63"/>
      <c r="H16" s="6"/>
      <c r="I16" s="61"/>
      <c r="J16" s="62"/>
      <c r="K16" s="62"/>
      <c r="L16" s="63"/>
      <c r="M16" s="6"/>
      <c r="N16" s="61"/>
      <c r="O16" s="62"/>
      <c r="P16" s="62"/>
      <c r="Q16" s="63"/>
      <c r="R16" s="6"/>
      <c r="S16" s="61"/>
      <c r="T16" s="62"/>
      <c r="U16" s="62"/>
      <c r="V16" s="63"/>
      <c r="W16" s="6"/>
      <c r="X16" s="61"/>
      <c r="Y16" s="62"/>
      <c r="Z16" s="62"/>
      <c r="AA16" s="63"/>
      <c r="AB16" s="6"/>
      <c r="AC16" s="61"/>
      <c r="AD16" s="62"/>
      <c r="AE16" s="62"/>
      <c r="AF16" s="63"/>
      <c r="AG16" s="6"/>
      <c r="AH16" s="61"/>
      <c r="AI16" s="62"/>
      <c r="AJ16" s="62"/>
      <c r="AK16" s="63"/>
      <c r="AL16" s="6"/>
      <c r="AM16" s="61"/>
      <c r="AN16" s="62"/>
      <c r="AO16" s="62"/>
      <c r="AP16" s="63"/>
      <c r="AQ16" s="6"/>
      <c r="AR16" s="61"/>
      <c r="AS16" s="62"/>
      <c r="AT16" s="62"/>
      <c r="AU16" s="63"/>
      <c r="AV16" s="6"/>
      <c r="AW16" s="61"/>
      <c r="AX16" s="62"/>
      <c r="AY16" s="62"/>
      <c r="AZ16" s="63"/>
      <c r="BA16" s="6"/>
      <c r="BB16" s="61"/>
      <c r="BC16" s="62"/>
      <c r="BD16" s="62"/>
      <c r="BE16" s="63"/>
      <c r="BF16" s="6"/>
      <c r="BG16" s="61"/>
      <c r="BH16" s="62"/>
      <c r="BI16" s="62"/>
      <c r="BJ16" s="63"/>
      <c r="BK16" s="6"/>
      <c r="BL16" s="61"/>
      <c r="BM16" s="62"/>
      <c r="BN16" s="62"/>
      <c r="BO16" s="63"/>
      <c r="BT16" s="14"/>
      <c r="BU16" s="14"/>
      <c r="BV16" s="11"/>
      <c r="BW16" s="11"/>
      <c r="BX16" s="11"/>
      <c r="BY16" s="11"/>
      <c r="BZ16" s="11"/>
    </row>
    <row r="17" ht="16.5" customHeight="1">
      <c r="B17" s="66"/>
      <c r="C17" s="6"/>
      <c r="D17" s="67"/>
      <c r="E17" s="68"/>
      <c r="F17" s="68"/>
      <c r="G17" s="69"/>
      <c r="H17" s="6"/>
      <c r="I17" s="70"/>
      <c r="J17" s="71"/>
      <c r="K17" s="71"/>
      <c r="L17" s="72"/>
      <c r="M17" s="6"/>
      <c r="N17" s="70"/>
      <c r="O17" s="71"/>
      <c r="P17" s="71"/>
      <c r="Q17" s="72"/>
      <c r="R17" s="6"/>
      <c r="S17" s="70"/>
      <c r="T17" s="71"/>
      <c r="U17" s="71"/>
      <c r="V17" s="72"/>
      <c r="W17" s="6"/>
      <c r="X17" s="70"/>
      <c r="Y17" s="71"/>
      <c r="Z17" s="71"/>
      <c r="AA17" s="72"/>
      <c r="AB17" s="6"/>
      <c r="AC17" s="70"/>
      <c r="AD17" s="71"/>
      <c r="AE17" s="71"/>
      <c r="AF17" s="72"/>
      <c r="AG17" s="6"/>
      <c r="AH17" s="70"/>
      <c r="AI17" s="71"/>
      <c r="AJ17" s="71"/>
      <c r="AK17" s="72"/>
      <c r="AL17" s="6"/>
      <c r="AM17" s="70"/>
      <c r="AN17" s="71"/>
      <c r="AO17" s="71"/>
      <c r="AP17" s="72"/>
      <c r="AQ17" s="6"/>
      <c r="AR17" s="70"/>
      <c r="AS17" s="71"/>
      <c r="AT17" s="71"/>
      <c r="AU17" s="72"/>
      <c r="AV17" s="6"/>
      <c r="AW17" s="70"/>
      <c r="AX17" s="71"/>
      <c r="AY17" s="71"/>
      <c r="AZ17" s="72"/>
      <c r="BA17" s="6"/>
      <c r="BB17" s="70"/>
      <c r="BC17" s="71"/>
      <c r="BD17" s="71"/>
      <c r="BE17" s="72"/>
      <c r="BF17" s="6"/>
      <c r="BG17" s="70"/>
      <c r="BH17" s="71"/>
      <c r="BI17" s="71"/>
      <c r="BJ17" s="72"/>
      <c r="BK17" s="6"/>
      <c r="BL17" s="70"/>
      <c r="BM17" s="71"/>
      <c r="BN17" s="71"/>
      <c r="BO17" s="72"/>
      <c r="BT17" s="14"/>
      <c r="BU17" s="14"/>
      <c r="BV17" s="11"/>
      <c r="BW17" s="11"/>
      <c r="BX17" s="11"/>
      <c r="BY17" s="11"/>
      <c r="BZ17" s="11"/>
    </row>
    <row r="18" ht="16.5" customHeight="1">
      <c r="B18" s="60">
        <v>14.0</v>
      </c>
      <c r="C18" s="6"/>
      <c r="D18" s="61"/>
      <c r="E18" s="62"/>
      <c r="F18" s="62"/>
      <c r="G18" s="63"/>
      <c r="H18" s="6"/>
      <c r="I18" s="61"/>
      <c r="J18" s="62"/>
      <c r="K18" s="62"/>
      <c r="L18" s="63"/>
      <c r="M18" s="6"/>
      <c r="N18" s="61"/>
      <c r="O18" s="62"/>
      <c r="P18" s="62"/>
      <c r="Q18" s="63"/>
      <c r="R18" s="6"/>
      <c r="S18" s="61"/>
      <c r="T18" s="62"/>
      <c r="U18" s="62"/>
      <c r="V18" s="63"/>
      <c r="W18" s="6"/>
      <c r="X18" s="61"/>
      <c r="Y18" s="62"/>
      <c r="Z18" s="62"/>
      <c r="AA18" s="63"/>
      <c r="AB18" s="6"/>
      <c r="AC18" s="61"/>
      <c r="AD18" s="62"/>
      <c r="AE18" s="62"/>
      <c r="AF18" s="63"/>
      <c r="AG18" s="6"/>
      <c r="AH18" s="61"/>
      <c r="AI18" s="62"/>
      <c r="AJ18" s="62"/>
      <c r="AK18" s="63"/>
      <c r="AL18" s="6"/>
      <c r="AM18" s="61"/>
      <c r="AN18" s="62"/>
      <c r="AO18" s="62"/>
      <c r="AP18" s="63"/>
      <c r="AQ18" s="6"/>
      <c r="AR18" s="61"/>
      <c r="AS18" s="62"/>
      <c r="AT18" s="62"/>
      <c r="AU18" s="63"/>
      <c r="AV18" s="6"/>
      <c r="AW18" s="61"/>
      <c r="AX18" s="62"/>
      <c r="AY18" s="62"/>
      <c r="AZ18" s="63"/>
      <c r="BA18" s="6"/>
      <c r="BB18" s="61"/>
      <c r="BC18" s="62"/>
      <c r="BD18" s="62"/>
      <c r="BE18" s="63"/>
      <c r="BF18" s="6"/>
      <c r="BG18" s="61"/>
      <c r="BH18" s="62"/>
      <c r="BI18" s="62"/>
      <c r="BJ18" s="63"/>
      <c r="BK18" s="6"/>
      <c r="BL18" s="61"/>
      <c r="BM18" s="62"/>
      <c r="BN18" s="62"/>
      <c r="BO18" s="63"/>
      <c r="BT18" s="14"/>
      <c r="BU18" s="14"/>
      <c r="BV18" s="11"/>
      <c r="BW18" s="11"/>
      <c r="BX18" s="11"/>
      <c r="BY18" s="11"/>
      <c r="BZ18" s="11"/>
    </row>
    <row r="19" ht="16.5" customHeight="1">
      <c r="B19" s="66"/>
      <c r="C19" s="6"/>
      <c r="D19" s="70"/>
      <c r="E19" s="71"/>
      <c r="F19" s="71"/>
      <c r="G19" s="72"/>
      <c r="H19" s="6"/>
      <c r="I19" s="70"/>
      <c r="J19" s="71"/>
      <c r="K19" s="71"/>
      <c r="L19" s="72"/>
      <c r="M19" s="6"/>
      <c r="N19" s="70"/>
      <c r="O19" s="71"/>
      <c r="P19" s="71"/>
      <c r="Q19" s="72"/>
      <c r="R19" s="6"/>
      <c r="S19" s="70"/>
      <c r="T19" s="71"/>
      <c r="U19" s="71"/>
      <c r="V19" s="72"/>
      <c r="W19" s="6"/>
      <c r="X19" s="70"/>
      <c r="Y19" s="71"/>
      <c r="Z19" s="71"/>
      <c r="AA19" s="72"/>
      <c r="AB19" s="6"/>
      <c r="AC19" s="70"/>
      <c r="AD19" s="71"/>
      <c r="AE19" s="71"/>
      <c r="AF19" s="72"/>
      <c r="AG19" s="6"/>
      <c r="AH19" s="70"/>
      <c r="AI19" s="71"/>
      <c r="AJ19" s="71"/>
      <c r="AK19" s="72"/>
      <c r="AL19" s="6"/>
      <c r="AM19" s="70"/>
      <c r="AN19" s="71"/>
      <c r="AO19" s="71"/>
      <c r="AP19" s="72"/>
      <c r="AQ19" s="6"/>
      <c r="AR19" s="70"/>
      <c r="AS19" s="71"/>
      <c r="AT19" s="71"/>
      <c r="AU19" s="72"/>
      <c r="AV19" s="6"/>
      <c r="AW19" s="70"/>
      <c r="AX19" s="71"/>
      <c r="AY19" s="71"/>
      <c r="AZ19" s="72"/>
      <c r="BA19" s="6"/>
      <c r="BB19" s="70"/>
      <c r="BC19" s="71"/>
      <c r="BD19" s="71"/>
      <c r="BE19" s="72"/>
      <c r="BF19" s="6"/>
      <c r="BG19" s="70"/>
      <c r="BH19" s="71"/>
      <c r="BI19" s="71"/>
      <c r="BJ19" s="72"/>
      <c r="BK19" s="6"/>
      <c r="BL19" s="70"/>
      <c r="BM19" s="71"/>
      <c r="BN19" s="71"/>
      <c r="BO19" s="72"/>
      <c r="BT19" s="14"/>
      <c r="BU19" s="14"/>
      <c r="BV19" s="11"/>
      <c r="BW19" s="11"/>
      <c r="BX19" s="11"/>
      <c r="BY19" s="11"/>
      <c r="BZ19" s="11"/>
    </row>
    <row r="20" ht="16.5" customHeight="1">
      <c r="B20" s="60">
        <v>13.0</v>
      </c>
      <c r="C20" s="6"/>
      <c r="D20" s="61"/>
      <c r="E20" s="62"/>
      <c r="F20" s="62"/>
      <c r="G20" s="63"/>
      <c r="H20" s="6"/>
      <c r="I20" s="61"/>
      <c r="J20" s="62"/>
      <c r="K20" s="62"/>
      <c r="L20" s="63"/>
      <c r="M20" s="6"/>
      <c r="N20" s="61"/>
      <c r="O20" s="62"/>
      <c r="P20" s="62"/>
      <c r="Q20" s="63"/>
      <c r="R20" s="6"/>
      <c r="S20" s="61"/>
      <c r="T20" s="62"/>
      <c r="U20" s="62"/>
      <c r="V20" s="63"/>
      <c r="W20" s="6"/>
      <c r="X20" s="61"/>
      <c r="Y20" s="62"/>
      <c r="Z20" s="62"/>
      <c r="AA20" s="63"/>
      <c r="AB20" s="6"/>
      <c r="AC20" s="61"/>
      <c r="AD20" s="62"/>
      <c r="AE20" s="62"/>
      <c r="AF20" s="63"/>
      <c r="AG20" s="6"/>
      <c r="AH20" s="61"/>
      <c r="AI20" s="62"/>
      <c r="AJ20" s="62"/>
      <c r="AK20" s="63"/>
      <c r="AL20" s="6"/>
      <c r="AM20" s="61"/>
      <c r="AN20" s="62"/>
      <c r="AO20" s="62"/>
      <c r="AP20" s="63"/>
      <c r="AQ20" s="6"/>
      <c r="AR20" s="61"/>
      <c r="AS20" s="62"/>
      <c r="AT20" s="62"/>
      <c r="AU20" s="63"/>
      <c r="AV20" s="6"/>
      <c r="AW20" s="61"/>
      <c r="AX20" s="62"/>
      <c r="AY20" s="62"/>
      <c r="AZ20" s="63"/>
      <c r="BA20" s="6"/>
      <c r="BB20" s="61"/>
      <c r="BC20" s="62"/>
      <c r="BD20" s="62"/>
      <c r="BE20" s="63"/>
      <c r="BF20" s="6"/>
      <c r="BG20" s="61"/>
      <c r="BH20" s="62"/>
      <c r="BI20" s="62"/>
      <c r="BJ20" s="63"/>
      <c r="BK20" s="6"/>
      <c r="BL20" s="61"/>
      <c r="BM20" s="62"/>
      <c r="BN20" s="62"/>
      <c r="BO20" s="63"/>
      <c r="BT20" s="14"/>
      <c r="BU20" s="14"/>
      <c r="BV20" s="11"/>
      <c r="BW20" s="11"/>
      <c r="BX20" s="11"/>
      <c r="BY20" s="11"/>
      <c r="BZ20" s="11"/>
    </row>
    <row r="21" ht="16.5" customHeight="1">
      <c r="B21" s="66"/>
      <c r="C21" s="6"/>
      <c r="D21" s="70"/>
      <c r="E21" s="71"/>
      <c r="F21" s="71"/>
      <c r="G21" s="72"/>
      <c r="H21" s="6"/>
      <c r="I21" s="70"/>
      <c r="J21" s="71"/>
      <c r="K21" s="71"/>
      <c r="L21" s="72"/>
      <c r="M21" s="6"/>
      <c r="N21" s="70"/>
      <c r="O21" s="71"/>
      <c r="P21" s="71"/>
      <c r="Q21" s="72"/>
      <c r="R21" s="6"/>
      <c r="S21" s="70"/>
      <c r="T21" s="71"/>
      <c r="U21" s="71"/>
      <c r="V21" s="72"/>
      <c r="W21" s="6"/>
      <c r="X21" s="70"/>
      <c r="Y21" s="71"/>
      <c r="Z21" s="71"/>
      <c r="AA21" s="72"/>
      <c r="AB21" s="6"/>
      <c r="AC21" s="70"/>
      <c r="AD21" s="71"/>
      <c r="AE21" s="71"/>
      <c r="AF21" s="72"/>
      <c r="AG21" s="6"/>
      <c r="AH21" s="70"/>
      <c r="AI21" s="71"/>
      <c r="AJ21" s="71"/>
      <c r="AK21" s="72"/>
      <c r="AL21" s="6"/>
      <c r="AM21" s="70"/>
      <c r="AN21" s="71"/>
      <c r="AO21" s="71"/>
      <c r="AP21" s="72"/>
      <c r="AQ21" s="6"/>
      <c r="AR21" s="70"/>
      <c r="AS21" s="71"/>
      <c r="AT21" s="71"/>
      <c r="AU21" s="72"/>
      <c r="AV21" s="6"/>
      <c r="AW21" s="70"/>
      <c r="AX21" s="71"/>
      <c r="AY21" s="71"/>
      <c r="AZ21" s="72"/>
      <c r="BA21" s="6"/>
      <c r="BB21" s="70"/>
      <c r="BC21" s="71"/>
      <c r="BD21" s="71"/>
      <c r="BE21" s="72"/>
      <c r="BF21" s="6"/>
      <c r="BG21" s="70"/>
      <c r="BH21" s="71"/>
      <c r="BI21" s="71"/>
      <c r="BJ21" s="72"/>
      <c r="BK21" s="6"/>
      <c r="BL21" s="70"/>
      <c r="BM21" s="71"/>
      <c r="BN21" s="71"/>
      <c r="BO21" s="72"/>
      <c r="BT21" s="14"/>
      <c r="BU21" s="14"/>
      <c r="BV21" s="11"/>
      <c r="BW21" s="11"/>
      <c r="BX21" s="11"/>
      <c r="BY21" s="11"/>
      <c r="BZ21" s="11"/>
    </row>
    <row r="22" ht="16.5" customHeight="1">
      <c r="B22" s="60">
        <v>12.0</v>
      </c>
      <c r="C22" s="6"/>
      <c r="D22" s="61"/>
      <c r="E22" s="62"/>
      <c r="F22" s="62"/>
      <c r="G22" s="63"/>
      <c r="H22" s="6"/>
      <c r="I22" s="61"/>
      <c r="J22" s="62"/>
      <c r="K22" s="62"/>
      <c r="L22" s="63"/>
      <c r="M22" s="6"/>
      <c r="N22" s="61"/>
      <c r="O22" s="62"/>
      <c r="P22" s="62"/>
      <c r="Q22" s="63"/>
      <c r="R22" s="6"/>
      <c r="S22" s="61"/>
      <c r="T22" s="62"/>
      <c r="U22" s="62"/>
      <c r="V22" s="63"/>
      <c r="W22" s="6"/>
      <c r="X22" s="61"/>
      <c r="Y22" s="62"/>
      <c r="Z22" s="62"/>
      <c r="AA22" s="63"/>
      <c r="AB22" s="6"/>
      <c r="AC22" s="61"/>
      <c r="AD22" s="62"/>
      <c r="AE22" s="62"/>
      <c r="AF22" s="63"/>
      <c r="AG22" s="6"/>
      <c r="AH22" s="61"/>
      <c r="AI22" s="62"/>
      <c r="AJ22" s="62"/>
      <c r="AK22" s="63"/>
      <c r="AL22" s="6"/>
      <c r="AM22" s="61"/>
      <c r="AN22" s="62"/>
      <c r="AO22" s="62"/>
      <c r="AP22" s="63"/>
      <c r="AQ22" s="6"/>
      <c r="AR22" s="61"/>
      <c r="AS22" s="62"/>
      <c r="AT22" s="62"/>
      <c r="AU22" s="63"/>
      <c r="AV22" s="6"/>
      <c r="AW22" s="61"/>
      <c r="AX22" s="62"/>
      <c r="AY22" s="62"/>
      <c r="AZ22" s="63"/>
      <c r="BA22" s="6"/>
      <c r="BB22" s="61"/>
      <c r="BC22" s="62"/>
      <c r="BD22" s="62"/>
      <c r="BE22" s="63"/>
      <c r="BF22" s="6"/>
      <c r="BG22" s="61"/>
      <c r="BH22" s="62"/>
      <c r="BI22" s="62"/>
      <c r="BJ22" s="63"/>
      <c r="BK22" s="6"/>
      <c r="BL22" s="61"/>
      <c r="BM22" s="62"/>
      <c r="BN22" s="62"/>
      <c r="BO22" s="63"/>
      <c r="BT22" s="14"/>
      <c r="BU22" s="14"/>
      <c r="BV22" s="11"/>
      <c r="BW22" s="11"/>
      <c r="BX22" s="11"/>
      <c r="BY22" s="11"/>
      <c r="BZ22" s="11"/>
    </row>
    <row r="23" ht="16.5" customHeight="1">
      <c r="B23" s="66"/>
      <c r="C23" s="6"/>
      <c r="D23" s="70"/>
      <c r="E23" s="71"/>
      <c r="F23" s="71"/>
      <c r="G23" s="72"/>
      <c r="H23" s="6"/>
      <c r="I23" s="70"/>
      <c r="J23" s="71"/>
      <c r="K23" s="71"/>
      <c r="L23" s="72"/>
      <c r="M23" s="6"/>
      <c r="N23" s="70"/>
      <c r="O23" s="71"/>
      <c r="P23" s="71"/>
      <c r="Q23" s="72"/>
      <c r="R23" s="6"/>
      <c r="S23" s="70"/>
      <c r="T23" s="71"/>
      <c r="U23" s="71"/>
      <c r="V23" s="72"/>
      <c r="W23" s="6"/>
      <c r="X23" s="70"/>
      <c r="Y23" s="71"/>
      <c r="Z23" s="71"/>
      <c r="AA23" s="72"/>
      <c r="AB23" s="6"/>
      <c r="AC23" s="70"/>
      <c r="AD23" s="71"/>
      <c r="AE23" s="71"/>
      <c r="AF23" s="72"/>
      <c r="AG23" s="6"/>
      <c r="AH23" s="70"/>
      <c r="AI23" s="71"/>
      <c r="AJ23" s="71"/>
      <c r="AK23" s="72"/>
      <c r="AL23" s="6"/>
      <c r="AM23" s="70"/>
      <c r="AN23" s="71"/>
      <c r="AO23" s="71"/>
      <c r="AP23" s="72"/>
      <c r="AQ23" s="6"/>
      <c r="AR23" s="70"/>
      <c r="AS23" s="71"/>
      <c r="AT23" s="71"/>
      <c r="AU23" s="72"/>
      <c r="AV23" s="6"/>
      <c r="AW23" s="70"/>
      <c r="AX23" s="71"/>
      <c r="AY23" s="71"/>
      <c r="AZ23" s="72"/>
      <c r="BA23" s="6"/>
      <c r="BB23" s="70"/>
      <c r="BC23" s="71"/>
      <c r="BD23" s="71"/>
      <c r="BE23" s="72"/>
      <c r="BF23" s="6"/>
      <c r="BG23" s="70"/>
      <c r="BH23" s="71"/>
      <c r="BI23" s="71"/>
      <c r="BJ23" s="72"/>
      <c r="BK23" s="6"/>
      <c r="BL23" s="70"/>
      <c r="BM23" s="71"/>
      <c r="BN23" s="71"/>
      <c r="BO23" s="72"/>
      <c r="BT23" s="14"/>
      <c r="BU23" s="14"/>
      <c r="BV23" s="11"/>
      <c r="BW23" s="11"/>
      <c r="BX23" s="11"/>
      <c r="BY23" s="11"/>
      <c r="BZ23" s="11"/>
    </row>
    <row r="24" ht="16.5" customHeight="1">
      <c r="B24" s="60">
        <v>11.0</v>
      </c>
      <c r="C24" s="6"/>
      <c r="D24" s="61"/>
      <c r="E24" s="62"/>
      <c r="F24" s="62"/>
      <c r="G24" s="63"/>
      <c r="H24" s="6"/>
      <c r="I24" s="61"/>
      <c r="J24" s="62"/>
      <c r="K24" s="62"/>
      <c r="L24" s="63"/>
      <c r="M24" s="6"/>
      <c r="N24" s="61"/>
      <c r="O24" s="62"/>
      <c r="P24" s="62"/>
      <c r="Q24" s="63"/>
      <c r="R24" s="6"/>
      <c r="S24" s="61"/>
      <c r="T24" s="62"/>
      <c r="U24" s="62"/>
      <c r="V24" s="63"/>
      <c r="W24" s="6"/>
      <c r="X24" s="61"/>
      <c r="Y24" s="62"/>
      <c r="Z24" s="62"/>
      <c r="AA24" s="63"/>
      <c r="AB24" s="6"/>
      <c r="AC24" s="61"/>
      <c r="AD24" s="62"/>
      <c r="AE24" s="62"/>
      <c r="AF24" s="63"/>
      <c r="AG24" s="6"/>
      <c r="AH24" s="61"/>
      <c r="AI24" s="62"/>
      <c r="AJ24" s="62"/>
      <c r="AK24" s="63"/>
      <c r="AL24" s="6"/>
      <c r="AM24" s="61"/>
      <c r="AN24" s="62"/>
      <c r="AO24" s="62"/>
      <c r="AP24" s="63"/>
      <c r="AQ24" s="6"/>
      <c r="AR24" s="61"/>
      <c r="AS24" s="62"/>
      <c r="AT24" s="62"/>
      <c r="AU24" s="63"/>
      <c r="AV24" s="6"/>
      <c r="AW24" s="61"/>
      <c r="AX24" s="62"/>
      <c r="AY24" s="62"/>
      <c r="AZ24" s="63"/>
      <c r="BA24" s="6"/>
      <c r="BB24" s="61"/>
      <c r="BC24" s="62"/>
      <c r="BD24" s="62"/>
      <c r="BE24" s="63"/>
      <c r="BF24" s="6"/>
      <c r="BG24" s="61"/>
      <c r="BH24" s="62"/>
      <c r="BI24" s="62"/>
      <c r="BJ24" s="63"/>
      <c r="BK24" s="6"/>
      <c r="BL24" s="61"/>
      <c r="BM24" s="62"/>
      <c r="BN24" s="62"/>
      <c r="BO24" s="63"/>
      <c r="BQ24" s="14">
        <f t="shared" ref="BQ24:BT24" si="1">SUM(BQ25,BL42,AW59)</f>
        <v>6.5</v>
      </c>
      <c r="BR24" s="14">
        <f t="shared" si="1"/>
        <v>0</v>
      </c>
      <c r="BS24" s="14">
        <f t="shared" si="1"/>
        <v>0</v>
      </c>
      <c r="BT24" s="14">
        <f t="shared" si="1"/>
        <v>0</v>
      </c>
      <c r="BU24" s="14"/>
      <c r="BV24" s="11"/>
      <c r="BW24" s="11"/>
      <c r="BX24" s="11"/>
      <c r="BY24" s="11"/>
      <c r="BZ24" s="11"/>
    </row>
    <row r="25" ht="16.5" customHeight="1">
      <c r="B25" s="66"/>
      <c r="C25" s="78"/>
      <c r="D25" s="79"/>
      <c r="G25" s="80"/>
      <c r="H25" s="81"/>
      <c r="I25" s="79"/>
      <c r="L25" s="80"/>
      <c r="M25" s="81"/>
      <c r="N25" s="79"/>
      <c r="Q25" s="80"/>
      <c r="R25" s="81"/>
      <c r="S25" s="79"/>
      <c r="V25" s="80"/>
      <c r="W25" s="81"/>
      <c r="X25" s="79"/>
      <c r="AA25" s="80"/>
      <c r="AB25" s="81"/>
      <c r="AC25" s="79"/>
      <c r="AF25" s="80"/>
      <c r="AG25" s="81"/>
      <c r="AH25" s="79"/>
      <c r="AK25" s="80"/>
      <c r="AL25" s="81"/>
      <c r="AM25" s="79"/>
      <c r="AP25" s="80"/>
      <c r="AQ25" s="81"/>
      <c r="AR25" s="79"/>
      <c r="AU25" s="80"/>
      <c r="AV25" s="81"/>
      <c r="AW25" s="79"/>
      <c r="AZ25" s="80"/>
      <c r="BA25" s="81"/>
      <c r="BB25" s="79"/>
      <c r="BE25" s="80"/>
      <c r="BF25" s="81"/>
      <c r="BG25" s="79"/>
      <c r="BJ25" s="80"/>
      <c r="BK25" s="81"/>
      <c r="BL25" s="79"/>
      <c r="BO25" s="80"/>
      <c r="BQ25" s="14">
        <f t="shared" ref="BQ25:BT25" si="2">SUM(D15,I15,N15,S15,X15,AC15,AH15,AM15,AR15,AW15,BB15,BG15,BL15)</f>
        <v>0</v>
      </c>
      <c r="BR25" s="14">
        <f t="shared" si="2"/>
        <v>0</v>
      </c>
      <c r="BS25" s="14">
        <f t="shared" si="2"/>
        <v>0</v>
      </c>
      <c r="BT25" s="14">
        <f t="shared" si="2"/>
        <v>0</v>
      </c>
      <c r="BU25" s="14"/>
      <c r="BV25" s="11"/>
      <c r="BW25" s="11"/>
      <c r="BX25" s="11"/>
      <c r="BY25" s="11"/>
      <c r="BZ25" s="11"/>
    </row>
    <row r="26" ht="16.5" customHeight="1">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T26" s="14"/>
      <c r="BU26" s="14"/>
      <c r="BV26" s="11"/>
      <c r="BW26" s="11"/>
      <c r="BX26" s="11"/>
      <c r="BY26" s="11"/>
      <c r="BZ26" s="11"/>
    </row>
    <row r="27" ht="15.75" customHeight="1">
      <c r="D27" s="6"/>
      <c r="E27" s="6"/>
      <c r="F27" s="6"/>
      <c r="G27" s="6"/>
      <c r="I27" s="6"/>
      <c r="J27" s="6"/>
      <c r="K27" s="6"/>
      <c r="L27" s="6"/>
      <c r="N27" s="6"/>
      <c r="O27" s="6"/>
      <c r="P27" s="6"/>
      <c r="Q27" s="6"/>
      <c r="S27" s="6"/>
      <c r="T27" s="6"/>
      <c r="U27" s="6"/>
      <c r="V27" s="6"/>
      <c r="X27" s="6"/>
      <c r="Y27" s="6"/>
      <c r="Z27" s="6"/>
      <c r="AA27" s="6"/>
      <c r="AC27" s="6"/>
      <c r="AD27" s="6"/>
      <c r="AE27" s="6"/>
      <c r="AF27" s="6"/>
      <c r="AH27" s="6"/>
      <c r="AI27" s="6"/>
      <c r="AJ27" s="6"/>
      <c r="AK27" s="6"/>
      <c r="AM27" s="6"/>
      <c r="AN27" s="6"/>
      <c r="AO27" s="6"/>
      <c r="AP27" s="6"/>
      <c r="AR27" s="6"/>
      <c r="AS27" s="6"/>
      <c r="AT27" s="6"/>
      <c r="AU27" s="6"/>
      <c r="AW27" s="6"/>
      <c r="AX27" s="6"/>
      <c r="AY27" s="6"/>
      <c r="AZ27" s="6"/>
      <c r="BB27" s="6"/>
      <c r="BC27" s="6"/>
      <c r="BD27" s="6"/>
      <c r="BE27" s="6"/>
      <c r="BG27" s="6"/>
      <c r="BH27" s="6"/>
      <c r="BI27" s="6"/>
      <c r="BJ27" s="6"/>
      <c r="BL27" s="6"/>
      <c r="BM27" s="6"/>
      <c r="BN27" s="6"/>
      <c r="BO27" s="6"/>
      <c r="BT27" s="14"/>
      <c r="BU27" s="14"/>
      <c r="BV27" s="11"/>
      <c r="BW27" s="11"/>
      <c r="BX27" s="11"/>
      <c r="BY27" s="11"/>
      <c r="BZ27" s="11"/>
    </row>
    <row r="28" ht="15.75" customHeight="1">
      <c r="C28" s="82" t="s">
        <v>59</v>
      </c>
      <c r="BT28" s="14"/>
      <c r="BU28" s="14"/>
      <c r="BV28" s="11"/>
      <c r="BW28" s="11"/>
      <c r="BX28" s="11"/>
      <c r="BY28" s="11"/>
      <c r="BZ28" s="11"/>
    </row>
    <row r="29" ht="15.75" customHeight="1">
      <c r="BT29" s="14"/>
      <c r="BU29" s="14"/>
      <c r="BV29" s="11"/>
      <c r="BW29" s="11"/>
      <c r="BX29" s="11"/>
      <c r="BY29" s="11"/>
      <c r="BZ29" s="11"/>
    </row>
    <row r="30" ht="7.5" customHeight="1">
      <c r="BT30" s="14"/>
      <c r="BU30" s="14"/>
      <c r="BV30" s="11"/>
      <c r="BW30" s="11"/>
      <c r="BX30" s="11"/>
      <c r="BY30" s="11"/>
      <c r="BZ30" s="11"/>
    </row>
    <row r="31" ht="16.5" customHeight="1">
      <c r="D31" s="83" t="s">
        <v>36</v>
      </c>
      <c r="E31" s="84"/>
      <c r="F31" s="84"/>
      <c r="G31" s="85"/>
      <c r="H31" s="51"/>
      <c r="I31" s="83" t="s">
        <v>37</v>
      </c>
      <c r="J31" s="84"/>
      <c r="K31" s="84"/>
      <c r="L31" s="85"/>
      <c r="M31" s="51"/>
      <c r="N31" s="83" t="s">
        <v>38</v>
      </c>
      <c r="O31" s="84"/>
      <c r="P31" s="84"/>
      <c r="Q31" s="85"/>
      <c r="R31" s="51"/>
      <c r="S31" s="83" t="s">
        <v>39</v>
      </c>
      <c r="T31" s="84"/>
      <c r="U31" s="84"/>
      <c r="V31" s="85"/>
      <c r="W31" s="51"/>
      <c r="X31" s="83" t="s">
        <v>40</v>
      </c>
      <c r="Y31" s="84"/>
      <c r="Z31" s="84"/>
      <c r="AA31" s="85"/>
      <c r="AB31" s="51"/>
      <c r="AC31" s="83" t="s">
        <v>41</v>
      </c>
      <c r="AD31" s="84"/>
      <c r="AE31" s="84"/>
      <c r="AF31" s="85"/>
      <c r="AG31" s="51"/>
      <c r="AH31" s="83" t="s">
        <v>60</v>
      </c>
      <c r="AI31" s="84"/>
      <c r="AJ31" s="84"/>
      <c r="AK31" s="85"/>
      <c r="AL31" s="51"/>
      <c r="AM31" s="83" t="s">
        <v>61</v>
      </c>
      <c r="AN31" s="84"/>
      <c r="AO31" s="84"/>
      <c r="AP31" s="85"/>
      <c r="AQ31" s="51"/>
      <c r="AR31" s="83" t="s">
        <v>44</v>
      </c>
      <c r="AS31" s="84"/>
      <c r="AT31" s="84"/>
      <c r="AU31" s="85"/>
      <c r="AV31" s="51"/>
      <c r="AW31" s="83" t="s">
        <v>45</v>
      </c>
      <c r="AX31" s="84"/>
      <c r="AY31" s="84"/>
      <c r="AZ31" s="85"/>
      <c r="BA31" s="51"/>
      <c r="BB31" s="83" t="s">
        <v>46</v>
      </c>
      <c r="BC31" s="84"/>
      <c r="BD31" s="84"/>
      <c r="BE31" s="85"/>
      <c r="BF31" s="51"/>
      <c r="BG31" s="83" t="s">
        <v>47</v>
      </c>
      <c r="BH31" s="84"/>
      <c r="BI31" s="84"/>
      <c r="BJ31" s="85"/>
      <c r="BK31" s="51"/>
      <c r="BL31" s="86"/>
      <c r="BM31" s="86"/>
      <c r="BN31" s="86"/>
      <c r="BO31" s="86"/>
      <c r="BT31" s="14"/>
      <c r="BU31" s="14"/>
      <c r="BV31" s="11"/>
      <c r="BW31" s="11"/>
      <c r="BX31" s="11"/>
      <c r="BY31" s="11"/>
      <c r="BZ31" s="11"/>
    </row>
    <row r="32" ht="10.5" customHeight="1">
      <c r="D32" s="14">
        <f>SUMIF(D33:G42,1)/2</f>
        <v>0</v>
      </c>
      <c r="E32" s="14">
        <f>SUMIF(D33:G42,2)/4</f>
        <v>0</v>
      </c>
      <c r="F32" s="14">
        <f>SUMIF(D33:G42,3)/6</f>
        <v>0</v>
      </c>
      <c r="G32" s="14">
        <f>SUMIF(D33:G42,4)/8</f>
        <v>0</v>
      </c>
      <c r="H32" s="14"/>
      <c r="I32" s="14">
        <f>SUMIF(I33:L42,1)/2</f>
        <v>0</v>
      </c>
      <c r="J32" s="14">
        <f>SUMIF(I33:L42,2)/4</f>
        <v>0</v>
      </c>
      <c r="K32" s="14">
        <f>SUMIF(I33:L42,3)/6</f>
        <v>0</v>
      </c>
      <c r="L32" s="14">
        <f>SUMIF(I33:L42,4)/8</f>
        <v>0</v>
      </c>
      <c r="M32" s="14"/>
      <c r="N32" s="14">
        <f>SUMIF(N33:Q42,1)/2</f>
        <v>0</v>
      </c>
      <c r="O32" s="14">
        <f>SUMIF(N33:Q42,2)/4</f>
        <v>0</v>
      </c>
      <c r="P32" s="14">
        <f>SUMIF(N33:Q42,3)/6</f>
        <v>0</v>
      </c>
      <c r="Q32" s="14">
        <f>SUMIF(N33:Q42,4)/8</f>
        <v>0</v>
      </c>
      <c r="R32" s="14"/>
      <c r="S32" s="14">
        <f>SUMIF(S33:V42,1)/2</f>
        <v>0</v>
      </c>
      <c r="T32" s="14">
        <f>SUMIF(S33:V42,2)/4</f>
        <v>0</v>
      </c>
      <c r="U32" s="14">
        <f>SUMIF(S33:V42,3)/6</f>
        <v>0</v>
      </c>
      <c r="V32" s="14">
        <f>SUMIF(S33:V42,4)/8</f>
        <v>0</v>
      </c>
      <c r="W32" s="14"/>
      <c r="X32" s="14">
        <f>SUMIF(X33:AA42,1)/2</f>
        <v>0</v>
      </c>
      <c r="Y32" s="14">
        <f>SUMIF(X33:AA42,2)/4</f>
        <v>0</v>
      </c>
      <c r="Z32" s="14">
        <f>SUMIF(X33:AA42,3)/6</f>
        <v>0</v>
      </c>
      <c r="AA32" s="14">
        <f>SUMIF(X33:AA42,4)/8</f>
        <v>0</v>
      </c>
      <c r="AB32" s="14"/>
      <c r="AC32" s="14">
        <f>SUMIF(AC33:AF42,1)/2</f>
        <v>0</v>
      </c>
      <c r="AD32" s="14">
        <f>SUMIF(AC33:AF42,2)/4</f>
        <v>0</v>
      </c>
      <c r="AE32" s="14">
        <f>SUMIF(AC33:AF42,3)/6</f>
        <v>0</v>
      </c>
      <c r="AF32" s="14">
        <f>SUMIF(AC33:AF42,4)/8</f>
        <v>0</v>
      </c>
      <c r="AG32" s="14"/>
      <c r="AH32" s="14">
        <f>SUMIF(AH33:AK42,1)/2</f>
        <v>0</v>
      </c>
      <c r="AI32" s="14">
        <f>SUMIF(AH33:AK42,2)/4</f>
        <v>0</v>
      </c>
      <c r="AJ32" s="14">
        <f>SUMIF(AH33:AK42,3)/6</f>
        <v>0</v>
      </c>
      <c r="AK32" s="14">
        <f>SUMIF(AH33:AK42,4)/8</f>
        <v>0</v>
      </c>
      <c r="AL32" s="14"/>
      <c r="AM32" s="14">
        <f>SUMIF(AM33:AP42,1)/2</f>
        <v>0</v>
      </c>
      <c r="AN32" s="14">
        <f>SUMIF(AM33:AP42,2)/4</f>
        <v>0</v>
      </c>
      <c r="AO32" s="14">
        <f>SUMIF(AM33:AP42,3)/6</f>
        <v>0</v>
      </c>
      <c r="AP32" s="14">
        <f>SUMIF(AM33:AP42,4)/8</f>
        <v>0</v>
      </c>
      <c r="AQ32" s="14"/>
      <c r="AR32" s="14">
        <f>SUMIF(AR33:AU42,1)/2</f>
        <v>0</v>
      </c>
      <c r="AS32" s="14">
        <f>SUMIF(AR33:AU42,2)/4</f>
        <v>0</v>
      </c>
      <c r="AT32" s="14">
        <f>SUMIF(AR33:AU42,3)/6</f>
        <v>0</v>
      </c>
      <c r="AU32" s="14">
        <f>SUMIF(AR33:AU42,4)/8</f>
        <v>0</v>
      </c>
      <c r="AV32" s="14"/>
      <c r="AW32" s="14">
        <f>SUMIF(AW33:AZ42,1)/2</f>
        <v>0</v>
      </c>
      <c r="AX32" s="14">
        <f>SUMIF(AW33:AZ42,2)/4</f>
        <v>0</v>
      </c>
      <c r="AY32" s="14">
        <f>SUMIF(AW33:AZ42,3)/6</f>
        <v>0</v>
      </c>
      <c r="AZ32" s="14">
        <f>SUMIF(AW33:AZ42,4)/8</f>
        <v>0</v>
      </c>
      <c r="BA32" s="14"/>
      <c r="BB32" s="14">
        <f>SUMIF(BB33:BE42,1)/2</f>
        <v>0</v>
      </c>
      <c r="BC32" s="14">
        <f>SUMIF(BB33:BE42,2)/4</f>
        <v>0</v>
      </c>
      <c r="BD32" s="14">
        <f>SUMIF(BB33:BE42,3)/6</f>
        <v>0</v>
      </c>
      <c r="BE32" s="14">
        <f>SUMIF(BB33:BE42,4)/8</f>
        <v>0</v>
      </c>
      <c r="BF32" s="14"/>
      <c r="BG32" s="14">
        <f>SUMIF(BG33:BJ42,1)/2</f>
        <v>0</v>
      </c>
      <c r="BH32" s="14">
        <f>SUMIF(BG33:BJ42,2)/4</f>
        <v>0</v>
      </c>
      <c r="BI32" s="14">
        <f>SUMIF(BG33:BJ42,3)/6</f>
        <v>0</v>
      </c>
      <c r="BJ32" s="14">
        <f>SUMIF(BG33:BJ42,4)/8</f>
        <v>0</v>
      </c>
      <c r="BK32" s="14"/>
      <c r="BL32" s="14">
        <f>SUM(D32:G32,I32:L32,N32:Q32,S32:V32,X32:AA32,AC32:AF32,AH32:AK32,AM32:AP32,AR32:AU32,AW32:AZ32,BB32:BE32,BG32:BJ32)</f>
        <v>0</v>
      </c>
      <c r="BM32" s="6"/>
      <c r="BN32" s="6"/>
      <c r="BO32" s="6"/>
      <c r="BT32" s="14"/>
      <c r="BU32" s="14"/>
      <c r="BV32" s="11"/>
      <c r="BW32" s="11"/>
      <c r="BX32" s="11"/>
      <c r="BY32" s="11"/>
      <c r="BZ32" s="11"/>
    </row>
    <row r="33" ht="16.5" customHeight="1">
      <c r="B33" s="92">
        <v>10.0</v>
      </c>
      <c r="D33" s="93"/>
      <c r="E33" s="94"/>
      <c r="F33" s="94"/>
      <c r="G33" s="95"/>
      <c r="H33" s="6"/>
      <c r="I33" s="93"/>
      <c r="J33" s="94"/>
      <c r="K33" s="94"/>
      <c r="L33" s="95"/>
      <c r="M33" s="6"/>
      <c r="N33" s="93"/>
      <c r="O33" s="94"/>
      <c r="P33" s="94"/>
      <c r="Q33" s="95"/>
      <c r="R33" s="6"/>
      <c r="S33" s="93"/>
      <c r="T33" s="94"/>
      <c r="U33" s="94"/>
      <c r="V33" s="95"/>
      <c r="W33" s="6"/>
      <c r="X33" s="93"/>
      <c r="Y33" s="94"/>
      <c r="Z33" s="94"/>
      <c r="AA33" s="95"/>
      <c r="AB33" s="6"/>
      <c r="AC33" s="93"/>
      <c r="AD33" s="94"/>
      <c r="AE33" s="94"/>
      <c r="AF33" s="95"/>
      <c r="AG33" s="6"/>
      <c r="AH33" s="93"/>
      <c r="AI33" s="94"/>
      <c r="AJ33" s="94"/>
      <c r="AK33" s="95"/>
      <c r="AL33" s="6"/>
      <c r="AM33" s="93" t="str">
        <f>IF(AND(ISNUMBER(EESA!$Q$10),EESA!$Q$10&gt;=90, EESA!Q87&gt;=10),1,IF(AND(ISNUMBER(EESA!$R$10),EESA!$R$10&gt;=90, EESA!R87&gt;=10),2,IF(AND(ISNUMBER(EESA!$S$10),EESA!$S$10&gt;=90, EESA!S87&gt;=10),3,IF(AND(ISNUMBER(EESA!$T$10),EESA!$T$10&gt;=90, EESA!T87&gt;=10),4,""))))</f>
        <v/>
      </c>
      <c r="AN33" s="94"/>
      <c r="AO33" s="94"/>
      <c r="AP33" s="95"/>
      <c r="AQ33" s="6"/>
      <c r="AR33" s="93"/>
      <c r="AS33" s="94"/>
      <c r="AT33" s="94"/>
      <c r="AU33" s="95"/>
      <c r="AV33" s="6"/>
      <c r="AW33" s="93"/>
      <c r="AX33" s="94"/>
      <c r="AY33" s="94"/>
      <c r="AZ33" s="95"/>
      <c r="BA33" s="6"/>
      <c r="BB33" s="93"/>
      <c r="BC33" s="94"/>
      <c r="BD33" s="94"/>
      <c r="BE33" s="95"/>
      <c r="BF33" s="6"/>
      <c r="BG33" s="93"/>
      <c r="BH33" s="94"/>
      <c r="BI33" s="94"/>
      <c r="BJ33" s="95"/>
      <c r="BL33" s="6"/>
      <c r="BM33" s="6"/>
      <c r="BN33" s="6"/>
      <c r="BO33" s="6"/>
      <c r="BT33" s="14"/>
      <c r="BU33" s="14"/>
      <c r="BV33" s="11"/>
      <c r="BW33" s="11"/>
      <c r="BX33" s="11"/>
      <c r="BY33" s="11"/>
      <c r="BZ33" s="11"/>
    </row>
    <row r="34" ht="16.5" customHeight="1">
      <c r="B34" s="96"/>
      <c r="D34" s="97"/>
      <c r="E34" s="98"/>
      <c r="F34" s="98"/>
      <c r="G34" s="99"/>
      <c r="H34" s="6"/>
      <c r="I34" s="97"/>
      <c r="J34" s="98"/>
      <c r="K34" s="98"/>
      <c r="L34" s="99"/>
      <c r="M34" s="6"/>
      <c r="N34" s="97"/>
      <c r="O34" s="98"/>
      <c r="P34" s="98"/>
      <c r="Q34" s="99"/>
      <c r="R34" s="6"/>
      <c r="S34" s="97"/>
      <c r="T34" s="98"/>
      <c r="U34" s="98"/>
      <c r="V34" s="99"/>
      <c r="W34" s="6"/>
      <c r="X34" s="97"/>
      <c r="Y34" s="98"/>
      <c r="Z34" s="98"/>
      <c r="AA34" s="99"/>
      <c r="AB34" s="6"/>
      <c r="AC34" s="97"/>
      <c r="AD34" s="98"/>
      <c r="AE34" s="98"/>
      <c r="AF34" s="99"/>
      <c r="AG34" s="6"/>
      <c r="AH34" s="97"/>
      <c r="AI34" s="98"/>
      <c r="AJ34" s="98"/>
      <c r="AK34" s="99"/>
      <c r="AL34" s="6"/>
      <c r="AM34" s="97" t="str">
        <f>IF(AND(ISNUMBER(EESA!$Q$10),EESA!$Q$10&gt;=85, EESA!Q87&gt;=10),1,IF(AND(ISNUMBER(EESA!$R$10),EESA!$R$10&gt;=85, EESA!R87&gt;=10),2,IF(AND(ISNUMBER(EESA!$S$10),EESA!$S$10&gt;=85, EESA!S87&gt;=10),3,IF(AND(ISNUMBER(EESA!$T$10),EESA!$T$10&gt;=85, EESA!T87&gt;=10),4,""))))</f>
        <v/>
      </c>
      <c r="AN34" s="98"/>
      <c r="AO34" s="98"/>
      <c r="AP34" s="99"/>
      <c r="AQ34" s="6"/>
      <c r="AR34" s="97"/>
      <c r="AS34" s="98"/>
      <c r="AT34" s="98"/>
      <c r="AU34" s="99"/>
      <c r="AV34" s="6"/>
      <c r="AW34" s="97"/>
      <c r="AX34" s="98"/>
      <c r="AY34" s="98"/>
      <c r="AZ34" s="99"/>
      <c r="BA34" s="6"/>
      <c r="BB34" s="93"/>
      <c r="BC34" s="94"/>
      <c r="BD34" s="94"/>
      <c r="BE34" s="95"/>
      <c r="BF34" s="6"/>
      <c r="BG34" s="97"/>
      <c r="BH34" s="98"/>
      <c r="BI34" s="98"/>
      <c r="BJ34" s="99"/>
      <c r="BL34" s="6"/>
      <c r="BM34" s="6"/>
      <c r="BN34" s="6"/>
      <c r="BO34" s="6"/>
      <c r="BT34" s="14"/>
      <c r="BU34" s="14"/>
      <c r="BV34" s="11"/>
      <c r="BW34" s="11"/>
      <c r="BX34" s="11"/>
      <c r="BY34" s="11"/>
      <c r="BZ34" s="11"/>
    </row>
    <row r="35" ht="16.5" customHeight="1">
      <c r="B35" s="92">
        <v>9.0</v>
      </c>
      <c r="D35" s="93"/>
      <c r="E35" s="94"/>
      <c r="F35" s="94"/>
      <c r="G35" s="95"/>
      <c r="H35" s="6"/>
      <c r="I35" s="93"/>
      <c r="J35" s="94"/>
      <c r="K35" s="94"/>
      <c r="L35" s="95"/>
      <c r="M35" s="6"/>
      <c r="N35" s="93"/>
      <c r="O35" s="94"/>
      <c r="P35" s="94"/>
      <c r="Q35" s="95"/>
      <c r="R35" s="6"/>
      <c r="S35" s="93"/>
      <c r="T35" s="94"/>
      <c r="U35" s="94"/>
      <c r="V35" s="95"/>
      <c r="W35" s="6"/>
      <c r="X35" s="93"/>
      <c r="Y35" s="94"/>
      <c r="Z35" s="94"/>
      <c r="AA35" s="95"/>
      <c r="AB35" s="6"/>
      <c r="AC35" s="93"/>
      <c r="AD35" s="94"/>
      <c r="AE35" s="94"/>
      <c r="AF35" s="95"/>
      <c r="AG35" s="6"/>
      <c r="AH35" s="93"/>
      <c r="AI35" s="94"/>
      <c r="AJ35" s="94"/>
      <c r="AK35" s="95"/>
      <c r="AL35" s="6"/>
      <c r="AM35" s="93" t="str">
        <f>IF(AND(ISNUMBER(EESA!$Q$10),EESA!$Q$10&gt;=80),1,IF(AND(ISNUMBER(EESA!$R$10),EESA!$R$10&gt;=80),2,IF(AND(ISNUMBER(EESA!$S$10),EESA!$S$10&gt;=80),3,IF(AND(ISNUMBER(EESA!$T$10),EESA!$T$10&gt;=80),4,""))))</f>
        <v/>
      </c>
      <c r="AN35" s="94"/>
      <c r="AO35" s="94"/>
      <c r="AP35" s="95"/>
      <c r="AQ35" s="6"/>
      <c r="AR35" s="93"/>
      <c r="AS35" s="94"/>
      <c r="AT35" s="94"/>
      <c r="AU35" s="95"/>
      <c r="AV35" s="6"/>
      <c r="AW35" s="93"/>
      <c r="AX35" s="94"/>
      <c r="AY35" s="94"/>
      <c r="AZ35" s="95"/>
      <c r="BA35" s="6"/>
      <c r="BB35" s="97"/>
      <c r="BC35" s="98"/>
      <c r="BD35" s="98"/>
      <c r="BE35" s="99"/>
      <c r="BF35" s="6"/>
      <c r="BG35" s="93"/>
      <c r="BH35" s="94"/>
      <c r="BI35" s="94"/>
      <c r="BJ35" s="95"/>
      <c r="BL35" s="6"/>
      <c r="BM35" s="6"/>
      <c r="BN35" s="6"/>
      <c r="BO35" s="6"/>
      <c r="BT35" s="14"/>
      <c r="BU35" s="14"/>
      <c r="BV35" s="11"/>
      <c r="BW35" s="11"/>
      <c r="BX35" s="11"/>
      <c r="BY35" s="11"/>
      <c r="BZ35" s="11"/>
    </row>
    <row r="36" ht="16.5" customHeight="1">
      <c r="B36" s="96"/>
      <c r="D36" s="97"/>
      <c r="E36" s="98"/>
      <c r="F36" s="98"/>
      <c r="G36" s="99"/>
      <c r="H36" s="6"/>
      <c r="I36" s="97"/>
      <c r="J36" s="98"/>
      <c r="K36" s="98"/>
      <c r="L36" s="99"/>
      <c r="M36" s="6"/>
      <c r="N36" s="97"/>
      <c r="O36" s="98"/>
      <c r="P36" s="98"/>
      <c r="Q36" s="99"/>
      <c r="R36" s="6"/>
      <c r="S36" s="97"/>
      <c r="T36" s="98"/>
      <c r="U36" s="98"/>
      <c r="V36" s="99"/>
      <c r="W36" s="6"/>
      <c r="X36" s="97"/>
      <c r="Y36" s="98"/>
      <c r="Z36" s="98"/>
      <c r="AA36" s="99"/>
      <c r="AB36" s="6"/>
      <c r="AC36" s="97"/>
      <c r="AD36" s="98"/>
      <c r="AE36" s="98"/>
      <c r="AF36" s="99"/>
      <c r="AG36" s="6"/>
      <c r="AH36" s="97"/>
      <c r="AI36" s="98"/>
      <c r="AJ36" s="98"/>
      <c r="AK36" s="99"/>
      <c r="AL36" s="6"/>
      <c r="AM36" s="97" t="str">
        <f>IF(AND(ISNUMBER(EESA!$Q$10),EESA!$Q$10&gt;=75),1,IF(AND(ISNUMBER(EESA!$R$10),EESA!$R$10&gt;=75),2,IF(AND(ISNUMBER(EESA!$S$10),EESA!$S$10&gt;=75),3,IF(AND(ISNUMBER(EESA!$T$10),EESA!$T$10&gt;=75),4,""))))</f>
        <v/>
      </c>
      <c r="AN36" s="98"/>
      <c r="AO36" s="98"/>
      <c r="AP36" s="99"/>
      <c r="AQ36" s="6"/>
      <c r="AR36" s="97"/>
      <c r="AS36" s="98"/>
      <c r="AT36" s="98"/>
      <c r="AU36" s="99"/>
      <c r="AV36" s="6"/>
      <c r="AW36" s="97"/>
      <c r="AX36" s="98"/>
      <c r="AY36" s="98"/>
      <c r="AZ36" s="99"/>
      <c r="BA36" s="6"/>
      <c r="BB36" s="97"/>
      <c r="BC36" s="98"/>
      <c r="BD36" s="98"/>
      <c r="BE36" s="99"/>
      <c r="BF36" s="6"/>
      <c r="BG36" s="97"/>
      <c r="BH36" s="98"/>
      <c r="BI36" s="98"/>
      <c r="BJ36" s="99"/>
      <c r="BL36" s="6"/>
      <c r="BM36" s="6"/>
      <c r="BN36" s="6"/>
      <c r="BO36" s="6"/>
      <c r="BT36" s="14"/>
      <c r="BU36" s="14"/>
      <c r="BV36" s="11"/>
      <c r="BW36" s="11"/>
      <c r="BX36" s="11"/>
      <c r="BY36" s="11"/>
      <c r="BZ36" s="11"/>
    </row>
    <row r="37" ht="16.5" customHeight="1">
      <c r="B37" s="92">
        <v>8.0</v>
      </c>
      <c r="D37" s="93"/>
      <c r="E37" s="94"/>
      <c r="F37" s="94"/>
      <c r="G37" s="95"/>
      <c r="H37" s="6"/>
      <c r="I37" s="93"/>
      <c r="J37" s="94"/>
      <c r="K37" s="94"/>
      <c r="L37" s="95"/>
      <c r="M37" s="6"/>
      <c r="N37" s="93"/>
      <c r="O37" s="94"/>
      <c r="P37" s="94"/>
      <c r="Q37" s="95"/>
      <c r="R37" s="6"/>
      <c r="S37" s="93"/>
      <c r="T37" s="94"/>
      <c r="U37" s="94"/>
      <c r="V37" s="95"/>
      <c r="W37" s="6"/>
      <c r="X37" s="93"/>
      <c r="Y37" s="94"/>
      <c r="Z37" s="94"/>
      <c r="AA37" s="95"/>
      <c r="AB37" s="6"/>
      <c r="AC37" s="93"/>
      <c r="AD37" s="94"/>
      <c r="AE37" s="94"/>
      <c r="AF37" s="95"/>
      <c r="AG37" s="6"/>
      <c r="AH37" s="93"/>
      <c r="AI37" s="94"/>
      <c r="AJ37" s="94"/>
      <c r="AK37" s="95"/>
      <c r="AL37" s="6"/>
      <c r="AM37" s="93" t="str">
        <f>IF(AND(ISNUMBER(EESA!$Q$10),EESA!$Q$10&gt;=70),1,IF(AND(ISNUMBER(EESA!$R$10),EESA!$R$10&gt;=70),2,IF(AND(ISNUMBER(EESA!$S$10),EESA!$S$10&gt;=70),3,IF(AND(ISNUMBER(EESA!$T$10),EESA!$T$10&gt;=70),4,""))))</f>
        <v/>
      </c>
      <c r="AN37" s="94"/>
      <c r="AO37" s="94"/>
      <c r="AP37" s="95"/>
      <c r="AQ37" s="6"/>
      <c r="AR37" s="93"/>
      <c r="AS37" s="94"/>
      <c r="AT37" s="94"/>
      <c r="AU37" s="95"/>
      <c r="AV37" s="6"/>
      <c r="AW37" s="93"/>
      <c r="AX37" s="94"/>
      <c r="AY37" s="94"/>
      <c r="AZ37" s="95"/>
      <c r="BA37" s="6"/>
      <c r="BB37" s="93"/>
      <c r="BC37" s="94"/>
      <c r="BD37" s="94"/>
      <c r="BE37" s="95"/>
      <c r="BF37" s="6"/>
      <c r="BG37" s="93"/>
      <c r="BH37" s="94"/>
      <c r="BI37" s="94"/>
      <c r="BJ37" s="95"/>
      <c r="BL37" s="6"/>
      <c r="BM37" s="6"/>
      <c r="BN37" s="6"/>
      <c r="BO37" s="6"/>
      <c r="BT37" s="14"/>
      <c r="BU37" s="14"/>
      <c r="BV37" s="11"/>
      <c r="BW37" s="11"/>
      <c r="BX37" s="11"/>
      <c r="BY37" s="11"/>
      <c r="BZ37" s="11"/>
    </row>
    <row r="38" ht="16.5" customHeight="1">
      <c r="B38" s="96"/>
      <c r="D38" s="97"/>
      <c r="E38" s="98"/>
      <c r="F38" s="98"/>
      <c r="G38" s="99"/>
      <c r="H38" s="6"/>
      <c r="I38" s="97"/>
      <c r="J38" s="98"/>
      <c r="K38" s="98"/>
      <c r="L38" s="99"/>
      <c r="M38" s="6"/>
      <c r="N38" s="97"/>
      <c r="O38" s="98"/>
      <c r="P38" s="98"/>
      <c r="Q38" s="99"/>
      <c r="R38" s="6"/>
      <c r="S38" s="97"/>
      <c r="T38" s="98"/>
      <c r="U38" s="98"/>
      <c r="V38" s="99"/>
      <c r="W38" s="6"/>
      <c r="X38" s="97"/>
      <c r="Y38" s="98"/>
      <c r="Z38" s="98"/>
      <c r="AA38" s="99"/>
      <c r="AB38" s="6"/>
      <c r="AC38" s="97"/>
      <c r="AD38" s="98"/>
      <c r="AE38" s="98"/>
      <c r="AF38" s="99"/>
      <c r="AG38" s="6"/>
      <c r="AH38" s="97"/>
      <c r="AI38" s="98"/>
      <c r="AJ38" s="98"/>
      <c r="AK38" s="99"/>
      <c r="AL38" s="6"/>
      <c r="AM38" s="97" t="str">
        <f>IF(AND(ISNUMBER(EESA!$Q$10),EESA!$Q$10&gt;=65),1,IF(AND(ISNUMBER(EESA!$R$10),EESA!$R$10&gt;=65),2,IF(AND(ISNUMBER(EESA!$S$10),EESA!$S$10&gt;=65),3,IF(AND(ISNUMBER(EESA!$T$10),EESA!$T$10&gt;=65),4,""))))</f>
        <v/>
      </c>
      <c r="AN38" s="98"/>
      <c r="AO38" s="98"/>
      <c r="AP38" s="99"/>
      <c r="AQ38" s="6"/>
      <c r="AR38" s="97"/>
      <c r="AS38" s="98"/>
      <c r="AT38" s="98"/>
      <c r="AU38" s="99"/>
      <c r="AV38" s="6"/>
      <c r="AW38" s="97"/>
      <c r="AX38" s="98"/>
      <c r="AY38" s="98"/>
      <c r="AZ38" s="99"/>
      <c r="BA38" s="6"/>
      <c r="BB38" s="97"/>
      <c r="BC38" s="98"/>
      <c r="BD38" s="98"/>
      <c r="BE38" s="99"/>
      <c r="BF38" s="6"/>
      <c r="BG38" s="97"/>
      <c r="BH38" s="98"/>
      <c r="BI38" s="98"/>
      <c r="BJ38" s="99"/>
      <c r="BL38" s="6"/>
      <c r="BM38" s="6"/>
      <c r="BN38" s="6"/>
      <c r="BO38" s="6"/>
      <c r="BT38" s="14"/>
      <c r="BU38" s="14"/>
      <c r="BV38" s="11"/>
      <c r="BW38" s="11"/>
      <c r="BX38" s="11"/>
      <c r="BY38" s="11"/>
      <c r="BZ38" s="11"/>
    </row>
    <row r="39" ht="16.5" customHeight="1">
      <c r="B39" s="92">
        <v>7.0</v>
      </c>
      <c r="D39" s="93"/>
      <c r="E39" s="94"/>
      <c r="F39" s="94"/>
      <c r="G39" s="95"/>
      <c r="H39" s="6"/>
      <c r="I39" s="93"/>
      <c r="J39" s="94"/>
      <c r="K39" s="94"/>
      <c r="L39" s="95"/>
      <c r="M39" s="6"/>
      <c r="N39" s="93"/>
      <c r="O39" s="94"/>
      <c r="P39" s="94"/>
      <c r="Q39" s="95"/>
      <c r="R39" s="6"/>
      <c r="S39" s="93"/>
      <c r="T39" s="94"/>
      <c r="U39" s="94"/>
      <c r="V39" s="95"/>
      <c r="W39" s="6"/>
      <c r="X39" s="93"/>
      <c r="Y39" s="94"/>
      <c r="Z39" s="94"/>
      <c r="AA39" s="95"/>
      <c r="AB39" s="6"/>
      <c r="AC39" s="93"/>
      <c r="AD39" s="94"/>
      <c r="AE39" s="94"/>
      <c r="AF39" s="95"/>
      <c r="AG39" s="6"/>
      <c r="AH39" s="93"/>
      <c r="AI39" s="94"/>
      <c r="AJ39" s="94"/>
      <c r="AK39" s="95"/>
      <c r="AL39" s="6"/>
      <c r="AM39" s="93" t="str">
        <f>IF(AND(ISNUMBER(EESA!$Q$10),EESA!$Q$10&gt;=60),1,IF(AND(ISNUMBER(EESA!$R$10),EESA!$R$10&gt;=60),2,IF(AND(ISNUMBER(EESA!$S$10),EESA!$S$10&gt;=60),3,IF(AND(ISNUMBER(EESA!$T$10),EESA!$T$10&gt;=60),4,""))))</f>
        <v/>
      </c>
      <c r="AN39" s="94"/>
      <c r="AO39" s="94"/>
      <c r="AP39" s="95"/>
      <c r="AQ39" s="6"/>
      <c r="AR39" s="93"/>
      <c r="AS39" s="94"/>
      <c r="AT39" s="94"/>
      <c r="AU39" s="95"/>
      <c r="AV39" s="6"/>
      <c r="AW39" s="93"/>
      <c r="AX39" s="94"/>
      <c r="AY39" s="94"/>
      <c r="AZ39" s="95"/>
      <c r="BA39" s="6"/>
      <c r="BB39" s="93"/>
      <c r="BC39" s="94"/>
      <c r="BD39" s="94"/>
      <c r="BE39" s="95"/>
      <c r="BF39" s="6"/>
      <c r="BG39" s="93"/>
      <c r="BH39" s="94"/>
      <c r="BI39" s="94"/>
      <c r="BJ39" s="95"/>
      <c r="BL39" s="6"/>
      <c r="BM39" s="6"/>
      <c r="BN39" s="6"/>
      <c r="BO39" s="6"/>
      <c r="BT39" s="14"/>
      <c r="BU39" s="14"/>
      <c r="BV39" s="11"/>
      <c r="BW39" s="11"/>
      <c r="BX39" s="11"/>
      <c r="BY39" s="11"/>
      <c r="BZ39" s="11"/>
    </row>
    <row r="40" ht="16.5" customHeight="1">
      <c r="B40" s="96"/>
      <c r="D40" s="97"/>
      <c r="E40" s="98"/>
      <c r="F40" s="98"/>
      <c r="G40" s="99"/>
      <c r="H40" s="6"/>
      <c r="I40" s="97"/>
      <c r="J40" s="98"/>
      <c r="K40" s="98"/>
      <c r="L40" s="99"/>
      <c r="M40" s="6"/>
      <c r="N40" s="97"/>
      <c r="O40" s="98"/>
      <c r="P40" s="98"/>
      <c r="Q40" s="99"/>
      <c r="R40" s="6"/>
      <c r="S40" s="97"/>
      <c r="T40" s="98"/>
      <c r="U40" s="98"/>
      <c r="V40" s="99"/>
      <c r="W40" s="6"/>
      <c r="X40" s="97"/>
      <c r="Y40" s="98"/>
      <c r="Z40" s="98"/>
      <c r="AA40" s="99"/>
      <c r="AB40" s="6"/>
      <c r="AC40" s="97"/>
      <c r="AD40" s="98"/>
      <c r="AE40" s="98"/>
      <c r="AF40" s="99"/>
      <c r="AG40" s="6"/>
      <c r="AH40" s="97"/>
      <c r="AI40" s="98"/>
      <c r="AJ40" s="98"/>
      <c r="AK40" s="99"/>
      <c r="AL40" s="6"/>
      <c r="AM40" s="97" t="str">
        <f>IF(AND(ISNUMBER(EESA!$Q$10),EESA!$Q$10&gt;=55),1,IF(AND(ISNUMBER(EESA!$R$10),EESA!$R$10&gt;=55),2,IF(AND(ISNUMBER(EESA!$S$10),EESA!$S$10&gt;=55),3,IF(AND(ISNUMBER(EESA!$T$10),EESA!$T$10&gt;=55),4,""))))</f>
        <v/>
      </c>
      <c r="AN40" s="98"/>
      <c r="AO40" s="98"/>
      <c r="AP40" s="99"/>
      <c r="AQ40" s="6"/>
      <c r="AR40" s="97"/>
      <c r="AS40" s="98"/>
      <c r="AT40" s="98"/>
      <c r="AU40" s="99"/>
      <c r="AV40" s="6"/>
      <c r="AW40" s="97"/>
      <c r="AX40" s="98"/>
      <c r="AY40" s="98"/>
      <c r="AZ40" s="99"/>
      <c r="BA40" s="6"/>
      <c r="BB40" s="97"/>
      <c r="BC40" s="98"/>
      <c r="BD40" s="98"/>
      <c r="BE40" s="99"/>
      <c r="BF40" s="6"/>
      <c r="BG40" s="97"/>
      <c r="BH40" s="98"/>
      <c r="BI40" s="98"/>
      <c r="BJ40" s="99"/>
      <c r="BL40" s="6"/>
      <c r="BM40" s="6"/>
      <c r="BN40" s="6"/>
      <c r="BO40" s="6"/>
      <c r="BT40" s="14"/>
      <c r="BU40" s="14"/>
      <c r="BV40" s="11"/>
      <c r="BW40" s="11"/>
      <c r="BX40" s="11"/>
      <c r="BY40" s="11"/>
      <c r="BZ40" s="11"/>
    </row>
    <row r="41" ht="16.5" customHeight="1">
      <c r="B41" s="92">
        <v>6.0</v>
      </c>
      <c r="D41" s="93"/>
      <c r="E41" s="94"/>
      <c r="F41" s="94"/>
      <c r="G41" s="95"/>
      <c r="H41" s="6"/>
      <c r="I41" s="93"/>
      <c r="J41" s="94"/>
      <c r="K41" s="94"/>
      <c r="L41" s="95"/>
      <c r="M41" s="6"/>
      <c r="N41" s="93"/>
      <c r="O41" s="94"/>
      <c r="P41" s="94"/>
      <c r="Q41" s="95"/>
      <c r="R41" s="6"/>
      <c r="S41" s="93"/>
      <c r="T41" s="94"/>
      <c r="U41" s="94"/>
      <c r="V41" s="95"/>
      <c r="W41" s="6"/>
      <c r="X41" s="93"/>
      <c r="Y41" s="94"/>
      <c r="Z41" s="94"/>
      <c r="AA41" s="95"/>
      <c r="AB41" s="6"/>
      <c r="AC41" s="93"/>
      <c r="AD41" s="94"/>
      <c r="AE41" s="94"/>
      <c r="AF41" s="95"/>
      <c r="AG41" s="6"/>
      <c r="AH41" s="93"/>
      <c r="AI41" s="94"/>
      <c r="AJ41" s="94"/>
      <c r="AK41" s="95"/>
      <c r="AL41" s="6"/>
      <c r="AM41" s="93" t="str">
        <f>IF(AND(ISNUMBER(EESA!$Q$10),EESA!$Q$10&gt;=50, EESA!Q43&gt;=20),1,IF(AND(ISNUMBER(EESA!$R$10),EESA!$R$10&gt;=50, EESA!R43&gt;=20),2,IF(AND(ISNUMBER(EESA!$S$10),EESA!$S$10&gt;=50, EESA!S43&gt;=20),3,IF(AND(ISNUMBER(EESA!$T$10),EESA!$T$10&gt;=50, EESA!T43&gt;=20),4,""))))</f>
        <v/>
      </c>
      <c r="AN41" s="94"/>
      <c r="AO41" s="94"/>
      <c r="AP41" s="95"/>
      <c r="AQ41" s="6"/>
      <c r="AR41" s="93"/>
      <c r="AS41" s="94"/>
      <c r="AT41" s="94"/>
      <c r="AU41" s="95"/>
      <c r="AV41" s="6"/>
      <c r="AW41" s="93"/>
      <c r="AX41" s="94"/>
      <c r="AY41" s="94"/>
      <c r="AZ41" s="95"/>
      <c r="BA41" s="6"/>
      <c r="BB41" s="93"/>
      <c r="BC41" s="94"/>
      <c r="BD41" s="94"/>
      <c r="BE41" s="95"/>
      <c r="BF41" s="6"/>
      <c r="BG41" s="93"/>
      <c r="BH41" s="94"/>
      <c r="BI41" s="94"/>
      <c r="BJ41" s="95"/>
      <c r="BL41" s="6"/>
      <c r="BM41" s="6"/>
      <c r="BN41" s="6"/>
      <c r="BO41" s="6"/>
      <c r="BT41" s="14"/>
      <c r="BU41" s="14"/>
      <c r="BV41" s="11"/>
      <c r="BW41" s="11"/>
      <c r="BX41" s="11"/>
      <c r="BY41" s="11"/>
      <c r="BZ41" s="11"/>
    </row>
    <row r="42" ht="16.5" customHeight="1">
      <c r="B42" s="96"/>
      <c r="C42" s="100"/>
      <c r="D42" s="101"/>
      <c r="G42" s="102"/>
      <c r="H42" s="100"/>
      <c r="I42" s="101"/>
      <c r="L42" s="102"/>
      <c r="M42" s="100"/>
      <c r="N42" s="101"/>
      <c r="Q42" s="102"/>
      <c r="R42" s="100"/>
      <c r="S42" s="101"/>
      <c r="V42" s="102"/>
      <c r="W42" s="100"/>
      <c r="X42" s="101"/>
      <c r="AA42" s="102"/>
      <c r="AB42" s="100"/>
      <c r="AC42" s="101"/>
      <c r="AF42" s="102"/>
      <c r="AG42" s="100"/>
      <c r="AH42" s="101"/>
      <c r="AK42" s="102"/>
      <c r="AL42" s="100"/>
      <c r="AM42" s="101" t="str">
        <f>IF(AND(ISNUMBER(EESA!$Q$10),EESA!$Q$10&gt;=40, EESA!Q43&gt;=15),1,IF(AND(ISNUMBER(EESA!$R$10),EESA!$R$10&gt;=40, EESA!R43&gt;=15),2,IF(AND(ISNUMBER(EESA!$S$10),EESA!$S$10&gt;=40, EESA!S43&gt;=15),3,IF(AND(ISNUMBER(EESA!$T$10),EESA!$T$10&gt;=40, EESA!T43&gt;=15),4,""))))</f>
        <v/>
      </c>
      <c r="AP42" s="102"/>
      <c r="AQ42" s="100"/>
      <c r="AR42" s="101"/>
      <c r="AU42" s="102"/>
      <c r="AV42" s="100"/>
      <c r="AW42" s="101"/>
      <c r="AZ42" s="102"/>
      <c r="BA42" s="100"/>
      <c r="BB42" s="101"/>
      <c r="BE42" s="102"/>
      <c r="BF42" s="100"/>
      <c r="BG42" s="101"/>
      <c r="BJ42" s="102"/>
      <c r="BK42" s="6"/>
      <c r="BL42" s="14">
        <f t="shared" ref="BL42:BO42" si="3">SUM(D32,I32,N32,S32,X32,AC32,AH32,AM32,AR32,AW32,BB32,BG32)</f>
        <v>0</v>
      </c>
      <c r="BM42" s="14">
        <f t="shared" si="3"/>
        <v>0</v>
      </c>
      <c r="BN42" s="14">
        <f t="shared" si="3"/>
        <v>0</v>
      </c>
      <c r="BO42" s="14">
        <f t="shared" si="3"/>
        <v>0</v>
      </c>
      <c r="BT42" s="14"/>
      <c r="BU42" s="14"/>
      <c r="BV42" s="11"/>
      <c r="BW42" s="11"/>
      <c r="BX42" s="11"/>
      <c r="BY42" s="11"/>
      <c r="BZ42" s="11"/>
    </row>
    <row r="43" ht="15.75" customHeight="1">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T43" s="14"/>
      <c r="BU43" s="14"/>
      <c r="BV43" s="11"/>
      <c r="BW43" s="11"/>
      <c r="BX43" s="11"/>
      <c r="BY43" s="11"/>
      <c r="BZ43" s="11"/>
    </row>
    <row r="44" ht="15.75" customHeight="1">
      <c r="D44" s="6"/>
      <c r="E44" s="6"/>
      <c r="F44" s="6"/>
      <c r="G44" s="6"/>
      <c r="I44" s="6"/>
      <c r="J44" s="6"/>
      <c r="K44" s="6"/>
      <c r="L44" s="6"/>
      <c r="N44" s="6"/>
      <c r="O44" s="6"/>
      <c r="P44" s="6"/>
      <c r="Q44" s="6"/>
      <c r="S44" s="6"/>
      <c r="T44" s="6"/>
      <c r="U44" s="6"/>
      <c r="V44" s="6"/>
      <c r="X44" s="6"/>
      <c r="Y44" s="6"/>
      <c r="Z44" s="6"/>
      <c r="AA44" s="6"/>
      <c r="AC44" s="6"/>
      <c r="AD44" s="6"/>
      <c r="AE44" s="6"/>
      <c r="AF44" s="6"/>
      <c r="AH44" s="6"/>
      <c r="AI44" s="6"/>
      <c r="AJ44" s="6"/>
      <c r="AK44" s="6"/>
      <c r="AM44" s="6"/>
      <c r="AN44" s="6"/>
      <c r="AO44" s="6"/>
      <c r="AP44" s="6"/>
      <c r="AR44" s="6"/>
      <c r="AS44" s="6"/>
      <c r="AT44" s="6"/>
      <c r="AU44" s="6"/>
      <c r="AW44" s="6"/>
      <c r="AX44" s="6"/>
      <c r="AY44" s="6"/>
      <c r="AZ44" s="6"/>
      <c r="BB44" s="6"/>
      <c r="BC44" s="6"/>
      <c r="BD44" s="6"/>
      <c r="BE44" s="6"/>
      <c r="BG44" s="6"/>
      <c r="BH44" s="6"/>
      <c r="BI44" s="6"/>
      <c r="BJ44" s="6"/>
      <c r="BT44" s="14"/>
      <c r="BU44" s="14"/>
      <c r="BV44" s="11"/>
      <c r="BW44" s="11"/>
      <c r="BX44" s="11"/>
      <c r="BY44" s="11"/>
      <c r="BZ44" s="11"/>
    </row>
    <row r="45" ht="15.0" customHeight="1">
      <c r="C45" s="103" t="s">
        <v>62</v>
      </c>
      <c r="BT45" s="14"/>
      <c r="BU45" s="14"/>
      <c r="BV45" s="11"/>
      <c r="BW45" s="11"/>
      <c r="BX45" s="11"/>
      <c r="BY45" s="11"/>
      <c r="BZ45" s="11"/>
    </row>
    <row r="46" ht="15.0" customHeight="1">
      <c r="BT46" s="14"/>
      <c r="BU46" s="14"/>
      <c r="BV46" s="11"/>
      <c r="BW46" s="11"/>
      <c r="BX46" s="11"/>
      <c r="BY46" s="11"/>
      <c r="BZ46" s="11"/>
    </row>
    <row r="47" ht="7.5" customHeight="1">
      <c r="AW47" s="6"/>
      <c r="AX47" s="6"/>
      <c r="AY47" s="6"/>
      <c r="AZ47" s="6"/>
      <c r="BT47" s="14"/>
      <c r="BU47" s="14"/>
      <c r="BV47" s="11"/>
      <c r="BW47" s="11"/>
      <c r="BX47" s="11"/>
      <c r="BY47" s="11"/>
      <c r="BZ47" s="11"/>
    </row>
    <row r="48" ht="16.5" customHeight="1">
      <c r="D48" s="104" t="s">
        <v>36</v>
      </c>
      <c r="E48" s="105"/>
      <c r="F48" s="105"/>
      <c r="G48" s="106"/>
      <c r="H48" s="51"/>
      <c r="I48" s="104" t="s">
        <v>37</v>
      </c>
      <c r="J48" s="105"/>
      <c r="K48" s="105"/>
      <c r="L48" s="106"/>
      <c r="M48" s="51"/>
      <c r="N48" s="104" t="s">
        <v>38</v>
      </c>
      <c r="O48" s="105"/>
      <c r="P48" s="105"/>
      <c r="Q48" s="106"/>
      <c r="R48" s="51"/>
      <c r="S48" s="104" t="s">
        <v>39</v>
      </c>
      <c r="T48" s="105"/>
      <c r="U48" s="105"/>
      <c r="V48" s="106"/>
      <c r="W48" s="51"/>
      <c r="X48" s="104" t="s">
        <v>40</v>
      </c>
      <c r="Y48" s="105"/>
      <c r="Z48" s="105"/>
      <c r="AA48" s="106"/>
      <c r="AB48" s="51"/>
      <c r="AC48" s="104" t="s">
        <v>41</v>
      </c>
      <c r="AD48" s="105"/>
      <c r="AE48" s="105"/>
      <c r="AF48" s="106"/>
      <c r="AG48" s="51"/>
      <c r="AH48" s="104" t="s">
        <v>60</v>
      </c>
      <c r="AI48" s="105"/>
      <c r="AJ48" s="105"/>
      <c r="AK48" s="106"/>
      <c r="AL48" s="51"/>
      <c r="AM48" s="104" t="s">
        <v>61</v>
      </c>
      <c r="AN48" s="105"/>
      <c r="AO48" s="105"/>
      <c r="AP48" s="106"/>
      <c r="AQ48" s="51"/>
      <c r="AR48" s="104" t="s">
        <v>63</v>
      </c>
      <c r="AS48" s="105"/>
      <c r="AT48" s="105"/>
      <c r="AU48" s="106"/>
      <c r="AV48" s="51"/>
      <c r="AW48" s="51"/>
      <c r="AX48" s="51"/>
      <c r="AY48" s="51"/>
      <c r="AZ48" s="51"/>
      <c r="BA48" s="51"/>
      <c r="BB48" s="51"/>
      <c r="BC48" s="51"/>
      <c r="BD48" s="51"/>
      <c r="BE48" s="51"/>
      <c r="BF48" s="51"/>
      <c r="BG48" s="51"/>
      <c r="BH48" s="51"/>
      <c r="BI48" s="51"/>
      <c r="BJ48" s="51"/>
      <c r="BK48" s="51"/>
      <c r="BL48" s="51"/>
      <c r="BM48" s="51"/>
      <c r="BN48" s="51"/>
      <c r="BO48" s="51"/>
      <c r="BT48" s="14"/>
      <c r="BU48" s="14"/>
      <c r="BV48" s="11"/>
      <c r="BW48" s="11"/>
      <c r="BX48" s="11"/>
      <c r="BY48" s="11"/>
      <c r="BZ48" s="11"/>
    </row>
    <row r="49" ht="10.5" customHeight="1">
      <c r="D49" s="14">
        <f>SUMIF(D50:G59,1)/2</f>
        <v>0</v>
      </c>
      <c r="E49" s="14">
        <f>SUMIF(D50:G59,2)/4</f>
        <v>0</v>
      </c>
      <c r="F49" s="14">
        <f>SUMIF(D50:G59,3)/6</f>
        <v>0</v>
      </c>
      <c r="G49" s="14">
        <f>SUMIF(D50:G59,4)/8</f>
        <v>0</v>
      </c>
      <c r="H49" s="14"/>
      <c r="I49" s="14">
        <f>SUMIF(I50:L59,1)/2</f>
        <v>0</v>
      </c>
      <c r="J49" s="14">
        <f>SUMIF(I50:L59,2)/4</f>
        <v>0</v>
      </c>
      <c r="K49" s="14">
        <f>SUMIF(I50:L59,3)/6</f>
        <v>0</v>
      </c>
      <c r="L49" s="14">
        <f>SUMIF(I50:L59,4)/8</f>
        <v>0</v>
      </c>
      <c r="M49" s="14"/>
      <c r="N49" s="14">
        <f>SUMIF(N50:Q59,1)/2</f>
        <v>0.5</v>
      </c>
      <c r="O49" s="14">
        <f>SUMIF(N50:Q59,2)/4</f>
        <v>0</v>
      </c>
      <c r="P49" s="14">
        <f>SUMIF(N50:Q59,3)/6</f>
        <v>0</v>
      </c>
      <c r="Q49" s="14">
        <f>SUMIF(N50:Q59,4)/8</f>
        <v>0</v>
      </c>
      <c r="R49" s="14"/>
      <c r="S49" s="14">
        <f>SUMIF(S50:V59,1)/2</f>
        <v>2.5</v>
      </c>
      <c r="T49" s="14">
        <f>SUMIF(S50:V59,2)/4</f>
        <v>0</v>
      </c>
      <c r="U49" s="14">
        <f>SUMIF(S50:V59,3)/6</f>
        <v>0</v>
      </c>
      <c r="V49" s="14">
        <f>SUMIF(S50:V59,4)/8</f>
        <v>0</v>
      </c>
      <c r="W49" s="14"/>
      <c r="X49" s="14">
        <f>SUMIF(X50:AA59,1)/2</f>
        <v>1.5</v>
      </c>
      <c r="Y49" s="14">
        <f>SUMIF(X50:AA59,2)/4</f>
        <v>0</v>
      </c>
      <c r="Z49" s="14">
        <f>SUMIF(X50:AA59,3)/6</f>
        <v>0</v>
      </c>
      <c r="AA49" s="14">
        <f>SUMIF(X50:AA59,4)/8</f>
        <v>0</v>
      </c>
      <c r="AB49" s="14"/>
      <c r="AC49" s="14">
        <f>SUMIF(AC50:AF59,1)/2</f>
        <v>2</v>
      </c>
      <c r="AD49" s="14">
        <f>SUMIF(AC50:AF59,2)/4</f>
        <v>0</v>
      </c>
      <c r="AE49" s="14">
        <f>SUMIF(AC50:AF59,3)/6</f>
        <v>0</v>
      </c>
      <c r="AF49" s="14">
        <f>SUMIF(AC50:AF59,4)/8</f>
        <v>0</v>
      </c>
      <c r="AG49" s="14"/>
      <c r="AH49" s="14">
        <f>SUMIF(AH50:AK59,1)/2</f>
        <v>0</v>
      </c>
      <c r="AI49" s="14">
        <f>SUMIF(AH50:AK59,2)/4</f>
        <v>0</v>
      </c>
      <c r="AJ49" s="14">
        <f>SUMIF(AH50:AK59,3)/6</f>
        <v>0</v>
      </c>
      <c r="AK49" s="14">
        <f>SUMIF(AH50:AK59,4)/8</f>
        <v>0</v>
      </c>
      <c r="AL49" s="14"/>
      <c r="AM49" s="14">
        <f>SUMIF(AM50:AP59,1)/2</f>
        <v>0</v>
      </c>
      <c r="AN49" s="14">
        <f>SUMIF(AM50:AP59,2)/4</f>
        <v>0</v>
      </c>
      <c r="AO49" s="14">
        <f>SUMIF(AM50:AP59,3)/6</f>
        <v>0</v>
      </c>
      <c r="AP49" s="14">
        <f>SUMIF(AM50:AP59,4)/8</f>
        <v>0</v>
      </c>
      <c r="AQ49" s="14"/>
      <c r="AR49" s="14">
        <f>SUMIF(AR50:AU59,1)/2</f>
        <v>0</v>
      </c>
      <c r="AS49" s="14">
        <f>SUMIF(AR50:AU59,2)/4</f>
        <v>0</v>
      </c>
      <c r="AT49" s="14">
        <f>SUMIF(AR50:AU59,3)/6</f>
        <v>0</v>
      </c>
      <c r="AU49" s="14">
        <f>SUMIF(AR50:AU59,4)/8</f>
        <v>0</v>
      </c>
      <c r="AV49" s="14"/>
      <c r="AW49" s="14">
        <f>SUM(D49:G49,I49:L49,N49:Q49,S49:V49,X49:AA49,AC49:AF49,AH49:AK49,AM49:AP49,AR49:AU49)</f>
        <v>6.5</v>
      </c>
      <c r="AX49" s="6"/>
      <c r="AY49" s="6"/>
      <c r="AZ49" s="6"/>
      <c r="BB49" s="6"/>
      <c r="BC49" s="6"/>
      <c r="BD49" s="6"/>
      <c r="BE49" s="6"/>
      <c r="BF49" s="6"/>
      <c r="BG49" s="6"/>
      <c r="BH49" s="6"/>
      <c r="BI49" s="6"/>
      <c r="BJ49" s="6"/>
      <c r="BK49" s="6"/>
      <c r="BL49" s="6"/>
      <c r="BM49" s="6"/>
      <c r="BN49" s="6"/>
      <c r="BO49" s="6"/>
      <c r="BT49" s="14"/>
      <c r="BU49" s="14"/>
      <c r="BV49" s="11"/>
      <c r="BW49" s="11"/>
      <c r="BX49" s="11"/>
      <c r="BY49" s="11"/>
      <c r="BZ49" s="11"/>
    </row>
    <row r="50" ht="16.5" customHeight="1">
      <c r="B50" s="107">
        <v>5.0</v>
      </c>
      <c r="D50" s="108"/>
      <c r="E50" s="109"/>
      <c r="F50" s="109"/>
      <c r="G50" s="110"/>
      <c r="H50" s="6"/>
      <c r="I50" s="111"/>
      <c r="J50" s="109"/>
      <c r="K50" s="109"/>
      <c r="L50" s="110"/>
      <c r="M50" s="6"/>
      <c r="N50" s="111"/>
      <c r="O50" s="109"/>
      <c r="P50" s="109"/>
      <c r="Q50" s="110"/>
      <c r="R50" s="6"/>
      <c r="S50" s="111"/>
      <c r="T50" s="109"/>
      <c r="U50" s="109"/>
      <c r="V50" s="110"/>
      <c r="W50" s="6"/>
      <c r="X50" s="111"/>
      <c r="Y50" s="109"/>
      <c r="Z50" s="109"/>
      <c r="AA50" s="110"/>
      <c r="AB50" s="6"/>
      <c r="AC50" s="111"/>
      <c r="AD50" s="109"/>
      <c r="AE50" s="109"/>
      <c r="AF50" s="110"/>
      <c r="AG50" s="6"/>
      <c r="AH50" s="111"/>
      <c r="AI50" s="109"/>
      <c r="AJ50" s="109"/>
      <c r="AK50" s="110"/>
      <c r="AL50" s="6"/>
      <c r="AM50" s="111" t="str">
        <f>IF(AND(ISNUMBER(EESA!$Q$10),EESA!$Q$10&gt;=25,EESA!Q26&gt;=20),1,IF(AND(ISNUMBER(EESA!$R$10),EESA!$R$10&gt;=25,EESA!R26&gt;=20),2,IF(AND(ISNUMBER(EESA!$S$10),EESA!$S$10&gt;=25,EESA!S26&gt;=20),3,IF(AND(ISNUMBER(EESA!$T$10),EESA!$T$10&gt;=25,EESA!T26&gt;=20),4,""))))</f>
        <v/>
      </c>
      <c r="AN50" s="109"/>
      <c r="AO50" s="109"/>
      <c r="AP50" s="110"/>
      <c r="AQ50" s="6"/>
      <c r="AR50" s="111"/>
      <c r="AS50" s="109"/>
      <c r="AT50" s="109"/>
      <c r="AU50" s="110"/>
      <c r="AW50" s="6"/>
      <c r="AX50" s="6"/>
      <c r="AY50" s="6"/>
      <c r="AZ50" s="6"/>
      <c r="BB50" s="6"/>
      <c r="BC50" s="6"/>
      <c r="BD50" s="6"/>
      <c r="BE50" s="6"/>
      <c r="BF50" s="6"/>
      <c r="BG50" s="6"/>
      <c r="BH50" s="6"/>
      <c r="BI50" s="6"/>
      <c r="BJ50" s="6"/>
      <c r="BK50" s="6"/>
      <c r="BL50" s="6"/>
      <c r="BM50" s="6"/>
      <c r="BN50" s="6"/>
      <c r="BO50" s="6"/>
      <c r="BT50" s="14"/>
      <c r="BU50" s="14"/>
      <c r="BV50" s="11"/>
      <c r="BW50" s="11"/>
      <c r="BX50" s="11"/>
      <c r="BY50" s="11"/>
      <c r="BZ50" s="11"/>
    </row>
    <row r="51" ht="16.5" customHeight="1">
      <c r="B51" s="112"/>
      <c r="D51" s="113"/>
      <c r="E51" s="114"/>
      <c r="F51" s="114"/>
      <c r="G51" s="115"/>
      <c r="H51" s="6"/>
      <c r="I51" s="116"/>
      <c r="J51" s="114"/>
      <c r="K51" s="114"/>
      <c r="L51" s="115"/>
      <c r="M51" s="6"/>
      <c r="N51" s="116"/>
      <c r="O51" s="114"/>
      <c r="P51" s="114"/>
      <c r="Q51" s="115"/>
      <c r="R51" s="6"/>
      <c r="S51" s="116"/>
      <c r="T51" s="114"/>
      <c r="U51" s="114"/>
      <c r="V51" s="115"/>
      <c r="W51" s="6"/>
      <c r="X51" s="116"/>
      <c r="Y51" s="114"/>
      <c r="Z51" s="114"/>
      <c r="AA51" s="115"/>
      <c r="AB51" s="6"/>
      <c r="AC51" s="116"/>
      <c r="AD51" s="114"/>
      <c r="AE51" s="114"/>
      <c r="AF51" s="115"/>
      <c r="AG51" s="6"/>
      <c r="AH51" s="116"/>
      <c r="AI51" s="114"/>
      <c r="AJ51" s="114"/>
      <c r="AK51" s="115"/>
      <c r="AL51" s="6"/>
      <c r="AM51" s="116" t="str">
        <f>IF(AND(ISNUMBER(EESA!$Q$10),EESA!$Q$10&gt;=20,EESA!Q26&gt;=15),1,IF(AND(ISNUMBER(EESA!$R$10),EESA!$R$10&gt;=20,EESA!R26&gt;=15),2,IF(AND(ISNUMBER(EESA!$S$10),EESA!$S$10&gt;=20,EESA!S26&gt;=15),3,IF(AND(ISNUMBER(EESA!$T$10),EESA!$T$10&gt;=20,EESA!T26&gt;=15),4,""))))</f>
        <v/>
      </c>
      <c r="AN51" s="114"/>
      <c r="AO51" s="114"/>
      <c r="AP51" s="115"/>
      <c r="AQ51" s="6"/>
      <c r="AR51" s="116"/>
      <c r="AS51" s="114"/>
      <c r="AT51" s="114"/>
      <c r="AU51" s="115"/>
      <c r="AW51" s="6"/>
      <c r="AX51" s="6"/>
      <c r="AY51" s="6"/>
      <c r="AZ51" s="6"/>
      <c r="BB51" s="6"/>
      <c r="BC51" s="6"/>
      <c r="BD51" s="6"/>
      <c r="BE51" s="6"/>
      <c r="BF51" s="6"/>
      <c r="BG51" s="6"/>
      <c r="BH51" s="6"/>
      <c r="BI51" s="6"/>
      <c r="BJ51" s="6"/>
      <c r="BK51" s="6"/>
      <c r="BL51" s="6"/>
      <c r="BM51" s="6"/>
      <c r="BN51" s="6"/>
      <c r="BO51" s="6"/>
      <c r="BT51" s="14"/>
      <c r="BU51" s="14"/>
      <c r="BV51" s="11"/>
      <c r="BW51" s="11"/>
      <c r="BX51" s="11"/>
      <c r="BY51" s="11"/>
      <c r="BZ51" s="11"/>
    </row>
    <row r="52" ht="16.5" customHeight="1">
      <c r="B52" s="107">
        <v>4.0</v>
      </c>
      <c r="D52" s="117"/>
      <c r="E52" s="118"/>
      <c r="F52" s="118"/>
      <c r="G52" s="119"/>
      <c r="H52" s="6"/>
      <c r="I52" s="120"/>
      <c r="J52" s="118"/>
      <c r="K52" s="118"/>
      <c r="L52" s="119"/>
      <c r="M52" s="6"/>
      <c r="N52" s="116"/>
      <c r="O52" s="114"/>
      <c r="P52" s="114"/>
      <c r="Q52" s="115"/>
      <c r="R52" s="6"/>
      <c r="S52" s="120"/>
      <c r="T52" s="118"/>
      <c r="U52" s="118"/>
      <c r="V52" s="119"/>
      <c r="W52" s="6"/>
      <c r="X52" s="121">
        <v>1.0</v>
      </c>
      <c r="Y52" s="118"/>
      <c r="Z52" s="118"/>
      <c r="AA52" s="119"/>
      <c r="AB52" s="6"/>
      <c r="AC52" s="120"/>
      <c r="AD52" s="118"/>
      <c r="AE52" s="118"/>
      <c r="AF52" s="119"/>
      <c r="AG52" s="6"/>
      <c r="AH52" s="120"/>
      <c r="AI52" s="118"/>
      <c r="AJ52" s="118"/>
      <c r="AK52" s="119"/>
      <c r="AL52" s="6"/>
      <c r="AM52" s="120" t="str">
        <f>IF(AND(ISNUMBER(EESA!$Q$10),EESA!$Q$10&gt;=15),1,IF(AND(ISNUMBER(EESA!$R$10),EESA!$R$10&gt;=15),2,IF(AND(ISNUMBER(EESA!$S$10),EESA!$S$10&gt;=15),3,IF(AND(ISNUMBER(EESA!$T$10),EESA!$T$10&gt;=15),4,""))))</f>
        <v/>
      </c>
      <c r="AN52" s="118"/>
      <c r="AO52" s="118"/>
      <c r="AP52" s="119"/>
      <c r="AQ52" s="6"/>
      <c r="AR52" s="120"/>
      <c r="AS52" s="118"/>
      <c r="AT52" s="118"/>
      <c r="AU52" s="119"/>
      <c r="AW52" s="6"/>
      <c r="AX52" s="6"/>
      <c r="AY52" s="6"/>
      <c r="AZ52" s="6"/>
      <c r="BB52" s="6"/>
      <c r="BC52" s="6"/>
      <c r="BD52" s="6"/>
      <c r="BE52" s="6"/>
      <c r="BF52" s="6"/>
      <c r="BG52" s="6"/>
      <c r="BH52" s="6"/>
      <c r="BI52" s="6"/>
      <c r="BJ52" s="6"/>
      <c r="BK52" s="6"/>
      <c r="BL52" s="6"/>
      <c r="BM52" s="6"/>
      <c r="BN52" s="6"/>
      <c r="BO52" s="6"/>
      <c r="BT52" s="14"/>
      <c r="BU52" s="14"/>
      <c r="BV52" s="11"/>
      <c r="BW52" s="11"/>
      <c r="BX52" s="11"/>
      <c r="BY52" s="11"/>
      <c r="BZ52" s="11"/>
    </row>
    <row r="53" ht="16.5" customHeight="1">
      <c r="B53" s="112"/>
      <c r="D53" s="113"/>
      <c r="E53" s="114"/>
      <c r="F53" s="114"/>
      <c r="G53" s="115"/>
      <c r="H53" s="6"/>
      <c r="I53" s="116"/>
      <c r="J53" s="114"/>
      <c r="K53" s="114"/>
      <c r="L53" s="115"/>
      <c r="M53" s="6"/>
      <c r="N53" s="116"/>
      <c r="O53" s="114"/>
      <c r="P53" s="114"/>
      <c r="Q53" s="115"/>
      <c r="R53" s="6"/>
      <c r="S53" s="122">
        <v>1.0</v>
      </c>
      <c r="T53" s="114"/>
      <c r="U53" s="114"/>
      <c r="V53" s="115"/>
      <c r="W53" s="6"/>
      <c r="X53" s="122">
        <v>1.0</v>
      </c>
      <c r="Y53" s="114"/>
      <c r="Z53" s="114"/>
      <c r="AA53" s="115"/>
      <c r="AB53" s="6"/>
      <c r="AC53" s="116"/>
      <c r="AD53" s="114"/>
      <c r="AE53" s="114"/>
      <c r="AF53" s="115"/>
      <c r="AG53" s="6"/>
      <c r="AH53" s="116"/>
      <c r="AI53" s="114"/>
      <c r="AJ53" s="114"/>
      <c r="AK53" s="115"/>
      <c r="AL53" s="6"/>
      <c r="AM53" s="116" t="str">
        <f>IF(AND(ISNUMBER(EESA!$Q$10),EESA!$Q$10&gt;=12),1,IF(AND(ISNUMBER(EESA!$R$10),EESA!$R$10&gt;=12),2,IF(AND(ISNUMBER(EESA!$S$10),EESA!$S$10&gt;=12),3,IF(AND(ISNUMBER(EESA!$T$10),EESA!$T$10&gt;=12),4,""))))</f>
        <v/>
      </c>
      <c r="AN53" s="114"/>
      <c r="AO53" s="114"/>
      <c r="AP53" s="115"/>
      <c r="AQ53" s="6"/>
      <c r="AR53" s="116"/>
      <c r="AS53" s="114"/>
      <c r="AT53" s="114"/>
      <c r="AU53" s="115"/>
      <c r="AW53" s="6"/>
      <c r="AX53" s="6"/>
      <c r="AY53" s="6"/>
      <c r="AZ53" s="6"/>
      <c r="BB53" s="6"/>
      <c r="BC53" s="6"/>
      <c r="BD53" s="6"/>
      <c r="BE53" s="6"/>
      <c r="BF53" s="6"/>
      <c r="BG53" s="6"/>
      <c r="BH53" s="6"/>
      <c r="BI53" s="6"/>
      <c r="BJ53" s="6"/>
      <c r="BK53" s="6"/>
      <c r="BL53" s="6"/>
      <c r="BM53" s="6"/>
      <c r="BN53" s="6"/>
      <c r="BO53" s="6"/>
      <c r="BT53" s="14"/>
      <c r="BU53" s="14"/>
      <c r="BV53" s="11"/>
      <c r="BW53" s="11"/>
      <c r="BX53" s="11"/>
      <c r="BY53" s="11"/>
      <c r="BZ53" s="11"/>
    </row>
    <row r="54" ht="16.5" customHeight="1">
      <c r="B54" s="107">
        <v>3.0</v>
      </c>
      <c r="D54" s="117"/>
      <c r="E54" s="118"/>
      <c r="F54" s="118"/>
      <c r="G54" s="119"/>
      <c r="H54" s="6"/>
      <c r="I54" s="120"/>
      <c r="J54" s="118"/>
      <c r="K54" s="118"/>
      <c r="L54" s="119"/>
      <c r="M54" s="6"/>
      <c r="N54" s="116"/>
      <c r="O54" s="114"/>
      <c r="P54" s="114"/>
      <c r="Q54" s="115"/>
      <c r="R54" s="6"/>
      <c r="S54" s="120"/>
      <c r="T54" s="118"/>
      <c r="U54" s="118"/>
      <c r="V54" s="119"/>
      <c r="W54" s="6"/>
      <c r="X54" s="120"/>
      <c r="Y54" s="118"/>
      <c r="Z54" s="118"/>
      <c r="AA54" s="119"/>
      <c r="AB54" s="6"/>
      <c r="AC54" s="120"/>
      <c r="AD54" s="118"/>
      <c r="AE54" s="118"/>
      <c r="AF54" s="119"/>
      <c r="AG54" s="6"/>
      <c r="AH54" s="120"/>
      <c r="AI54" s="118"/>
      <c r="AJ54" s="118"/>
      <c r="AK54" s="119"/>
      <c r="AL54" s="6"/>
      <c r="AM54" s="120" t="str">
        <f>IF(AND(ISNUMBER(EESA!$Q$10),EESA!$Q$10&gt;=10),1,IF(AND(ISNUMBER(EESA!$R$10),EESA!$R$10&gt;=10),2,IF(AND(ISNUMBER(EESA!$S$10),EESA!$S$10&gt;=10),3,IF(AND(ISNUMBER(EESA!$T$10),EESA!$T$10&gt;=10),4,""))))</f>
        <v/>
      </c>
      <c r="AN54" s="118"/>
      <c r="AO54" s="118"/>
      <c r="AP54" s="119"/>
      <c r="AQ54" s="6"/>
      <c r="AR54" s="120"/>
      <c r="AS54" s="118"/>
      <c r="AT54" s="118"/>
      <c r="AU54" s="119"/>
      <c r="AW54" s="6"/>
      <c r="AX54" s="6"/>
      <c r="AY54" s="6"/>
      <c r="AZ54" s="6"/>
      <c r="BB54" s="6"/>
      <c r="BC54" s="6"/>
      <c r="BD54" s="6"/>
      <c r="BE54" s="6"/>
      <c r="BF54" s="6"/>
      <c r="BG54" s="6"/>
      <c r="BH54" s="6"/>
      <c r="BI54" s="6"/>
      <c r="BJ54" s="6"/>
      <c r="BK54" s="6"/>
      <c r="BL54" s="6"/>
      <c r="BM54" s="6"/>
      <c r="BN54" s="6"/>
      <c r="BO54" s="6"/>
      <c r="BT54" s="14"/>
      <c r="BU54" s="14"/>
      <c r="BV54" s="11"/>
      <c r="BW54" s="11"/>
      <c r="BX54" s="11"/>
      <c r="BY54" s="11"/>
      <c r="BZ54" s="11"/>
    </row>
    <row r="55" ht="16.5" customHeight="1">
      <c r="B55" s="112"/>
      <c r="D55" s="117"/>
      <c r="E55" s="118"/>
      <c r="F55" s="118"/>
      <c r="G55" s="119"/>
      <c r="H55" s="6"/>
      <c r="I55" s="116"/>
      <c r="J55" s="114"/>
      <c r="K55" s="114"/>
      <c r="L55" s="115"/>
      <c r="M55" s="6"/>
      <c r="N55" s="116"/>
      <c r="O55" s="114"/>
      <c r="P55" s="114"/>
      <c r="Q55" s="115"/>
      <c r="R55" s="6"/>
      <c r="S55" s="116"/>
      <c r="T55" s="114"/>
      <c r="U55" s="114"/>
      <c r="V55" s="115"/>
      <c r="W55" s="6"/>
      <c r="X55" s="116"/>
      <c r="Y55" s="114"/>
      <c r="Z55" s="114"/>
      <c r="AA55" s="115"/>
      <c r="AB55" s="6"/>
      <c r="AC55" s="116"/>
      <c r="AD55" s="114"/>
      <c r="AE55" s="114"/>
      <c r="AF55" s="115"/>
      <c r="AG55" s="6"/>
      <c r="AH55" s="116"/>
      <c r="AI55" s="114"/>
      <c r="AJ55" s="114"/>
      <c r="AK55" s="115"/>
      <c r="AL55" s="6"/>
      <c r="AM55" s="116" t="str">
        <f>IF(AND(ISNUMBER(EESA!$Q$10),EESA!$Q$10&gt;=7),1,IF(AND(ISNUMBER(EESA!$R$10),EESA!$R$10&gt;=7),2,IF(AND(ISNUMBER(EESA!$S$10),EESA!$S$10&gt;=7),3,IF(AND(ISNUMBER(EESA!$T$10),EESA!$T$10&gt;=7),4,""))))</f>
        <v/>
      </c>
      <c r="AN55" s="114"/>
      <c r="AO55" s="114"/>
      <c r="AP55" s="115"/>
      <c r="AQ55" s="6"/>
      <c r="AR55" s="116"/>
      <c r="AS55" s="114"/>
      <c r="AT55" s="114"/>
      <c r="AU55" s="115"/>
      <c r="AW55" s="6"/>
      <c r="AX55" s="6"/>
      <c r="AY55" s="6"/>
      <c r="AZ55" s="6"/>
      <c r="BB55" s="6"/>
      <c r="BC55" s="6"/>
      <c r="BD55" s="6"/>
      <c r="BE55" s="6"/>
      <c r="BF55" s="6"/>
      <c r="BG55" s="6"/>
      <c r="BH55" s="6"/>
      <c r="BI55" s="6"/>
      <c r="BJ55" s="6"/>
      <c r="BK55" s="6"/>
      <c r="BL55" s="6"/>
      <c r="BM55" s="6"/>
      <c r="BN55" s="6"/>
      <c r="BO55" s="6"/>
      <c r="BT55" s="14"/>
      <c r="BU55" s="14"/>
      <c r="BV55" s="11"/>
      <c r="BW55" s="11"/>
      <c r="BX55" s="11"/>
      <c r="BY55" s="11"/>
      <c r="BZ55" s="11"/>
    </row>
    <row r="56" ht="16.5" customHeight="1">
      <c r="B56" s="107">
        <v>2.0</v>
      </c>
      <c r="D56" s="117"/>
      <c r="E56" s="118"/>
      <c r="F56" s="118"/>
      <c r="G56" s="119"/>
      <c r="H56" s="6"/>
      <c r="I56" s="120"/>
      <c r="J56" s="118"/>
      <c r="K56" s="118"/>
      <c r="L56" s="119"/>
      <c r="M56" s="6"/>
      <c r="N56" s="116"/>
      <c r="O56" s="114"/>
      <c r="P56" s="114"/>
      <c r="Q56" s="115"/>
      <c r="R56" s="6"/>
      <c r="S56" s="121">
        <v>1.0</v>
      </c>
      <c r="T56" s="118"/>
      <c r="U56" s="118"/>
      <c r="V56" s="119"/>
      <c r="W56" s="6"/>
      <c r="X56" s="120"/>
      <c r="Y56" s="118"/>
      <c r="Z56" s="118"/>
      <c r="AA56" s="119"/>
      <c r="AB56" s="6"/>
      <c r="AC56" s="121">
        <v>1.0</v>
      </c>
      <c r="AD56" s="118"/>
      <c r="AE56" s="118"/>
      <c r="AF56" s="119"/>
      <c r="AG56" s="6"/>
      <c r="AH56" s="120"/>
      <c r="AI56" s="118"/>
      <c r="AJ56" s="118"/>
      <c r="AK56" s="119"/>
      <c r="AL56" s="6"/>
      <c r="AM56" s="120" t="str">
        <f>IF(AND(ISNUMBER(EESA!$Q$10),EESA!$Q$10&gt;=5),1,IF(AND(ISNUMBER(EESA!$R$10),EESA!$R$10&gt;=5),2,IF(AND(ISNUMBER(EESA!$S$10),EESA!$S$10&gt;=5),3,IF(AND(ISNUMBER(EESA!$T$10),EESA!$T$10&gt;=5),4,""))))</f>
        <v/>
      </c>
      <c r="AN56" s="118"/>
      <c r="AO56" s="118"/>
      <c r="AP56" s="119"/>
      <c r="AQ56" s="6"/>
      <c r="AR56" s="120"/>
      <c r="AS56" s="118"/>
      <c r="AT56" s="118"/>
      <c r="AU56" s="119"/>
      <c r="AW56" s="6"/>
      <c r="AX56" s="6"/>
      <c r="AY56" s="6"/>
      <c r="AZ56" s="6"/>
      <c r="BB56" s="6"/>
      <c r="BC56" s="6"/>
      <c r="BD56" s="6"/>
      <c r="BE56" s="6"/>
      <c r="BF56" s="6"/>
      <c r="BG56" s="6"/>
      <c r="BH56" s="6"/>
      <c r="BI56" s="6"/>
      <c r="BJ56" s="6"/>
      <c r="BK56" s="6"/>
      <c r="BL56" s="6"/>
      <c r="BM56" s="6"/>
      <c r="BN56" s="6"/>
      <c r="BO56" s="6"/>
      <c r="BT56" s="14"/>
      <c r="BU56" s="14"/>
      <c r="BV56" s="11"/>
      <c r="BW56" s="11"/>
      <c r="BX56" s="11"/>
      <c r="BY56" s="11"/>
      <c r="BZ56" s="11"/>
    </row>
    <row r="57" ht="16.5" customHeight="1">
      <c r="B57" s="112"/>
      <c r="D57" s="117"/>
      <c r="E57" s="118"/>
      <c r="F57" s="118"/>
      <c r="G57" s="119"/>
      <c r="H57" s="6"/>
      <c r="I57" s="116"/>
      <c r="J57" s="114"/>
      <c r="K57" s="114"/>
      <c r="L57" s="115"/>
      <c r="M57" s="6"/>
      <c r="N57" s="116"/>
      <c r="O57" s="114"/>
      <c r="P57" s="114"/>
      <c r="Q57" s="115"/>
      <c r="R57" s="6"/>
      <c r="S57" s="122">
        <v>1.0</v>
      </c>
      <c r="T57" s="114"/>
      <c r="U57" s="114"/>
      <c r="V57" s="115"/>
      <c r="W57" s="6"/>
      <c r="X57" s="116"/>
      <c r="Y57" s="114"/>
      <c r="Z57" s="114"/>
      <c r="AA57" s="115"/>
      <c r="AB57" s="6"/>
      <c r="AC57" s="122">
        <v>1.0</v>
      </c>
      <c r="AD57" s="114"/>
      <c r="AE57" s="114"/>
      <c r="AF57" s="115"/>
      <c r="AG57" s="6"/>
      <c r="AH57" s="116"/>
      <c r="AI57" s="114"/>
      <c r="AJ57" s="114"/>
      <c r="AK57" s="115"/>
      <c r="AL57" s="6"/>
      <c r="AM57" s="116" t="str">
        <f>IF(AND(ISNUMBER(EESA!$Q$10),EESA!$Q$10&gt;=3),1,IF(AND(ISNUMBER(EESA!$R$10),EESA!$R$10&gt;=3),2,IF(AND(ISNUMBER(EESA!$S$10),EESA!$S$10&gt;=3),3,IF(AND(ISNUMBER(EESA!$T$10),EESA!$T$10&gt;=3),4,""))))</f>
        <v/>
      </c>
      <c r="AN57" s="114"/>
      <c r="AO57" s="114"/>
      <c r="AP57" s="115"/>
      <c r="AQ57" s="6"/>
      <c r="AR57" s="116"/>
      <c r="AS57" s="114"/>
      <c r="AT57" s="114"/>
      <c r="AU57" s="115"/>
      <c r="AW57" s="6"/>
      <c r="AX57" s="6"/>
      <c r="AY57" s="6"/>
      <c r="AZ57" s="6"/>
      <c r="BB57" s="6"/>
      <c r="BC57" s="6"/>
      <c r="BD57" s="6"/>
      <c r="BE57" s="6"/>
      <c r="BF57" s="6"/>
      <c r="BG57" s="6"/>
      <c r="BH57" s="6"/>
      <c r="BI57" s="6"/>
      <c r="BJ57" s="6"/>
      <c r="BK57" s="6"/>
      <c r="BL57" s="6"/>
      <c r="BM57" s="6"/>
      <c r="BN57" s="6"/>
      <c r="BO57" s="6"/>
      <c r="BT57" s="14"/>
      <c r="BU57" s="14"/>
      <c r="BV57" s="11"/>
      <c r="BW57" s="11"/>
      <c r="BX57" s="11"/>
      <c r="BY57" s="11"/>
      <c r="BZ57" s="11"/>
    </row>
    <row r="58" ht="16.5" customHeight="1">
      <c r="B58" s="107">
        <v>1.0</v>
      </c>
      <c r="D58" s="117"/>
      <c r="E58" s="118"/>
      <c r="F58" s="118"/>
      <c r="G58" s="119"/>
      <c r="H58" s="6"/>
      <c r="I58" s="120"/>
      <c r="J58" s="118"/>
      <c r="K58" s="118"/>
      <c r="L58" s="119"/>
      <c r="M58" s="6"/>
      <c r="N58" s="120"/>
      <c r="O58" s="118"/>
      <c r="P58" s="118"/>
      <c r="Q58" s="119"/>
      <c r="R58" s="6"/>
      <c r="S58" s="121">
        <v>1.0</v>
      </c>
      <c r="T58" s="118"/>
      <c r="U58" s="118"/>
      <c r="V58" s="119"/>
      <c r="W58" s="6"/>
      <c r="X58" s="120"/>
      <c r="Y58" s="118"/>
      <c r="Z58" s="118"/>
      <c r="AA58" s="119"/>
      <c r="AB58" s="6"/>
      <c r="AC58" s="121">
        <v>1.0</v>
      </c>
      <c r="AD58" s="118"/>
      <c r="AE58" s="118"/>
      <c r="AF58" s="119"/>
      <c r="AG58" s="6"/>
      <c r="AH58" s="120"/>
      <c r="AI58" s="118"/>
      <c r="AJ58" s="118"/>
      <c r="AK58" s="119"/>
      <c r="AL58" s="6"/>
      <c r="AM58" s="120" t="str">
        <f>IF(AND(ISNUMBER(EESA!Q10),EESA!Q10&gt;=2),1,IF(AND(ISNUMBER(EESA!R10),EESA!R10&gt;=2),2,IF(AND(ISNUMBER(EESA!S10),EESA!S10&gt;=2),3,IF(AND(ISNUMBER(EESA!T10),EESA!T10&gt;=2),4,""))))</f>
        <v/>
      </c>
      <c r="AN58" s="118"/>
      <c r="AO58" s="118"/>
      <c r="AP58" s="119"/>
      <c r="AQ58" s="6"/>
      <c r="AR58" s="120"/>
      <c r="AS58" s="118"/>
      <c r="AT58" s="118"/>
      <c r="AU58" s="119"/>
      <c r="AW58" s="6"/>
      <c r="AX58" s="6"/>
      <c r="AY58" s="6"/>
      <c r="AZ58" s="6"/>
      <c r="BB58" s="6"/>
      <c r="BC58" s="6"/>
      <c r="BD58" s="6"/>
      <c r="BE58" s="6"/>
      <c r="BF58" s="6"/>
      <c r="BG58" s="6"/>
      <c r="BH58" s="6"/>
      <c r="BI58" s="6"/>
      <c r="BJ58" s="6"/>
      <c r="BK58" s="6"/>
      <c r="BL58" s="6"/>
      <c r="BM58" s="6"/>
      <c r="BN58" s="6"/>
      <c r="BO58" s="6"/>
      <c r="BT58" s="14"/>
      <c r="BU58" s="14"/>
      <c r="BV58" s="11"/>
      <c r="BW58" s="11"/>
      <c r="BX58" s="11"/>
      <c r="BY58" s="11"/>
      <c r="BZ58" s="11"/>
    </row>
    <row r="59" ht="16.5" customHeight="1">
      <c r="B59" s="112"/>
      <c r="C59" s="124"/>
      <c r="D59" s="117"/>
      <c r="E59" s="118"/>
      <c r="F59" s="118"/>
      <c r="G59" s="119"/>
      <c r="H59" s="124"/>
      <c r="I59" s="125"/>
      <c r="L59" s="126"/>
      <c r="M59" s="124"/>
      <c r="N59" s="127">
        <v>1.0</v>
      </c>
      <c r="Q59" s="126"/>
      <c r="R59" s="124"/>
      <c r="S59" s="127">
        <v>1.0</v>
      </c>
      <c r="V59" s="126"/>
      <c r="W59" s="124"/>
      <c r="X59" s="127">
        <v>1.0</v>
      </c>
      <c r="AA59" s="126"/>
      <c r="AB59" s="124"/>
      <c r="AC59" s="127">
        <v>1.0</v>
      </c>
      <c r="AF59" s="126"/>
      <c r="AG59" s="124"/>
      <c r="AH59" s="125"/>
      <c r="AK59" s="126"/>
      <c r="AL59" s="124"/>
      <c r="AM59" s="125" t="str">
        <f>IF(AND(ISNUMBER(EESA!Q10),EESA!Q10&gt;=1),1,IF(AND(ISNUMBER(EESA!R10),EESA!R10&gt;=1),2,IF(AND(ISNUMBER(EESA!S10),EESA!S10&gt;=1),3,IF(AND(ISNUMBER(EESA!T10),EESA!T10&gt;=1),4,""))))</f>
        <v/>
      </c>
      <c r="AP59" s="126"/>
      <c r="AQ59" s="124"/>
      <c r="AR59" s="125"/>
      <c r="AU59" s="126"/>
      <c r="AV59" s="6"/>
      <c r="AW59" s="14">
        <f t="shared" ref="AW59:AZ59" si="4">SUM(D49,I49,N49,S49,X49,AC49,AH49,AM49,AR49)</f>
        <v>6.5</v>
      </c>
      <c r="AX59" s="14">
        <f t="shared" si="4"/>
        <v>0</v>
      </c>
      <c r="AY59" s="14">
        <f t="shared" si="4"/>
        <v>0</v>
      </c>
      <c r="AZ59" s="14">
        <f t="shared" si="4"/>
        <v>0</v>
      </c>
      <c r="BA59" s="6"/>
      <c r="BB59" s="6"/>
      <c r="BC59" s="6"/>
      <c r="BD59" s="6"/>
      <c r="BE59" s="6"/>
      <c r="BF59" s="6"/>
      <c r="BG59" s="6"/>
      <c r="BH59" s="6"/>
      <c r="BI59" s="6"/>
      <c r="BJ59" s="6"/>
      <c r="BK59" s="6"/>
      <c r="BL59" s="6"/>
      <c r="BM59" s="6"/>
      <c r="BN59" s="6"/>
      <c r="BO59" s="6"/>
      <c r="BT59" s="14"/>
      <c r="BU59" s="14"/>
      <c r="BV59" s="11"/>
      <c r="BW59" s="11"/>
      <c r="BX59" s="11"/>
      <c r="BY59" s="11"/>
      <c r="BZ59" s="11"/>
    </row>
    <row r="60" ht="15.75" customHeight="1">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BA60" s="6"/>
      <c r="BT60" s="14"/>
      <c r="BU60" s="14"/>
      <c r="BV60" s="11"/>
      <c r="BW60" s="11"/>
      <c r="BX60" s="11"/>
      <c r="BY60" s="11"/>
      <c r="BZ60" s="11"/>
    </row>
    <row r="61" ht="15.75" customHeight="1">
      <c r="D61" s="6"/>
      <c r="E61" s="6"/>
      <c r="F61" s="6"/>
      <c r="G61" s="6"/>
      <c r="I61" s="6"/>
      <c r="J61" s="6"/>
      <c r="K61" s="6"/>
      <c r="L61" s="6"/>
      <c r="N61" s="6"/>
      <c r="O61" s="6"/>
      <c r="P61" s="6">
        <v>1.0</v>
      </c>
      <c r="Q61" s="6"/>
      <c r="S61" s="6"/>
      <c r="T61" s="6"/>
      <c r="U61" s="6"/>
      <c r="V61" s="6"/>
      <c r="X61" s="6"/>
      <c r="Y61" s="6"/>
      <c r="Z61" s="6"/>
      <c r="AA61" s="6"/>
      <c r="AC61" s="6"/>
      <c r="AD61" s="6"/>
      <c r="AE61" s="6"/>
      <c r="AF61" s="6"/>
      <c r="AH61" s="6"/>
      <c r="AI61" s="6"/>
      <c r="AJ61" s="6"/>
      <c r="AK61" s="6"/>
      <c r="AM61" s="6"/>
      <c r="AN61" s="6"/>
      <c r="AO61" s="6"/>
      <c r="AP61" s="6"/>
      <c r="AR61" s="6"/>
      <c r="AS61" s="6"/>
      <c r="AT61" s="6"/>
      <c r="AU61" s="6"/>
      <c r="BT61" s="14"/>
      <c r="BU61" s="14"/>
      <c r="BV61" s="11"/>
      <c r="BW61" s="11"/>
      <c r="BX61" s="11"/>
      <c r="BY61" s="11"/>
      <c r="BZ61" s="11"/>
    </row>
    <row r="62" ht="15.75" customHeight="1">
      <c r="BT62" s="14"/>
      <c r="BU62" s="14"/>
      <c r="BV62" s="11"/>
      <c r="BW62" s="11"/>
      <c r="BX62" s="11"/>
      <c r="BY62" s="11"/>
      <c r="BZ62" s="11"/>
    </row>
    <row r="63" ht="15.75" customHeight="1">
      <c r="BT63" s="14"/>
      <c r="BU63" s="14"/>
      <c r="BV63" s="11"/>
      <c r="BW63" s="11"/>
      <c r="BX63" s="11"/>
      <c r="BY63" s="11"/>
      <c r="BZ63" s="11"/>
    </row>
    <row r="64" ht="15.75" customHeight="1">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row>
    <row r="65" ht="15.75" customHeight="1">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row>
    <row r="66" ht="15.75" customHeight="1">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row>
    <row r="67" ht="15.75" customHeight="1">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row>
    <row r="68" ht="15.75" customHeight="1">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row>
    <row r="69" ht="15.75" customHeight="1">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row>
    <row r="70" ht="15.75" customHeight="1">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row>
    <row r="71" ht="15.75" customHeight="1">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row>
    <row r="72" ht="15.75" customHeight="1">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row>
    <row r="73" ht="15.75" customHeight="1">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row>
    <row r="74" ht="15.75" customHeight="1">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128"/>
      <c r="BU75" s="128"/>
      <c r="BV75" s="3"/>
      <c r="BW75" s="3"/>
      <c r="BX75" s="3"/>
      <c r="BY75" s="3"/>
      <c r="B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128"/>
      <c r="BU76" s="128"/>
      <c r="BV76" s="3"/>
      <c r="BW76" s="3"/>
      <c r="BX76" s="3"/>
      <c r="BY76" s="3"/>
      <c r="B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128"/>
      <c r="BU77" s="128"/>
      <c r="BV77" s="3"/>
      <c r="BW77" s="3"/>
      <c r="BX77" s="3"/>
      <c r="BY77" s="3"/>
      <c r="B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128"/>
      <c r="BU78" s="128"/>
      <c r="BV78" s="3"/>
      <c r="BW78" s="3"/>
      <c r="BX78" s="3"/>
      <c r="BY78" s="3"/>
      <c r="B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128"/>
      <c r="BU79" s="128"/>
      <c r="BV79" s="3"/>
      <c r="BW79" s="3"/>
      <c r="BX79" s="3"/>
      <c r="BY79" s="3"/>
      <c r="B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128"/>
      <c r="BU80" s="128"/>
      <c r="BV80" s="3"/>
      <c r="BW80" s="3"/>
      <c r="BX80" s="3"/>
      <c r="BY80" s="3"/>
      <c r="B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128"/>
      <c r="BU81" s="128"/>
      <c r="BV81" s="3"/>
      <c r="BW81" s="3"/>
      <c r="BX81" s="3"/>
      <c r="BY81" s="3"/>
      <c r="B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128"/>
      <c r="BU82" s="128"/>
      <c r="BV82" s="3"/>
      <c r="BW82" s="3"/>
      <c r="BX82" s="3"/>
      <c r="BY82" s="3"/>
      <c r="B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128"/>
      <c r="BU83" s="128"/>
      <c r="BV83" s="3"/>
      <c r="BW83" s="3"/>
      <c r="BX83" s="3"/>
      <c r="BY83" s="3"/>
      <c r="B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128"/>
      <c r="BU84" s="128"/>
      <c r="BV84" s="3"/>
      <c r="BW84" s="3"/>
      <c r="BX84" s="3"/>
      <c r="BY84" s="3"/>
      <c r="B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128"/>
      <c r="BU85" s="128"/>
      <c r="BV85" s="3"/>
      <c r="BW85" s="3"/>
      <c r="BX85" s="3"/>
      <c r="BY85" s="3"/>
      <c r="B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128"/>
      <c r="BU86" s="128"/>
      <c r="BV86" s="3"/>
      <c r="BW86" s="3"/>
      <c r="BX86" s="3"/>
      <c r="BY86" s="3"/>
      <c r="B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128"/>
      <c r="BU87" s="128"/>
      <c r="BV87" s="3"/>
      <c r="BW87" s="3"/>
      <c r="BX87" s="3"/>
      <c r="BY87" s="3"/>
      <c r="B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128"/>
      <c r="BU88" s="128"/>
      <c r="BV88" s="3"/>
      <c r="BW88" s="3"/>
      <c r="BX88" s="3"/>
      <c r="BY88" s="3"/>
      <c r="B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128"/>
      <c r="BU89" s="128"/>
      <c r="BV89" s="3"/>
      <c r="BW89" s="3"/>
      <c r="BX89" s="3"/>
      <c r="BY89" s="3"/>
      <c r="B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128"/>
      <c r="BU90" s="128"/>
      <c r="BV90" s="3"/>
      <c r="BW90" s="3"/>
      <c r="BX90" s="3"/>
      <c r="BY90" s="3"/>
      <c r="B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128"/>
      <c r="BU91" s="128"/>
      <c r="BV91" s="3"/>
      <c r="BW91" s="3"/>
      <c r="BX91" s="3"/>
      <c r="BY91" s="3"/>
      <c r="B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128"/>
      <c r="BU92" s="128"/>
      <c r="BV92" s="3"/>
      <c r="BW92" s="3"/>
      <c r="BX92" s="3"/>
      <c r="BY92" s="3"/>
      <c r="B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128"/>
      <c r="BU93" s="128"/>
      <c r="BV93" s="3"/>
      <c r="BW93" s="3"/>
      <c r="BX93" s="3"/>
      <c r="BY93" s="3"/>
      <c r="B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128"/>
      <c r="BU94" s="128"/>
      <c r="BV94" s="3"/>
      <c r="BW94" s="3"/>
      <c r="BX94" s="3"/>
      <c r="BY94" s="3"/>
      <c r="B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128"/>
      <c r="BU95" s="128"/>
      <c r="BV95" s="3"/>
      <c r="BW95" s="3"/>
      <c r="BX95" s="3"/>
      <c r="BY95" s="3"/>
      <c r="B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128"/>
      <c r="BU96" s="128"/>
      <c r="BV96" s="3"/>
      <c r="BW96" s="3"/>
      <c r="BX96" s="3"/>
      <c r="BY96" s="3"/>
      <c r="B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128"/>
      <c r="BU97" s="128"/>
      <c r="BV97" s="3"/>
      <c r="BW97" s="3"/>
      <c r="BX97" s="3"/>
      <c r="BY97" s="3"/>
      <c r="B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128"/>
      <c r="BU98" s="128"/>
      <c r="BV98" s="3"/>
      <c r="BW98" s="3"/>
      <c r="BX98" s="3"/>
      <c r="BY98" s="3"/>
      <c r="B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128"/>
      <c r="BU99" s="128"/>
      <c r="BV99" s="3"/>
      <c r="BW99" s="3"/>
      <c r="BX99" s="3"/>
      <c r="BY99" s="3"/>
      <c r="B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128"/>
      <c r="BU100" s="128"/>
      <c r="BV100" s="3"/>
      <c r="BW100" s="3"/>
      <c r="BX100" s="3"/>
      <c r="BY100" s="3"/>
      <c r="BZ100" s="3"/>
    </row>
    <row r="101" ht="15.75" customHeight="1">
      <c r="BT101" s="14"/>
      <c r="BU101" s="14"/>
      <c r="BV101" s="11"/>
      <c r="BW101" s="11"/>
      <c r="BX101" s="11"/>
      <c r="BY101" s="11"/>
      <c r="BZ101" s="11"/>
    </row>
    <row r="102" ht="15.75" customHeight="1">
      <c r="BT102" s="14"/>
      <c r="BU102" s="14"/>
      <c r="BV102" s="11"/>
      <c r="BW102" s="11"/>
      <c r="BX102" s="11"/>
      <c r="BY102" s="11"/>
      <c r="BZ102" s="11"/>
    </row>
    <row r="103" ht="15.75" customHeight="1">
      <c r="BT103" s="14"/>
      <c r="BU103" s="14"/>
      <c r="BV103" s="11"/>
      <c r="BW103" s="11"/>
      <c r="BX103" s="11"/>
      <c r="BY103" s="11"/>
      <c r="BZ103" s="11"/>
    </row>
    <row r="104" ht="15.75" customHeight="1">
      <c r="BT104" s="14"/>
      <c r="BU104" s="14"/>
      <c r="BV104" s="11"/>
      <c r="BW104" s="11"/>
      <c r="BX104" s="11"/>
      <c r="BY104" s="11"/>
      <c r="BZ104" s="11"/>
    </row>
    <row r="105" ht="15.75" customHeight="1">
      <c r="BT105" s="14"/>
      <c r="BU105" s="14"/>
      <c r="BV105" s="11"/>
      <c r="BW105" s="11"/>
      <c r="BX105" s="11"/>
      <c r="BY105" s="11"/>
      <c r="BZ105" s="11"/>
    </row>
    <row r="106" ht="15.75" customHeight="1">
      <c r="BT106" s="14"/>
      <c r="BU106" s="14"/>
      <c r="BV106" s="11"/>
      <c r="BW106" s="11"/>
      <c r="BX106" s="11"/>
      <c r="BY106" s="11"/>
      <c r="BZ106" s="11"/>
    </row>
    <row r="107" ht="15.75" customHeight="1">
      <c r="BT107" s="14"/>
      <c r="BU107" s="14"/>
      <c r="BV107" s="11"/>
      <c r="BW107" s="11"/>
      <c r="BX107" s="11"/>
      <c r="BY107" s="11"/>
      <c r="BZ107" s="11"/>
    </row>
    <row r="108" ht="15.75" customHeight="1">
      <c r="BT108" s="14"/>
      <c r="BU108" s="14"/>
      <c r="BV108" s="11"/>
      <c r="BW108" s="11"/>
      <c r="BX108" s="11"/>
      <c r="BY108" s="11"/>
      <c r="BZ108" s="11"/>
    </row>
    <row r="109" ht="15.75" customHeight="1">
      <c r="BT109" s="14"/>
      <c r="BU109" s="14"/>
      <c r="BV109" s="11"/>
      <c r="BW109" s="11"/>
      <c r="BX109" s="11"/>
      <c r="BY109" s="11"/>
      <c r="BZ109" s="11"/>
    </row>
    <row r="110" ht="15.75" customHeight="1">
      <c r="BT110" s="14"/>
      <c r="BU110" s="14"/>
      <c r="BV110" s="11"/>
      <c r="BW110" s="11"/>
      <c r="BX110" s="11"/>
      <c r="BY110" s="11"/>
      <c r="BZ110" s="11"/>
    </row>
    <row r="111" ht="15.75" customHeight="1">
      <c r="BT111" s="14"/>
      <c r="BU111" s="14"/>
      <c r="BV111" s="11"/>
      <c r="BW111" s="11"/>
      <c r="BX111" s="11"/>
      <c r="BY111" s="11"/>
      <c r="BZ111" s="11"/>
    </row>
    <row r="112" ht="15.75" customHeight="1">
      <c r="BT112" s="14"/>
      <c r="BU112" s="14"/>
      <c r="BV112" s="11"/>
      <c r="BW112" s="11"/>
      <c r="BX112" s="11"/>
      <c r="BY112" s="11"/>
      <c r="BZ112" s="11"/>
    </row>
    <row r="113" ht="15.75" customHeight="1">
      <c r="BT113" s="14"/>
      <c r="BU113" s="14"/>
      <c r="BV113" s="11"/>
      <c r="BW113" s="11"/>
      <c r="BX113" s="11"/>
      <c r="BY113" s="11"/>
      <c r="BZ113" s="11"/>
    </row>
    <row r="114" ht="15.75" customHeight="1">
      <c r="BT114" s="14"/>
      <c r="BU114" s="14"/>
      <c r="BV114" s="11"/>
      <c r="BW114" s="11"/>
      <c r="BX114" s="11"/>
      <c r="BY114" s="11"/>
      <c r="BZ114" s="11"/>
    </row>
    <row r="115" ht="15.75" customHeight="1">
      <c r="BT115" s="14"/>
      <c r="BU115" s="14"/>
      <c r="BV115" s="11"/>
      <c r="BW115" s="11"/>
      <c r="BX115" s="11"/>
      <c r="BY115" s="11"/>
      <c r="BZ115" s="11"/>
    </row>
    <row r="116" ht="15.75" customHeight="1">
      <c r="BT116" s="14"/>
      <c r="BU116" s="14"/>
      <c r="BV116" s="11"/>
      <c r="BW116" s="11"/>
      <c r="BX116" s="11"/>
      <c r="BY116" s="11"/>
      <c r="BZ116" s="11"/>
    </row>
    <row r="117" ht="15.75" customHeight="1">
      <c r="BT117" s="14"/>
      <c r="BU117" s="14"/>
      <c r="BV117" s="11"/>
      <c r="BW117" s="11"/>
      <c r="BX117" s="11"/>
      <c r="BY117" s="11"/>
      <c r="BZ117" s="11"/>
    </row>
    <row r="118" ht="15.75" customHeight="1">
      <c r="BT118" s="14"/>
      <c r="BU118" s="14"/>
      <c r="BV118" s="11"/>
      <c r="BW118" s="11"/>
      <c r="BX118" s="11"/>
      <c r="BY118" s="11"/>
      <c r="BZ118" s="11"/>
    </row>
    <row r="119" ht="15.75" customHeight="1">
      <c r="BT119" s="14"/>
      <c r="BU119" s="14"/>
      <c r="BV119" s="11"/>
      <c r="BW119" s="11"/>
      <c r="BX119" s="11"/>
      <c r="BY119" s="11"/>
      <c r="BZ119" s="11"/>
    </row>
    <row r="120" ht="15.75" customHeight="1">
      <c r="BT120" s="14"/>
      <c r="BU120" s="14"/>
      <c r="BV120" s="11"/>
      <c r="BW120" s="11"/>
      <c r="BX120" s="11"/>
      <c r="BY120" s="11"/>
      <c r="BZ120" s="11"/>
    </row>
    <row r="121" ht="15.75" customHeight="1">
      <c r="BT121" s="14"/>
      <c r="BU121" s="14"/>
      <c r="BV121" s="11"/>
      <c r="BW121" s="11"/>
      <c r="BX121" s="11"/>
      <c r="BY121" s="11"/>
      <c r="BZ121" s="11"/>
    </row>
    <row r="122" ht="15.75" customHeight="1">
      <c r="BT122" s="14"/>
      <c r="BU122" s="14"/>
      <c r="BV122" s="11"/>
      <c r="BW122" s="11"/>
      <c r="BX122" s="11"/>
      <c r="BY122" s="11"/>
      <c r="BZ122" s="11"/>
    </row>
    <row r="123" ht="15.75" customHeight="1">
      <c r="BT123" s="14"/>
      <c r="BU123" s="14"/>
      <c r="BV123" s="11"/>
      <c r="BW123" s="11"/>
      <c r="BX123" s="11"/>
      <c r="BY123" s="11"/>
      <c r="BZ123" s="11"/>
    </row>
    <row r="124" ht="15.75" customHeight="1">
      <c r="BT124" s="14"/>
      <c r="BU124" s="14"/>
      <c r="BV124" s="11"/>
      <c r="BW124" s="11"/>
      <c r="BX124" s="11"/>
      <c r="BY124" s="11"/>
      <c r="BZ124" s="11"/>
    </row>
    <row r="125" ht="15.75" customHeight="1">
      <c r="BT125" s="14"/>
      <c r="BU125" s="14"/>
      <c r="BV125" s="11"/>
      <c r="BW125" s="11"/>
      <c r="BX125" s="11"/>
      <c r="BY125" s="11"/>
      <c r="BZ125" s="11"/>
    </row>
    <row r="126" ht="15.75" customHeight="1">
      <c r="BT126" s="14"/>
      <c r="BU126" s="14"/>
      <c r="BV126" s="11"/>
      <c r="BW126" s="11"/>
      <c r="BX126" s="11"/>
      <c r="BY126" s="11"/>
      <c r="BZ126" s="11"/>
    </row>
    <row r="127" ht="15.75" customHeight="1">
      <c r="BT127" s="14"/>
      <c r="BU127" s="14"/>
      <c r="BV127" s="11"/>
      <c r="BW127" s="11"/>
      <c r="BX127" s="11"/>
      <c r="BY127" s="11"/>
      <c r="BZ127" s="11"/>
    </row>
    <row r="128" ht="15.75" customHeight="1">
      <c r="BT128" s="14"/>
      <c r="BU128" s="14"/>
      <c r="BV128" s="11"/>
      <c r="BW128" s="11"/>
      <c r="BX128" s="11"/>
      <c r="BY128" s="11"/>
      <c r="BZ128" s="11"/>
    </row>
    <row r="129" ht="15.75" customHeight="1">
      <c r="BT129" s="14"/>
      <c r="BU129" s="14"/>
      <c r="BV129" s="11"/>
      <c r="BW129" s="11"/>
      <c r="BX129" s="11"/>
      <c r="BY129" s="11"/>
      <c r="BZ129" s="11"/>
    </row>
    <row r="130" ht="15.75" customHeight="1">
      <c r="BT130" s="14"/>
      <c r="BU130" s="14"/>
      <c r="BV130" s="11"/>
      <c r="BW130" s="11"/>
      <c r="BX130" s="11"/>
      <c r="BY130" s="11"/>
      <c r="BZ130" s="11"/>
    </row>
    <row r="131" ht="15.75" customHeight="1">
      <c r="BT131" s="14"/>
      <c r="BU131" s="14"/>
      <c r="BV131" s="11"/>
      <c r="BW131" s="11"/>
      <c r="BX131" s="11"/>
      <c r="BY131" s="11"/>
      <c r="BZ131" s="11"/>
    </row>
    <row r="132" ht="15.75" customHeight="1">
      <c r="BT132" s="14"/>
      <c r="BU132" s="14"/>
      <c r="BV132" s="11"/>
      <c r="BW132" s="11"/>
      <c r="BX132" s="11"/>
      <c r="BY132" s="11"/>
      <c r="BZ132" s="11"/>
    </row>
    <row r="133" ht="15.75" customHeight="1">
      <c r="BT133" s="14"/>
      <c r="BU133" s="14"/>
      <c r="BV133" s="11"/>
      <c r="BW133" s="11"/>
      <c r="BX133" s="11"/>
      <c r="BY133" s="11"/>
      <c r="BZ133" s="11"/>
    </row>
    <row r="134" ht="15.75" customHeight="1">
      <c r="BT134" s="14"/>
      <c r="BU134" s="14"/>
      <c r="BV134" s="11"/>
      <c r="BW134" s="11"/>
      <c r="BX134" s="11"/>
      <c r="BY134" s="11"/>
      <c r="BZ134" s="11"/>
    </row>
    <row r="135" ht="15.75" customHeight="1">
      <c r="BT135" s="14"/>
      <c r="BU135" s="14"/>
      <c r="BV135" s="11"/>
      <c r="BW135" s="11"/>
      <c r="BX135" s="11"/>
      <c r="BY135" s="11"/>
      <c r="BZ135" s="11"/>
    </row>
    <row r="136" ht="15.75" customHeight="1">
      <c r="BT136" s="14"/>
      <c r="BU136" s="14"/>
      <c r="BV136" s="11"/>
      <c r="BW136" s="11"/>
      <c r="BX136" s="11"/>
      <c r="BY136" s="11"/>
      <c r="BZ136" s="11"/>
    </row>
    <row r="137" ht="15.75" customHeight="1">
      <c r="BT137" s="14"/>
      <c r="BU137" s="14"/>
      <c r="BV137" s="11"/>
      <c r="BW137" s="11"/>
      <c r="BX137" s="11"/>
      <c r="BY137" s="11"/>
      <c r="BZ137" s="11"/>
    </row>
    <row r="138" ht="15.75" customHeight="1">
      <c r="BT138" s="14"/>
      <c r="BU138" s="14"/>
      <c r="BV138" s="11"/>
      <c r="BW138" s="11"/>
      <c r="BX138" s="11"/>
      <c r="BY138" s="11"/>
      <c r="BZ138" s="11"/>
    </row>
    <row r="139" ht="15.75" customHeight="1">
      <c r="BT139" s="14"/>
      <c r="BU139" s="14"/>
      <c r="BV139" s="11"/>
      <c r="BW139" s="11"/>
      <c r="BX139" s="11"/>
      <c r="BY139" s="11"/>
      <c r="BZ139" s="11"/>
    </row>
    <row r="140" ht="15.75" customHeight="1">
      <c r="BT140" s="14"/>
      <c r="BU140" s="14"/>
      <c r="BV140" s="11"/>
      <c r="BW140" s="11"/>
      <c r="BX140" s="11"/>
      <c r="BY140" s="11"/>
      <c r="BZ140" s="11"/>
    </row>
    <row r="141" ht="15.75" customHeight="1">
      <c r="BT141" s="14"/>
      <c r="BU141" s="14"/>
      <c r="BV141" s="11"/>
      <c r="BW141" s="11"/>
      <c r="BX141" s="11"/>
      <c r="BY141" s="11"/>
      <c r="BZ141" s="11"/>
    </row>
    <row r="142" ht="15.75" customHeight="1">
      <c r="BT142" s="14"/>
      <c r="BU142" s="14"/>
      <c r="BV142" s="11"/>
      <c r="BW142" s="11"/>
      <c r="BX142" s="11"/>
      <c r="BY142" s="11"/>
      <c r="BZ142" s="11"/>
    </row>
    <row r="143" ht="15.75" customHeight="1">
      <c r="BT143" s="14"/>
      <c r="BU143" s="14"/>
      <c r="BV143" s="11"/>
      <c r="BW143" s="11"/>
      <c r="BX143" s="11"/>
      <c r="BY143" s="11"/>
      <c r="BZ143" s="11"/>
    </row>
    <row r="144" ht="15.75" customHeight="1">
      <c r="BT144" s="14"/>
      <c r="BU144" s="14"/>
      <c r="BV144" s="11"/>
      <c r="BW144" s="11"/>
      <c r="BX144" s="11"/>
      <c r="BY144" s="11"/>
      <c r="BZ144" s="11"/>
    </row>
    <row r="145" ht="15.75" customHeight="1">
      <c r="BT145" s="14"/>
      <c r="BU145" s="14"/>
      <c r="BV145" s="11"/>
      <c r="BW145" s="11"/>
      <c r="BX145" s="11"/>
      <c r="BY145" s="11"/>
      <c r="BZ145" s="11"/>
    </row>
    <row r="146" ht="15.75" customHeight="1">
      <c r="BT146" s="14"/>
      <c r="BU146" s="14"/>
      <c r="BV146" s="11"/>
      <c r="BW146" s="11"/>
      <c r="BX146" s="11"/>
      <c r="BY146" s="11"/>
      <c r="BZ146" s="11"/>
    </row>
    <row r="147" ht="15.75" customHeight="1">
      <c r="BT147" s="14"/>
      <c r="BU147" s="14"/>
      <c r="BV147" s="11"/>
      <c r="BW147" s="11"/>
      <c r="BX147" s="11"/>
      <c r="BY147" s="11"/>
      <c r="BZ147" s="11"/>
    </row>
    <row r="148" ht="15.75" customHeight="1">
      <c r="BT148" s="14"/>
      <c r="BU148" s="14"/>
      <c r="BV148" s="11"/>
      <c r="BW148" s="11"/>
      <c r="BX148" s="11"/>
      <c r="BY148" s="11"/>
      <c r="BZ148" s="11"/>
    </row>
    <row r="149" ht="15.75" customHeight="1">
      <c r="BT149" s="14"/>
      <c r="BU149" s="14"/>
      <c r="BV149" s="11"/>
      <c r="BW149" s="11"/>
      <c r="BX149" s="11"/>
      <c r="BY149" s="11"/>
      <c r="BZ149" s="11"/>
    </row>
    <row r="150" ht="15.75" customHeight="1">
      <c r="BT150" s="14"/>
      <c r="BU150" s="14"/>
      <c r="BV150" s="11"/>
      <c r="BW150" s="11"/>
      <c r="BX150" s="11"/>
      <c r="BY150" s="11"/>
      <c r="BZ150" s="11"/>
    </row>
    <row r="151" ht="15.75" customHeight="1">
      <c r="BT151" s="14"/>
      <c r="BU151" s="14"/>
      <c r="BV151" s="11"/>
      <c r="BW151" s="11"/>
      <c r="BX151" s="11"/>
      <c r="BY151" s="11"/>
      <c r="BZ151" s="11"/>
    </row>
    <row r="152" ht="15.75" customHeight="1">
      <c r="BT152" s="14"/>
      <c r="BU152" s="14"/>
      <c r="BV152" s="11"/>
      <c r="BW152" s="11"/>
      <c r="BX152" s="11"/>
      <c r="BY152" s="11"/>
      <c r="BZ152" s="11"/>
    </row>
    <row r="153" ht="15.75" customHeight="1">
      <c r="BT153" s="14"/>
      <c r="BU153" s="14"/>
      <c r="BV153" s="11"/>
      <c r="BW153" s="11"/>
      <c r="BX153" s="11"/>
      <c r="BY153" s="11"/>
      <c r="BZ153" s="11"/>
    </row>
    <row r="154" ht="15.75" customHeight="1">
      <c r="BT154" s="14"/>
      <c r="BU154" s="14"/>
      <c r="BV154" s="11"/>
      <c r="BW154" s="11"/>
      <c r="BX154" s="11"/>
      <c r="BY154" s="11"/>
      <c r="BZ154" s="11"/>
    </row>
    <row r="155" ht="15.75" customHeight="1">
      <c r="BT155" s="14"/>
      <c r="BU155" s="14"/>
      <c r="BV155" s="11"/>
      <c r="BW155" s="11"/>
      <c r="BX155" s="11"/>
      <c r="BY155" s="11"/>
      <c r="BZ155" s="11"/>
    </row>
    <row r="156" ht="15.75" customHeight="1">
      <c r="BT156" s="14"/>
      <c r="BU156" s="14"/>
      <c r="BV156" s="11"/>
      <c r="BW156" s="11"/>
      <c r="BX156" s="11"/>
      <c r="BY156" s="11"/>
      <c r="BZ156" s="11"/>
    </row>
    <row r="157" ht="15.75" customHeight="1">
      <c r="BT157" s="14"/>
      <c r="BU157" s="14"/>
      <c r="BV157" s="11"/>
      <c r="BW157" s="11"/>
      <c r="BX157" s="11"/>
      <c r="BY157" s="11"/>
      <c r="BZ157" s="11"/>
    </row>
    <row r="158" ht="15.75" customHeight="1">
      <c r="BT158" s="14"/>
      <c r="BU158" s="14"/>
      <c r="BV158" s="11"/>
      <c r="BW158" s="11"/>
      <c r="BX158" s="11"/>
      <c r="BY158" s="11"/>
      <c r="BZ158" s="11"/>
    </row>
    <row r="159" ht="15.75" customHeight="1">
      <c r="BT159" s="14"/>
      <c r="BU159" s="14"/>
      <c r="BV159" s="11"/>
      <c r="BW159" s="11"/>
      <c r="BX159" s="11"/>
      <c r="BY159" s="11"/>
      <c r="BZ159" s="11"/>
    </row>
    <row r="160" ht="15.75" customHeight="1">
      <c r="BT160" s="14"/>
      <c r="BU160" s="14"/>
      <c r="BV160" s="11"/>
      <c r="BW160" s="11"/>
      <c r="BX160" s="11"/>
      <c r="BY160" s="11"/>
      <c r="BZ160" s="11"/>
    </row>
    <row r="161" ht="15.75" customHeight="1">
      <c r="BT161" s="14"/>
      <c r="BU161" s="14"/>
      <c r="BV161" s="11"/>
      <c r="BW161" s="11"/>
      <c r="BX161" s="11"/>
      <c r="BY161" s="11"/>
      <c r="BZ161" s="11"/>
    </row>
    <row r="162" ht="15.75" customHeight="1">
      <c r="BT162" s="14"/>
      <c r="BU162" s="14"/>
      <c r="BV162" s="11"/>
      <c r="BW162" s="11"/>
      <c r="BX162" s="11"/>
      <c r="BY162" s="11"/>
      <c r="BZ162" s="11"/>
    </row>
    <row r="163" ht="15.75" customHeight="1">
      <c r="BT163" s="14"/>
      <c r="BU163" s="14"/>
      <c r="BV163" s="11"/>
      <c r="BW163" s="11"/>
      <c r="BX163" s="11"/>
      <c r="BY163" s="11"/>
      <c r="BZ163" s="11"/>
    </row>
    <row r="164" ht="15.75" customHeight="1">
      <c r="BT164" s="14"/>
      <c r="BU164" s="14"/>
      <c r="BV164" s="11"/>
      <c r="BW164" s="11"/>
      <c r="BX164" s="11"/>
      <c r="BY164" s="11"/>
      <c r="BZ164" s="11"/>
    </row>
    <row r="165" ht="15.75" customHeight="1">
      <c r="BT165" s="14"/>
      <c r="BU165" s="14"/>
      <c r="BV165" s="11"/>
      <c r="BW165" s="11"/>
      <c r="BX165" s="11"/>
      <c r="BY165" s="11"/>
      <c r="BZ165" s="11"/>
    </row>
    <row r="166" ht="15.75" customHeight="1">
      <c r="BT166" s="14"/>
      <c r="BU166" s="14"/>
      <c r="BV166" s="11"/>
      <c r="BW166" s="11"/>
      <c r="BX166" s="11"/>
      <c r="BY166" s="11"/>
      <c r="BZ166" s="11"/>
    </row>
    <row r="167" ht="15.75" customHeight="1">
      <c r="BT167" s="14"/>
      <c r="BU167" s="14"/>
      <c r="BV167" s="11"/>
      <c r="BW167" s="11"/>
      <c r="BX167" s="11"/>
      <c r="BY167" s="11"/>
      <c r="BZ167" s="11"/>
    </row>
    <row r="168" ht="15.75" customHeight="1">
      <c r="BT168" s="14"/>
      <c r="BU168" s="14"/>
      <c r="BV168" s="11"/>
      <c r="BW168" s="11"/>
      <c r="BX168" s="11"/>
      <c r="BY168" s="11"/>
      <c r="BZ168" s="11"/>
    </row>
    <row r="169" ht="15.75" customHeight="1">
      <c r="BT169" s="14"/>
      <c r="BU169" s="14"/>
      <c r="BV169" s="11"/>
      <c r="BW169" s="11"/>
      <c r="BX169" s="11"/>
      <c r="BY169" s="11"/>
      <c r="BZ169" s="11"/>
    </row>
    <row r="170" ht="15.75" customHeight="1">
      <c r="BT170" s="14"/>
      <c r="BU170" s="14"/>
      <c r="BV170" s="11"/>
      <c r="BW170" s="11"/>
      <c r="BX170" s="11"/>
      <c r="BY170" s="11"/>
      <c r="BZ170" s="11"/>
    </row>
    <row r="171" ht="15.75" customHeight="1">
      <c r="BT171" s="14"/>
      <c r="BU171" s="14"/>
      <c r="BV171" s="11"/>
      <c r="BW171" s="11"/>
      <c r="BX171" s="11"/>
      <c r="BY171" s="11"/>
      <c r="BZ171" s="11"/>
    </row>
    <row r="172" ht="15.75" customHeight="1">
      <c r="BT172" s="14"/>
      <c r="BU172" s="14"/>
      <c r="BV172" s="11"/>
      <c r="BW172" s="11"/>
      <c r="BX172" s="11"/>
      <c r="BY172" s="11"/>
      <c r="BZ172" s="11"/>
    </row>
    <row r="173" ht="15.75" customHeight="1">
      <c r="BT173" s="14"/>
      <c r="BU173" s="14"/>
      <c r="BV173" s="11"/>
      <c r="BW173" s="11"/>
      <c r="BX173" s="11"/>
      <c r="BY173" s="11"/>
      <c r="BZ173" s="11"/>
    </row>
    <row r="174" ht="15.75" customHeight="1">
      <c r="BT174" s="14"/>
      <c r="BU174" s="14"/>
      <c r="BV174" s="11"/>
      <c r="BW174" s="11"/>
      <c r="BX174" s="11"/>
      <c r="BY174" s="11"/>
      <c r="BZ174" s="11"/>
    </row>
    <row r="175" ht="15.75" customHeight="1">
      <c r="BT175" s="14"/>
      <c r="BU175" s="14"/>
      <c r="BV175" s="11"/>
      <c r="BW175" s="11"/>
      <c r="BX175" s="11"/>
      <c r="BY175" s="11"/>
      <c r="BZ175" s="11"/>
    </row>
    <row r="176" ht="15.75" customHeight="1">
      <c r="BT176" s="14"/>
      <c r="BU176" s="14"/>
      <c r="BV176" s="11"/>
      <c r="BW176" s="11"/>
      <c r="BX176" s="11"/>
      <c r="BY176" s="11"/>
      <c r="BZ176" s="11"/>
    </row>
    <row r="177" ht="15.75" customHeight="1">
      <c r="BT177" s="14"/>
      <c r="BU177" s="14"/>
      <c r="BV177" s="11"/>
      <c r="BW177" s="11"/>
      <c r="BX177" s="11"/>
      <c r="BY177" s="11"/>
      <c r="BZ177" s="11"/>
    </row>
    <row r="178" ht="15.75" customHeight="1">
      <c r="BT178" s="14"/>
      <c r="BU178" s="14"/>
      <c r="BV178" s="11"/>
      <c r="BW178" s="11"/>
      <c r="BX178" s="11"/>
      <c r="BY178" s="11"/>
      <c r="BZ178" s="11"/>
    </row>
    <row r="179" ht="15.75" customHeight="1">
      <c r="BT179" s="14"/>
      <c r="BU179" s="14"/>
      <c r="BV179" s="11"/>
      <c r="BW179" s="11"/>
      <c r="BX179" s="11"/>
      <c r="BY179" s="11"/>
      <c r="BZ179" s="11"/>
    </row>
    <row r="180" ht="15.75" customHeight="1">
      <c r="BT180" s="14"/>
      <c r="BU180" s="14"/>
      <c r="BV180" s="11"/>
      <c r="BW180" s="11"/>
      <c r="BX180" s="11"/>
      <c r="BY180" s="11"/>
      <c r="BZ180" s="11"/>
    </row>
    <row r="181" ht="15.75" customHeight="1">
      <c r="BT181" s="14"/>
      <c r="BU181" s="14"/>
      <c r="BV181" s="11"/>
      <c r="BW181" s="11"/>
      <c r="BX181" s="11"/>
      <c r="BY181" s="11"/>
      <c r="BZ181" s="11"/>
    </row>
    <row r="182" ht="15.75" customHeight="1">
      <c r="BT182" s="14"/>
      <c r="BU182" s="14"/>
      <c r="BV182" s="11"/>
      <c r="BW182" s="11"/>
      <c r="BX182" s="11"/>
      <c r="BY182" s="11"/>
      <c r="BZ182" s="11"/>
    </row>
    <row r="183" ht="15.75" customHeight="1">
      <c r="BT183" s="14"/>
      <c r="BU183" s="14"/>
      <c r="BV183" s="11"/>
      <c r="BW183" s="11"/>
      <c r="BX183" s="11"/>
      <c r="BY183" s="11"/>
      <c r="BZ183" s="11"/>
    </row>
    <row r="184" ht="15.75" customHeight="1">
      <c r="BT184" s="14"/>
      <c r="BU184" s="14"/>
      <c r="BV184" s="11"/>
      <c r="BW184" s="11"/>
      <c r="BX184" s="11"/>
      <c r="BY184" s="11"/>
      <c r="BZ184" s="11"/>
    </row>
    <row r="185" ht="15.75" customHeight="1">
      <c r="BT185" s="14"/>
      <c r="BU185" s="14"/>
      <c r="BV185" s="11"/>
      <c r="BW185" s="11"/>
      <c r="BX185" s="11"/>
      <c r="BY185" s="11"/>
      <c r="BZ185" s="11"/>
    </row>
    <row r="186" ht="15.75" customHeight="1">
      <c r="BT186" s="14"/>
      <c r="BU186" s="14"/>
      <c r="BV186" s="11"/>
      <c r="BW186" s="11"/>
      <c r="BX186" s="11"/>
      <c r="BY186" s="11"/>
      <c r="BZ186" s="11"/>
    </row>
    <row r="187" ht="15.75" customHeight="1">
      <c r="BT187" s="14"/>
      <c r="BU187" s="14"/>
      <c r="BV187" s="11"/>
      <c r="BW187" s="11"/>
      <c r="BX187" s="11"/>
      <c r="BY187" s="11"/>
      <c r="BZ187" s="11"/>
    </row>
    <row r="188" ht="15.75" customHeight="1">
      <c r="BT188" s="14"/>
      <c r="BU188" s="14"/>
      <c r="BV188" s="11"/>
      <c r="BW188" s="11"/>
      <c r="BX188" s="11"/>
      <c r="BY188" s="11"/>
      <c r="BZ188" s="11"/>
    </row>
    <row r="189" ht="15.75" customHeight="1">
      <c r="BT189" s="14"/>
      <c r="BU189" s="14"/>
      <c r="BV189" s="11"/>
      <c r="BW189" s="11"/>
      <c r="BX189" s="11"/>
      <c r="BY189" s="11"/>
      <c r="BZ189" s="11"/>
    </row>
    <row r="190" ht="15.75" customHeight="1">
      <c r="BT190" s="14"/>
      <c r="BU190" s="14"/>
      <c r="BV190" s="11"/>
      <c r="BW190" s="11"/>
      <c r="BX190" s="11"/>
      <c r="BY190" s="11"/>
      <c r="BZ190" s="11"/>
    </row>
    <row r="191" ht="15.75" customHeight="1">
      <c r="BT191" s="14"/>
      <c r="BU191" s="14"/>
      <c r="BV191" s="11"/>
      <c r="BW191" s="11"/>
      <c r="BX191" s="11"/>
      <c r="BY191" s="11"/>
      <c r="BZ191" s="11"/>
    </row>
    <row r="192" ht="15.75" customHeight="1">
      <c r="BT192" s="14"/>
      <c r="BU192" s="14"/>
      <c r="BV192" s="11"/>
      <c r="BW192" s="11"/>
      <c r="BX192" s="11"/>
      <c r="BY192" s="11"/>
      <c r="BZ192" s="11"/>
    </row>
    <row r="193" ht="15.75" customHeight="1">
      <c r="BT193" s="14"/>
      <c r="BU193" s="14"/>
      <c r="BV193" s="11"/>
      <c r="BW193" s="11"/>
      <c r="BX193" s="11"/>
      <c r="BY193" s="11"/>
      <c r="BZ193" s="11"/>
    </row>
    <row r="194" ht="15.75" customHeight="1">
      <c r="BT194" s="14"/>
      <c r="BU194" s="14"/>
      <c r="BV194" s="11"/>
      <c r="BW194" s="11"/>
      <c r="BX194" s="11"/>
      <c r="BY194" s="11"/>
      <c r="BZ194" s="11"/>
    </row>
    <row r="195" ht="15.75" customHeight="1">
      <c r="BT195" s="14"/>
      <c r="BU195" s="14"/>
      <c r="BV195" s="11"/>
      <c r="BW195" s="11"/>
      <c r="BX195" s="11"/>
      <c r="BY195" s="11"/>
      <c r="BZ195" s="11"/>
    </row>
    <row r="196" ht="15.75" customHeight="1">
      <c r="BT196" s="14"/>
      <c r="BU196" s="14"/>
      <c r="BV196" s="11"/>
      <c r="BW196" s="11"/>
      <c r="BX196" s="11"/>
      <c r="BY196" s="11"/>
      <c r="BZ196" s="11"/>
    </row>
    <row r="197" ht="15.75" customHeight="1">
      <c r="BT197" s="14"/>
      <c r="BU197" s="14"/>
      <c r="BV197" s="11"/>
      <c r="BW197" s="11"/>
      <c r="BX197" s="11"/>
      <c r="BY197" s="11"/>
      <c r="BZ197" s="11"/>
    </row>
    <row r="198" ht="15.75" customHeight="1">
      <c r="BT198" s="14"/>
      <c r="BU198" s="14"/>
      <c r="BV198" s="11"/>
      <c r="BW198" s="11"/>
      <c r="BX198" s="11"/>
      <c r="BY198" s="11"/>
      <c r="BZ198" s="11"/>
    </row>
    <row r="199" ht="15.75" customHeight="1">
      <c r="BT199" s="14"/>
      <c r="BU199" s="14"/>
      <c r="BV199" s="11"/>
      <c r="BW199" s="11"/>
      <c r="BX199" s="11"/>
      <c r="BY199" s="11"/>
      <c r="BZ199" s="11"/>
    </row>
    <row r="200" ht="15.75" customHeight="1">
      <c r="BT200" s="14"/>
      <c r="BU200" s="14"/>
      <c r="BV200" s="11"/>
      <c r="BW200" s="11"/>
      <c r="BX200" s="11"/>
      <c r="BY200" s="11"/>
      <c r="BZ200" s="11"/>
    </row>
    <row r="201" ht="15.75" customHeight="1">
      <c r="BT201" s="14"/>
      <c r="BU201" s="14"/>
      <c r="BV201" s="11"/>
      <c r="BW201" s="11"/>
      <c r="BX201" s="11"/>
      <c r="BY201" s="11"/>
      <c r="BZ201" s="11"/>
    </row>
    <row r="202" ht="15.75" customHeight="1">
      <c r="BT202" s="14"/>
      <c r="BU202" s="14"/>
      <c r="BV202" s="11"/>
      <c r="BW202" s="11"/>
      <c r="BX202" s="11"/>
      <c r="BY202" s="11"/>
      <c r="BZ202" s="11"/>
    </row>
    <row r="203" ht="15.75" customHeight="1">
      <c r="BT203" s="14"/>
      <c r="BU203" s="14"/>
      <c r="BV203" s="11"/>
      <c r="BW203" s="11"/>
      <c r="BX203" s="11"/>
      <c r="BY203" s="11"/>
      <c r="BZ203" s="11"/>
    </row>
    <row r="204" ht="15.75" customHeight="1">
      <c r="BT204" s="14"/>
      <c r="BU204" s="14"/>
      <c r="BV204" s="11"/>
      <c r="BW204" s="11"/>
      <c r="BX204" s="11"/>
      <c r="BY204" s="11"/>
      <c r="BZ204" s="11"/>
    </row>
    <row r="205" ht="15.75" customHeight="1">
      <c r="BT205" s="14"/>
      <c r="BU205" s="14"/>
      <c r="BV205" s="11"/>
      <c r="BW205" s="11"/>
      <c r="BX205" s="11"/>
      <c r="BY205" s="11"/>
      <c r="BZ205" s="11"/>
    </row>
    <row r="206" ht="15.75" customHeight="1">
      <c r="BT206" s="14"/>
      <c r="BU206" s="14"/>
      <c r="BV206" s="11"/>
      <c r="BW206" s="11"/>
      <c r="BX206" s="11"/>
      <c r="BY206" s="11"/>
      <c r="BZ206" s="11"/>
    </row>
    <row r="207" ht="15.75" customHeight="1">
      <c r="BT207" s="14"/>
      <c r="BU207" s="14"/>
      <c r="BV207" s="11"/>
      <c r="BW207" s="11"/>
      <c r="BX207" s="11"/>
      <c r="BY207" s="11"/>
      <c r="BZ207" s="11"/>
    </row>
    <row r="208" ht="15.75" customHeight="1">
      <c r="BT208" s="14"/>
      <c r="BU208" s="14"/>
      <c r="BV208" s="11"/>
      <c r="BW208" s="11"/>
      <c r="BX208" s="11"/>
      <c r="BY208" s="11"/>
      <c r="BZ208" s="11"/>
    </row>
    <row r="209" ht="15.75" customHeight="1">
      <c r="BT209" s="14"/>
      <c r="BU209" s="14"/>
      <c r="BV209" s="11"/>
      <c r="BW209" s="11"/>
      <c r="BX209" s="11"/>
      <c r="BY209" s="11"/>
      <c r="BZ209" s="11"/>
    </row>
    <row r="210" ht="15.75" customHeight="1">
      <c r="BT210" s="14"/>
      <c r="BU210" s="14"/>
      <c r="BV210" s="11"/>
      <c r="BW210" s="11"/>
      <c r="BX210" s="11"/>
      <c r="BY210" s="11"/>
      <c r="BZ210" s="11"/>
    </row>
    <row r="211" ht="15.75" customHeight="1">
      <c r="BT211" s="14"/>
      <c r="BU211" s="14"/>
      <c r="BV211" s="11"/>
      <c r="BW211" s="11"/>
      <c r="BX211" s="11"/>
      <c r="BY211" s="11"/>
      <c r="BZ211" s="11"/>
    </row>
    <row r="212" ht="15.75" customHeight="1">
      <c r="BT212" s="14"/>
      <c r="BU212" s="14"/>
      <c r="BV212" s="11"/>
      <c r="BW212" s="11"/>
      <c r="BX212" s="11"/>
      <c r="BY212" s="11"/>
      <c r="BZ212" s="11"/>
    </row>
    <row r="213" ht="15.75" customHeight="1">
      <c r="BT213" s="14"/>
      <c r="BU213" s="14"/>
      <c r="BV213" s="11"/>
      <c r="BW213" s="11"/>
      <c r="BX213" s="11"/>
      <c r="BY213" s="11"/>
      <c r="BZ213" s="11"/>
    </row>
    <row r="214" ht="15.75" customHeight="1">
      <c r="BT214" s="14"/>
      <c r="BU214" s="14"/>
      <c r="BV214" s="11"/>
      <c r="BW214" s="11"/>
      <c r="BX214" s="11"/>
      <c r="BY214" s="11"/>
      <c r="BZ214" s="11"/>
    </row>
    <row r="215" ht="15.75" customHeight="1">
      <c r="BT215" s="14"/>
      <c r="BU215" s="14"/>
      <c r="BV215" s="11"/>
      <c r="BW215" s="11"/>
      <c r="BX215" s="11"/>
      <c r="BY215" s="11"/>
      <c r="BZ215" s="11"/>
    </row>
    <row r="216" ht="15.75" customHeight="1">
      <c r="BT216" s="14"/>
      <c r="BU216" s="14"/>
      <c r="BV216" s="11"/>
      <c r="BW216" s="11"/>
      <c r="BX216" s="11"/>
      <c r="BY216" s="11"/>
      <c r="BZ216" s="11"/>
    </row>
    <row r="217" ht="15.75" customHeight="1">
      <c r="BT217" s="14"/>
      <c r="BU217" s="14"/>
      <c r="BV217" s="11"/>
      <c r="BW217" s="11"/>
      <c r="BX217" s="11"/>
      <c r="BY217" s="11"/>
      <c r="BZ217" s="11"/>
    </row>
    <row r="218" ht="15.75" customHeight="1">
      <c r="BT218" s="14"/>
      <c r="BU218" s="14"/>
      <c r="BV218" s="11"/>
      <c r="BW218" s="11"/>
      <c r="BX218" s="11"/>
      <c r="BY218" s="11"/>
      <c r="BZ218" s="11"/>
    </row>
    <row r="219" ht="15.75" customHeight="1">
      <c r="BT219" s="14"/>
      <c r="BU219" s="14"/>
      <c r="BV219" s="11"/>
      <c r="BW219" s="11"/>
      <c r="BX219" s="11"/>
      <c r="BY219" s="11"/>
      <c r="BZ219" s="11"/>
    </row>
    <row r="220" ht="15.75" customHeight="1">
      <c r="BT220" s="14"/>
      <c r="BU220" s="14"/>
      <c r="BV220" s="11"/>
      <c r="BW220" s="11"/>
      <c r="BX220" s="11"/>
      <c r="BY220" s="11"/>
      <c r="BZ220" s="11"/>
    </row>
    <row r="221" ht="15.75" customHeight="1">
      <c r="BT221" s="14"/>
      <c r="BU221" s="14"/>
      <c r="BV221" s="11"/>
      <c r="BW221" s="11"/>
      <c r="BX221" s="11"/>
      <c r="BY221" s="11"/>
      <c r="BZ221" s="11"/>
    </row>
    <row r="222" ht="15.75" customHeight="1">
      <c r="BT222" s="14"/>
      <c r="BU222" s="14"/>
      <c r="BV222" s="11"/>
      <c r="BW222" s="11"/>
      <c r="BX222" s="11"/>
      <c r="BY222" s="11"/>
      <c r="BZ222" s="11"/>
    </row>
    <row r="223" ht="15.75" customHeight="1">
      <c r="BT223" s="14"/>
      <c r="BU223" s="14"/>
      <c r="BV223" s="11"/>
      <c r="BW223" s="11"/>
      <c r="BX223" s="11"/>
      <c r="BY223" s="11"/>
      <c r="BZ223" s="11"/>
    </row>
    <row r="224" ht="15.75" customHeight="1">
      <c r="BT224" s="14"/>
      <c r="BU224" s="14"/>
      <c r="BV224" s="11"/>
      <c r="BW224" s="11"/>
      <c r="BX224" s="11"/>
      <c r="BY224" s="11"/>
      <c r="BZ224" s="11"/>
    </row>
    <row r="225" ht="15.75" customHeight="1">
      <c r="BT225" s="14"/>
      <c r="BU225" s="14"/>
      <c r="BV225" s="11"/>
      <c r="BW225" s="11"/>
      <c r="BX225" s="11"/>
      <c r="BY225" s="11"/>
      <c r="BZ225" s="11"/>
    </row>
    <row r="226" ht="15.75" customHeight="1">
      <c r="BT226" s="14"/>
      <c r="BU226" s="14"/>
      <c r="BV226" s="11"/>
      <c r="BW226" s="11"/>
      <c r="BX226" s="11"/>
      <c r="BY226" s="11"/>
      <c r="BZ226" s="11"/>
    </row>
    <row r="227" ht="15.75" customHeight="1">
      <c r="BT227" s="14"/>
      <c r="BU227" s="14"/>
      <c r="BV227" s="11"/>
      <c r="BW227" s="11"/>
      <c r="BX227" s="11"/>
      <c r="BY227" s="11"/>
      <c r="BZ227" s="11"/>
    </row>
    <row r="228" ht="15.75" customHeight="1">
      <c r="BT228" s="14"/>
      <c r="BU228" s="14"/>
      <c r="BV228" s="11"/>
      <c r="BW228" s="11"/>
      <c r="BX228" s="11"/>
      <c r="BY228" s="11"/>
      <c r="BZ228" s="11"/>
    </row>
    <row r="229" ht="15.75" customHeight="1">
      <c r="BT229" s="14"/>
      <c r="BU229" s="14"/>
      <c r="BV229" s="11"/>
      <c r="BW229" s="11"/>
      <c r="BX229" s="11"/>
      <c r="BY229" s="11"/>
      <c r="BZ229" s="11"/>
    </row>
    <row r="230" ht="15.75" customHeight="1">
      <c r="BT230" s="14"/>
      <c r="BU230" s="14"/>
      <c r="BV230" s="11"/>
      <c r="BW230" s="11"/>
      <c r="BX230" s="11"/>
      <c r="BY230" s="11"/>
      <c r="BZ230" s="11"/>
    </row>
    <row r="231" ht="15.75" customHeight="1">
      <c r="BT231" s="14"/>
      <c r="BU231" s="14"/>
      <c r="BV231" s="11"/>
      <c r="BW231" s="11"/>
      <c r="BX231" s="11"/>
      <c r="BY231" s="11"/>
      <c r="BZ231" s="11"/>
    </row>
    <row r="232" ht="15.75" customHeight="1">
      <c r="BT232" s="14"/>
      <c r="BU232" s="14"/>
      <c r="BV232" s="11"/>
      <c r="BW232" s="11"/>
      <c r="BX232" s="11"/>
      <c r="BY232" s="11"/>
      <c r="BZ232" s="11"/>
    </row>
    <row r="233" ht="15.75" customHeight="1">
      <c r="BT233" s="14"/>
      <c r="BU233" s="14"/>
      <c r="BV233" s="11"/>
      <c r="BW233" s="11"/>
      <c r="BX233" s="11"/>
      <c r="BY233" s="11"/>
      <c r="BZ233" s="11"/>
    </row>
    <row r="234" ht="15.75" customHeight="1">
      <c r="BT234" s="14"/>
      <c r="BU234" s="14"/>
      <c r="BV234" s="11"/>
      <c r="BW234" s="11"/>
      <c r="BX234" s="11"/>
      <c r="BY234" s="11"/>
      <c r="BZ234" s="11"/>
    </row>
    <row r="235" ht="15.75" customHeight="1">
      <c r="BT235" s="14"/>
      <c r="BU235" s="14"/>
      <c r="BV235" s="11"/>
      <c r="BW235" s="11"/>
      <c r="BX235" s="11"/>
      <c r="BY235" s="11"/>
      <c r="BZ235" s="11"/>
    </row>
    <row r="236" ht="15.75" customHeight="1">
      <c r="BT236" s="14"/>
      <c r="BU236" s="14"/>
      <c r="BV236" s="11"/>
      <c r="BW236" s="11"/>
      <c r="BX236" s="11"/>
      <c r="BY236" s="11"/>
      <c r="BZ236" s="11"/>
    </row>
    <row r="237" ht="15.75" customHeight="1">
      <c r="BT237" s="14"/>
      <c r="BU237" s="14"/>
      <c r="BV237" s="11"/>
      <c r="BW237" s="11"/>
      <c r="BX237" s="11"/>
      <c r="BY237" s="11"/>
      <c r="BZ237" s="11"/>
    </row>
    <row r="238" ht="15.75" customHeight="1">
      <c r="BT238" s="14"/>
      <c r="BU238" s="14"/>
      <c r="BV238" s="11"/>
      <c r="BW238" s="11"/>
      <c r="BX238" s="11"/>
      <c r="BY238" s="11"/>
      <c r="BZ238" s="11"/>
    </row>
    <row r="239" ht="15.75" customHeight="1">
      <c r="BT239" s="14"/>
      <c r="BU239" s="14"/>
      <c r="BV239" s="11"/>
      <c r="BW239" s="11"/>
      <c r="BX239" s="11"/>
      <c r="BY239" s="11"/>
      <c r="BZ239" s="11"/>
    </row>
    <row r="240" ht="15.75" customHeight="1">
      <c r="BT240" s="14"/>
      <c r="BU240" s="14"/>
      <c r="BV240" s="11"/>
      <c r="BW240" s="11"/>
      <c r="BX240" s="11"/>
      <c r="BY240" s="11"/>
      <c r="BZ240" s="11"/>
    </row>
    <row r="241" ht="15.75" customHeight="1">
      <c r="BT241" s="14"/>
      <c r="BU241" s="14"/>
      <c r="BV241" s="11"/>
      <c r="BW241" s="11"/>
      <c r="BX241" s="11"/>
      <c r="BY241" s="11"/>
      <c r="BZ241" s="11"/>
    </row>
    <row r="242" ht="15.75" customHeight="1">
      <c r="BT242" s="14"/>
      <c r="BU242" s="14"/>
      <c r="BV242" s="11"/>
      <c r="BW242" s="11"/>
      <c r="BX242" s="11"/>
      <c r="BY242" s="11"/>
      <c r="BZ242" s="11"/>
    </row>
    <row r="243" ht="15.75" customHeight="1">
      <c r="BT243" s="14"/>
      <c r="BU243" s="14"/>
      <c r="BV243" s="11"/>
      <c r="BW243" s="11"/>
      <c r="BX243" s="11"/>
      <c r="BY243" s="11"/>
      <c r="BZ243" s="11"/>
    </row>
    <row r="244" ht="15.75" customHeight="1">
      <c r="BT244" s="14"/>
      <c r="BU244" s="14"/>
      <c r="BV244" s="11"/>
      <c r="BW244" s="11"/>
      <c r="BX244" s="11"/>
      <c r="BY244" s="11"/>
      <c r="BZ244" s="11"/>
    </row>
    <row r="245" ht="15.75" customHeight="1">
      <c r="BT245" s="14"/>
      <c r="BU245" s="14"/>
      <c r="BV245" s="11"/>
      <c r="BW245" s="11"/>
      <c r="BX245" s="11"/>
      <c r="BY245" s="11"/>
      <c r="BZ245" s="11"/>
    </row>
    <row r="246" ht="15.75" customHeight="1">
      <c r="BT246" s="14"/>
      <c r="BU246" s="14"/>
      <c r="BV246" s="11"/>
      <c r="BW246" s="11"/>
      <c r="BX246" s="11"/>
      <c r="BY246" s="11"/>
      <c r="BZ246" s="11"/>
    </row>
    <row r="247" ht="15.75" customHeight="1">
      <c r="BT247" s="14"/>
      <c r="BU247" s="14"/>
      <c r="BV247" s="11"/>
      <c r="BW247" s="11"/>
      <c r="BX247" s="11"/>
      <c r="BY247" s="11"/>
      <c r="BZ247" s="11"/>
    </row>
    <row r="248" ht="15.75" customHeight="1">
      <c r="BT248" s="14"/>
      <c r="BU248" s="14"/>
      <c r="BV248" s="11"/>
      <c r="BW248" s="11"/>
      <c r="BX248" s="11"/>
      <c r="BY248" s="11"/>
      <c r="BZ248" s="11"/>
    </row>
    <row r="249" ht="15.75" customHeight="1">
      <c r="BT249" s="14"/>
      <c r="BU249" s="14"/>
      <c r="BV249" s="11"/>
      <c r="BW249" s="11"/>
      <c r="BX249" s="11"/>
      <c r="BY249" s="11"/>
      <c r="BZ249" s="11"/>
    </row>
    <row r="250" ht="15.75" customHeight="1">
      <c r="BT250" s="14"/>
      <c r="BU250" s="14"/>
      <c r="BV250" s="11"/>
      <c r="BW250" s="11"/>
      <c r="BX250" s="11"/>
      <c r="BY250" s="11"/>
      <c r="BZ250" s="11"/>
    </row>
    <row r="251" ht="15.75" customHeight="1">
      <c r="BT251" s="14"/>
      <c r="BU251" s="14"/>
      <c r="BV251" s="11"/>
      <c r="BW251" s="11"/>
      <c r="BX251" s="11"/>
      <c r="BY251" s="11"/>
      <c r="BZ251" s="11"/>
    </row>
    <row r="252" ht="15.75" customHeight="1">
      <c r="BT252" s="14"/>
      <c r="BU252" s="14"/>
      <c r="BV252" s="11"/>
      <c r="BW252" s="11"/>
      <c r="BX252" s="11"/>
      <c r="BY252" s="11"/>
      <c r="BZ252" s="11"/>
    </row>
    <row r="253" ht="15.75" customHeight="1">
      <c r="BT253" s="14"/>
      <c r="BU253" s="14"/>
      <c r="BV253" s="11"/>
      <c r="BW253" s="11"/>
      <c r="BX253" s="11"/>
      <c r="BY253" s="11"/>
      <c r="BZ253" s="11"/>
    </row>
    <row r="254" ht="15.75" customHeight="1">
      <c r="BT254" s="14"/>
      <c r="BU254" s="14"/>
      <c r="BV254" s="11"/>
      <c r="BW254" s="11"/>
      <c r="BX254" s="11"/>
      <c r="BY254" s="11"/>
      <c r="BZ254" s="11"/>
    </row>
    <row r="255" ht="15.75" customHeight="1">
      <c r="BT255" s="14"/>
      <c r="BU255" s="14"/>
      <c r="BV255" s="11"/>
      <c r="BW255" s="11"/>
      <c r="BX255" s="11"/>
      <c r="BY255" s="11"/>
      <c r="BZ255" s="11"/>
    </row>
    <row r="256" ht="15.75" customHeight="1">
      <c r="BT256" s="14"/>
      <c r="BU256" s="14"/>
      <c r="BV256" s="11"/>
      <c r="BW256" s="11"/>
      <c r="BX256" s="11"/>
      <c r="BY256" s="11"/>
      <c r="BZ256" s="11"/>
    </row>
    <row r="257" ht="15.75" customHeight="1">
      <c r="BT257" s="14"/>
      <c r="BU257" s="14"/>
      <c r="BV257" s="11"/>
      <c r="BW257" s="11"/>
      <c r="BX257" s="11"/>
      <c r="BY257" s="11"/>
      <c r="BZ257" s="11"/>
    </row>
    <row r="258" ht="15.75" customHeight="1">
      <c r="BT258" s="14"/>
      <c r="BU258" s="14"/>
      <c r="BV258" s="11"/>
      <c r="BW258" s="11"/>
      <c r="BX258" s="11"/>
      <c r="BY258" s="11"/>
      <c r="BZ258" s="11"/>
    </row>
    <row r="259" ht="15.75" customHeight="1">
      <c r="BT259" s="14"/>
      <c r="BU259" s="14"/>
      <c r="BV259" s="11"/>
      <c r="BW259" s="11"/>
      <c r="BX259" s="11"/>
      <c r="BY259" s="11"/>
      <c r="BZ259" s="11"/>
    </row>
    <row r="260" ht="15.75" customHeight="1">
      <c r="BT260" s="14"/>
      <c r="BU260" s="14"/>
      <c r="BV260" s="11"/>
      <c r="BW260" s="11"/>
      <c r="BX260" s="11"/>
      <c r="BY260" s="11"/>
      <c r="BZ260" s="11"/>
    </row>
    <row r="261" ht="15.75" customHeight="1">
      <c r="BT261" s="14"/>
      <c r="BU261" s="14"/>
      <c r="BV261" s="11"/>
      <c r="BW261" s="11"/>
      <c r="BX261" s="11"/>
      <c r="BY261" s="11"/>
      <c r="BZ261" s="11"/>
    </row>
    <row r="262" ht="15.75" customHeight="1">
      <c r="BT262" s="14"/>
      <c r="BU262" s="14"/>
      <c r="BV262" s="11"/>
      <c r="BW262" s="11"/>
      <c r="BX262" s="11"/>
      <c r="BY262" s="11"/>
      <c r="BZ262" s="11"/>
    </row>
    <row r="263" ht="15.75" customHeight="1">
      <c r="BT263" s="14"/>
      <c r="BU263" s="14"/>
      <c r="BV263" s="11"/>
      <c r="BW263" s="11"/>
      <c r="BX263" s="11"/>
      <c r="BY263" s="11"/>
      <c r="BZ263" s="11"/>
    </row>
    <row r="264" ht="15.75" customHeight="1">
      <c r="BT264" s="14"/>
      <c r="BU264" s="14"/>
      <c r="BV264" s="11"/>
      <c r="BW264" s="11"/>
      <c r="BX264" s="11"/>
      <c r="BY264" s="11"/>
      <c r="BZ264" s="11"/>
    </row>
    <row r="265" ht="15.75" customHeight="1">
      <c r="BT265" s="14"/>
      <c r="BU265" s="14"/>
      <c r="BV265" s="11"/>
      <c r="BW265" s="11"/>
      <c r="BX265" s="11"/>
      <c r="BY265" s="11"/>
      <c r="BZ265" s="11"/>
    </row>
    <row r="266" ht="15.75" customHeight="1">
      <c r="BT266" s="14"/>
      <c r="BU266" s="14"/>
      <c r="BV266" s="11"/>
      <c r="BW266" s="11"/>
      <c r="BX266" s="11"/>
      <c r="BY266" s="11"/>
      <c r="BZ266" s="11"/>
    </row>
    <row r="267" ht="15.75" customHeight="1">
      <c r="BT267" s="14"/>
      <c r="BU267" s="14"/>
      <c r="BV267" s="11"/>
      <c r="BW267" s="11"/>
      <c r="BX267" s="11"/>
      <c r="BY267" s="11"/>
      <c r="BZ267" s="11"/>
    </row>
    <row r="268" ht="15.75" customHeight="1">
      <c r="BT268" s="14"/>
      <c r="BU268" s="14"/>
      <c r="BV268" s="11"/>
      <c r="BW268" s="11"/>
      <c r="BX268" s="11"/>
      <c r="BY268" s="11"/>
      <c r="BZ268" s="11"/>
    </row>
    <row r="269" ht="15.75" customHeight="1">
      <c r="BT269" s="14"/>
      <c r="BU269" s="14"/>
      <c r="BV269" s="11"/>
      <c r="BW269" s="11"/>
      <c r="BX269" s="11"/>
      <c r="BY269" s="11"/>
      <c r="BZ269" s="11"/>
    </row>
    <row r="270" ht="15.75" customHeight="1">
      <c r="BT270" s="14"/>
      <c r="BU270" s="14"/>
      <c r="BV270" s="11"/>
      <c r="BW270" s="11"/>
      <c r="BX270" s="11"/>
      <c r="BY270" s="11"/>
      <c r="BZ270" s="11"/>
    </row>
    <row r="271" ht="15.75" customHeight="1">
      <c r="BT271" s="14"/>
      <c r="BU271" s="14"/>
      <c r="BV271" s="11"/>
      <c r="BW271" s="11"/>
      <c r="BX271" s="11"/>
      <c r="BY271" s="11"/>
      <c r="BZ271" s="11"/>
    </row>
    <row r="272" ht="15.75" customHeight="1">
      <c r="BT272" s="14"/>
      <c r="BU272" s="14"/>
      <c r="BV272" s="11"/>
      <c r="BW272" s="11"/>
      <c r="BX272" s="11"/>
      <c r="BY272" s="11"/>
      <c r="BZ272" s="11"/>
    </row>
    <row r="273" ht="15.75" customHeight="1">
      <c r="BT273" s="14"/>
      <c r="BU273" s="14"/>
      <c r="BV273" s="11"/>
      <c r="BW273" s="11"/>
      <c r="BX273" s="11"/>
      <c r="BY273" s="11"/>
      <c r="BZ273" s="11"/>
    </row>
    <row r="274" ht="15.75" customHeight="1">
      <c r="BT274" s="14"/>
      <c r="BU274" s="14"/>
      <c r="BV274" s="11"/>
      <c r="BW274" s="11"/>
      <c r="BX274" s="11"/>
      <c r="BY274" s="11"/>
      <c r="BZ274" s="11"/>
    </row>
    <row r="275" ht="15.75" customHeight="1">
      <c r="BT275" s="14"/>
      <c r="BU275" s="14"/>
      <c r="BV275" s="11"/>
      <c r="BW275" s="11"/>
      <c r="BX275" s="11"/>
      <c r="BY275" s="11"/>
      <c r="BZ275" s="11"/>
    </row>
    <row r="276" ht="15.75" customHeight="1">
      <c r="BT276" s="14"/>
      <c r="BU276" s="14"/>
      <c r="BV276" s="11"/>
      <c r="BW276" s="11"/>
      <c r="BX276" s="11"/>
      <c r="BY276" s="11"/>
      <c r="BZ276" s="11"/>
    </row>
    <row r="277" ht="15.75" customHeight="1">
      <c r="BT277" s="14"/>
      <c r="BU277" s="14"/>
      <c r="BV277" s="11"/>
      <c r="BW277" s="11"/>
      <c r="BX277" s="11"/>
      <c r="BY277" s="11"/>
      <c r="BZ277" s="11"/>
    </row>
    <row r="278" ht="15.75" customHeight="1">
      <c r="BT278" s="14"/>
      <c r="BU278" s="14"/>
      <c r="BV278" s="11"/>
      <c r="BW278" s="11"/>
      <c r="BX278" s="11"/>
      <c r="BY278" s="11"/>
      <c r="BZ278" s="11"/>
    </row>
    <row r="279" ht="15.75" customHeight="1">
      <c r="BT279" s="14"/>
      <c r="BU279" s="14"/>
      <c r="BV279" s="11"/>
      <c r="BW279" s="11"/>
      <c r="BX279" s="11"/>
      <c r="BY279" s="11"/>
      <c r="BZ279" s="11"/>
    </row>
    <row r="280" ht="15.75" customHeight="1">
      <c r="BT280" s="14"/>
      <c r="BU280" s="14"/>
      <c r="BV280" s="11"/>
      <c r="BW280" s="11"/>
      <c r="BX280" s="11"/>
      <c r="BY280" s="11"/>
      <c r="BZ280" s="11"/>
    </row>
    <row r="281" ht="15.75" customHeight="1">
      <c r="BT281" s="14"/>
      <c r="BU281" s="14"/>
      <c r="BV281" s="11"/>
      <c r="BW281" s="11"/>
      <c r="BX281" s="11"/>
      <c r="BY281" s="11"/>
      <c r="BZ281" s="11"/>
    </row>
    <row r="282" ht="15.75" customHeight="1">
      <c r="BT282" s="14"/>
      <c r="BU282" s="14"/>
      <c r="BV282" s="11"/>
      <c r="BW282" s="11"/>
      <c r="BX282" s="11"/>
      <c r="BY282" s="11"/>
      <c r="BZ282" s="11"/>
    </row>
    <row r="283" ht="15.75" customHeight="1">
      <c r="BT283" s="14"/>
      <c r="BU283" s="14"/>
      <c r="BV283" s="11"/>
      <c r="BW283" s="11"/>
      <c r="BX283" s="11"/>
      <c r="BY283" s="11"/>
      <c r="BZ283" s="11"/>
    </row>
    <row r="284" ht="15.75" customHeight="1">
      <c r="BT284" s="14"/>
      <c r="BU284" s="14"/>
      <c r="BV284" s="11"/>
      <c r="BW284" s="11"/>
      <c r="BX284" s="11"/>
      <c r="BY284" s="11"/>
      <c r="BZ284" s="11"/>
    </row>
    <row r="285" ht="15.75" customHeight="1">
      <c r="BT285" s="14"/>
      <c r="BU285" s="14"/>
      <c r="BV285" s="11"/>
      <c r="BW285" s="11"/>
      <c r="BX285" s="11"/>
      <c r="BY285" s="11"/>
      <c r="BZ285" s="11"/>
    </row>
    <row r="286" ht="15.75" customHeight="1">
      <c r="BT286" s="14"/>
      <c r="BU286" s="14"/>
      <c r="BV286" s="11"/>
      <c r="BW286" s="11"/>
      <c r="BX286" s="11"/>
      <c r="BY286" s="11"/>
      <c r="BZ286" s="11"/>
    </row>
    <row r="287" ht="15.75" customHeight="1">
      <c r="BT287" s="14"/>
      <c r="BU287" s="14"/>
      <c r="BV287" s="11"/>
      <c r="BW287" s="11"/>
      <c r="BX287" s="11"/>
      <c r="BY287" s="11"/>
      <c r="BZ287" s="11"/>
    </row>
    <row r="288" ht="15.75" customHeight="1">
      <c r="BT288" s="14"/>
      <c r="BU288" s="14"/>
      <c r="BV288" s="11"/>
      <c r="BW288" s="11"/>
      <c r="BX288" s="11"/>
      <c r="BY288" s="11"/>
      <c r="BZ288" s="11"/>
    </row>
    <row r="289" ht="15.75" customHeight="1">
      <c r="BT289" s="14"/>
      <c r="BU289" s="14"/>
      <c r="BV289" s="11"/>
      <c r="BW289" s="11"/>
      <c r="BX289" s="11"/>
      <c r="BY289" s="11"/>
      <c r="BZ289" s="11"/>
    </row>
    <row r="290" ht="15.75" customHeight="1">
      <c r="BT290" s="14"/>
      <c r="BU290" s="14"/>
      <c r="BV290" s="11"/>
      <c r="BW290" s="11"/>
      <c r="BX290" s="11"/>
      <c r="BY290" s="11"/>
      <c r="BZ290" s="11"/>
    </row>
    <row r="291" ht="15.75" customHeight="1">
      <c r="BT291" s="14"/>
      <c r="BU291" s="14"/>
      <c r="BV291" s="11"/>
      <c r="BW291" s="11"/>
      <c r="BX291" s="11"/>
      <c r="BY291" s="11"/>
      <c r="BZ291" s="11"/>
    </row>
    <row r="292" ht="15.75" customHeight="1">
      <c r="BT292" s="14"/>
      <c r="BU292" s="14"/>
      <c r="BV292" s="11"/>
      <c r="BW292" s="11"/>
      <c r="BX292" s="11"/>
      <c r="BY292" s="11"/>
      <c r="BZ292" s="11"/>
    </row>
    <row r="293" ht="15.75" customHeight="1">
      <c r="BT293" s="14"/>
      <c r="BU293" s="14"/>
      <c r="BV293" s="11"/>
      <c r="BW293" s="11"/>
      <c r="BX293" s="11"/>
      <c r="BY293" s="11"/>
      <c r="BZ293" s="11"/>
    </row>
    <row r="294" ht="15.75" customHeight="1">
      <c r="BT294" s="14"/>
      <c r="BU294" s="14"/>
      <c r="BV294" s="11"/>
      <c r="BW294" s="11"/>
      <c r="BX294" s="11"/>
      <c r="BY294" s="11"/>
      <c r="BZ294" s="11"/>
    </row>
    <row r="295" ht="15.75" customHeight="1">
      <c r="BT295" s="14"/>
      <c r="BU295" s="14"/>
      <c r="BV295" s="11"/>
      <c r="BW295" s="11"/>
      <c r="BX295" s="11"/>
      <c r="BY295" s="11"/>
      <c r="BZ295" s="11"/>
    </row>
    <row r="296" ht="15.75" customHeight="1">
      <c r="BT296" s="14"/>
      <c r="BU296" s="14"/>
      <c r="BV296" s="11"/>
      <c r="BW296" s="11"/>
      <c r="BX296" s="11"/>
      <c r="BY296" s="11"/>
      <c r="BZ296" s="11"/>
    </row>
    <row r="297" ht="15.75" customHeight="1">
      <c r="BT297" s="14"/>
      <c r="BU297" s="14"/>
      <c r="BV297" s="11"/>
      <c r="BW297" s="11"/>
      <c r="BX297" s="11"/>
      <c r="BY297" s="11"/>
      <c r="BZ297" s="11"/>
    </row>
    <row r="298" ht="15.75" customHeight="1">
      <c r="BT298" s="14"/>
      <c r="BU298" s="14"/>
      <c r="BV298" s="11"/>
      <c r="BW298" s="11"/>
      <c r="BX298" s="11"/>
      <c r="BY298" s="11"/>
      <c r="BZ298" s="11"/>
    </row>
    <row r="299" ht="15.75" customHeight="1">
      <c r="BT299" s="14"/>
      <c r="BU299" s="14"/>
      <c r="BV299" s="11"/>
      <c r="BW299" s="11"/>
      <c r="BX299" s="11"/>
      <c r="BY299" s="11"/>
      <c r="BZ299" s="11"/>
    </row>
    <row r="300" ht="15.75" customHeight="1">
      <c r="BT300" s="14"/>
      <c r="BU300" s="14"/>
      <c r="BV300" s="11"/>
      <c r="BW300" s="11"/>
      <c r="BX300" s="11"/>
      <c r="BY300" s="11"/>
      <c r="BZ300" s="11"/>
    </row>
    <row r="301" ht="15.75" customHeight="1">
      <c r="BT301" s="14"/>
      <c r="BU301" s="14"/>
      <c r="BV301" s="11"/>
      <c r="BW301" s="11"/>
      <c r="BX301" s="11"/>
      <c r="BY301" s="11"/>
      <c r="BZ301" s="11"/>
    </row>
    <row r="302" ht="15.75" customHeight="1">
      <c r="BT302" s="14"/>
      <c r="BU302" s="14"/>
      <c r="BV302" s="11"/>
      <c r="BW302" s="11"/>
      <c r="BX302" s="11"/>
      <c r="BY302" s="11"/>
      <c r="BZ302" s="11"/>
    </row>
    <row r="303" ht="15.75" customHeight="1">
      <c r="BT303" s="14"/>
      <c r="BU303" s="14"/>
      <c r="BV303" s="11"/>
      <c r="BW303" s="11"/>
      <c r="BX303" s="11"/>
      <c r="BY303" s="11"/>
      <c r="BZ303" s="11"/>
    </row>
    <row r="304" ht="15.75" customHeight="1">
      <c r="BT304" s="14"/>
      <c r="BU304" s="14"/>
      <c r="BV304" s="11"/>
      <c r="BW304" s="11"/>
      <c r="BX304" s="11"/>
      <c r="BY304" s="11"/>
      <c r="BZ304" s="11"/>
    </row>
    <row r="305" ht="15.75" customHeight="1">
      <c r="BT305" s="14"/>
      <c r="BU305" s="14"/>
      <c r="BV305" s="11"/>
      <c r="BW305" s="11"/>
      <c r="BX305" s="11"/>
      <c r="BY305" s="11"/>
      <c r="BZ305" s="11"/>
    </row>
    <row r="306" ht="15.75" customHeight="1">
      <c r="BT306" s="14"/>
      <c r="BU306" s="14"/>
      <c r="BV306" s="11"/>
      <c r="BW306" s="11"/>
      <c r="BX306" s="11"/>
      <c r="BY306" s="11"/>
      <c r="BZ306" s="11"/>
    </row>
    <row r="307" ht="15.75" customHeight="1">
      <c r="BT307" s="14"/>
      <c r="BU307" s="14"/>
      <c r="BV307" s="11"/>
      <c r="BW307" s="11"/>
      <c r="BX307" s="11"/>
      <c r="BY307" s="11"/>
      <c r="BZ307" s="11"/>
    </row>
    <row r="308" ht="15.75" customHeight="1">
      <c r="BT308" s="14"/>
      <c r="BU308" s="14"/>
      <c r="BV308" s="11"/>
      <c r="BW308" s="11"/>
      <c r="BX308" s="11"/>
      <c r="BY308" s="11"/>
      <c r="BZ308" s="11"/>
    </row>
    <row r="309" ht="15.75" customHeight="1">
      <c r="BT309" s="14"/>
      <c r="BU309" s="14"/>
      <c r="BV309" s="11"/>
      <c r="BW309" s="11"/>
      <c r="BX309" s="11"/>
      <c r="BY309" s="11"/>
      <c r="BZ309" s="11"/>
    </row>
    <row r="310" ht="15.75" customHeight="1">
      <c r="BT310" s="14"/>
      <c r="BU310" s="14"/>
      <c r="BV310" s="11"/>
      <c r="BW310" s="11"/>
      <c r="BX310" s="11"/>
      <c r="BY310" s="11"/>
      <c r="BZ310" s="11"/>
    </row>
    <row r="311" ht="15.75" customHeight="1">
      <c r="BT311" s="14"/>
      <c r="BU311" s="14"/>
      <c r="BV311" s="11"/>
      <c r="BW311" s="11"/>
      <c r="BX311" s="11"/>
      <c r="BY311" s="11"/>
      <c r="BZ311" s="11"/>
    </row>
    <row r="312" ht="15.75" customHeight="1">
      <c r="BT312" s="14"/>
      <c r="BU312" s="14"/>
      <c r="BV312" s="11"/>
      <c r="BW312" s="11"/>
      <c r="BX312" s="11"/>
      <c r="BY312" s="11"/>
      <c r="BZ312" s="11"/>
    </row>
    <row r="313" ht="15.75" customHeight="1">
      <c r="BT313" s="14"/>
      <c r="BU313" s="14"/>
      <c r="BV313" s="11"/>
      <c r="BW313" s="11"/>
      <c r="BX313" s="11"/>
      <c r="BY313" s="11"/>
      <c r="BZ313" s="11"/>
    </row>
    <row r="314" ht="15.75" customHeight="1">
      <c r="BT314" s="14"/>
      <c r="BU314" s="14"/>
      <c r="BV314" s="11"/>
      <c r="BW314" s="11"/>
      <c r="BX314" s="11"/>
      <c r="BY314" s="11"/>
      <c r="BZ314" s="11"/>
    </row>
    <row r="315" ht="15.75" customHeight="1">
      <c r="BT315" s="14"/>
      <c r="BU315" s="14"/>
      <c r="BV315" s="11"/>
      <c r="BW315" s="11"/>
      <c r="BX315" s="11"/>
      <c r="BY315" s="11"/>
      <c r="BZ315" s="11"/>
    </row>
    <row r="316" ht="15.75" customHeight="1">
      <c r="BT316" s="14"/>
      <c r="BU316" s="14"/>
      <c r="BV316" s="11"/>
      <c r="BW316" s="11"/>
      <c r="BX316" s="11"/>
      <c r="BY316" s="11"/>
      <c r="BZ316" s="11"/>
    </row>
    <row r="317" ht="15.75" customHeight="1">
      <c r="BT317" s="14"/>
      <c r="BU317" s="14"/>
      <c r="BV317" s="11"/>
      <c r="BW317" s="11"/>
      <c r="BX317" s="11"/>
      <c r="BY317" s="11"/>
      <c r="BZ317" s="11"/>
    </row>
    <row r="318" ht="15.75" customHeight="1">
      <c r="BT318" s="14"/>
      <c r="BU318" s="14"/>
      <c r="BV318" s="11"/>
      <c r="BW318" s="11"/>
      <c r="BX318" s="11"/>
      <c r="BY318" s="11"/>
      <c r="BZ318" s="11"/>
    </row>
    <row r="319" ht="15.75" customHeight="1">
      <c r="BT319" s="14"/>
      <c r="BU319" s="14"/>
      <c r="BV319" s="11"/>
      <c r="BW319" s="11"/>
      <c r="BX319" s="11"/>
      <c r="BY319" s="11"/>
      <c r="BZ319" s="11"/>
    </row>
    <row r="320" ht="15.75" customHeight="1">
      <c r="BT320" s="14"/>
      <c r="BU320" s="14"/>
      <c r="BV320" s="11"/>
      <c r="BW320" s="11"/>
      <c r="BX320" s="11"/>
      <c r="BY320" s="11"/>
      <c r="BZ320" s="11"/>
    </row>
    <row r="321" ht="15.75" customHeight="1">
      <c r="BT321" s="14"/>
      <c r="BU321" s="14"/>
      <c r="BV321" s="11"/>
      <c r="BW321" s="11"/>
      <c r="BX321" s="11"/>
      <c r="BY321" s="11"/>
      <c r="BZ321" s="11"/>
    </row>
    <row r="322" ht="15.75" customHeight="1">
      <c r="BT322" s="14"/>
      <c r="BU322" s="14"/>
      <c r="BV322" s="11"/>
      <c r="BW322" s="11"/>
      <c r="BX322" s="11"/>
      <c r="BY322" s="11"/>
      <c r="BZ322" s="11"/>
    </row>
    <row r="323" ht="15.75" customHeight="1">
      <c r="BT323" s="14"/>
      <c r="BU323" s="14"/>
      <c r="BV323" s="11"/>
      <c r="BW323" s="11"/>
      <c r="BX323" s="11"/>
      <c r="BY323" s="11"/>
      <c r="BZ323" s="11"/>
    </row>
    <row r="324" ht="15.75" customHeight="1">
      <c r="BT324" s="14"/>
      <c r="BU324" s="14"/>
      <c r="BV324" s="11"/>
      <c r="BW324" s="11"/>
      <c r="BX324" s="11"/>
      <c r="BY324" s="11"/>
      <c r="BZ324" s="11"/>
    </row>
    <row r="325" ht="15.75" customHeight="1">
      <c r="BT325" s="14"/>
      <c r="BU325" s="14"/>
      <c r="BV325" s="11"/>
      <c r="BW325" s="11"/>
      <c r="BX325" s="11"/>
      <c r="BY325" s="11"/>
      <c r="BZ325" s="11"/>
    </row>
    <row r="326" ht="15.75" customHeight="1">
      <c r="BT326" s="14"/>
      <c r="BU326" s="14"/>
      <c r="BV326" s="11"/>
      <c r="BW326" s="11"/>
      <c r="BX326" s="11"/>
      <c r="BY326" s="11"/>
      <c r="BZ326" s="11"/>
    </row>
    <row r="327" ht="15.75" customHeight="1">
      <c r="BT327" s="14"/>
      <c r="BU327" s="14"/>
      <c r="BV327" s="11"/>
      <c r="BW327" s="11"/>
      <c r="BX327" s="11"/>
      <c r="BY327" s="11"/>
      <c r="BZ327" s="11"/>
    </row>
    <row r="328" ht="15.75" customHeight="1">
      <c r="BT328" s="14"/>
      <c r="BU328" s="14"/>
      <c r="BV328" s="11"/>
      <c r="BW328" s="11"/>
      <c r="BX328" s="11"/>
      <c r="BY328" s="11"/>
      <c r="BZ328" s="11"/>
    </row>
    <row r="329" ht="15.75" customHeight="1">
      <c r="BT329" s="14"/>
      <c r="BU329" s="14"/>
      <c r="BV329" s="11"/>
      <c r="BW329" s="11"/>
      <c r="BX329" s="11"/>
      <c r="BY329" s="11"/>
      <c r="BZ329" s="11"/>
    </row>
    <row r="330" ht="15.75" customHeight="1">
      <c r="BT330" s="14"/>
      <c r="BU330" s="14"/>
      <c r="BV330" s="11"/>
      <c r="BW330" s="11"/>
      <c r="BX330" s="11"/>
      <c r="BY330" s="11"/>
      <c r="BZ330" s="11"/>
    </row>
    <row r="331" ht="15.75" customHeight="1">
      <c r="BT331" s="14"/>
      <c r="BU331" s="14"/>
      <c r="BV331" s="11"/>
      <c r="BW331" s="11"/>
      <c r="BX331" s="11"/>
      <c r="BY331" s="11"/>
      <c r="BZ331" s="11"/>
    </row>
    <row r="332" ht="15.75" customHeight="1">
      <c r="BT332" s="14"/>
      <c r="BU332" s="14"/>
      <c r="BV332" s="11"/>
      <c r="BW332" s="11"/>
      <c r="BX332" s="11"/>
      <c r="BY332" s="11"/>
      <c r="BZ332" s="11"/>
    </row>
    <row r="333" ht="15.75" customHeight="1">
      <c r="BT333" s="14"/>
      <c r="BU333" s="14"/>
      <c r="BV333" s="11"/>
      <c r="BW333" s="11"/>
      <c r="BX333" s="11"/>
      <c r="BY333" s="11"/>
      <c r="BZ333" s="11"/>
    </row>
    <row r="334" ht="15.75" customHeight="1">
      <c r="BT334" s="14"/>
      <c r="BU334" s="14"/>
      <c r="BV334" s="11"/>
      <c r="BW334" s="11"/>
      <c r="BX334" s="11"/>
      <c r="BY334" s="11"/>
      <c r="BZ334" s="11"/>
    </row>
    <row r="335" ht="15.75" customHeight="1">
      <c r="BT335" s="14"/>
      <c r="BU335" s="14"/>
      <c r="BV335" s="11"/>
      <c r="BW335" s="11"/>
      <c r="BX335" s="11"/>
      <c r="BY335" s="11"/>
      <c r="BZ335" s="11"/>
    </row>
    <row r="336" ht="15.75" customHeight="1">
      <c r="BT336" s="14"/>
      <c r="BU336" s="14"/>
      <c r="BV336" s="11"/>
      <c r="BW336" s="11"/>
      <c r="BX336" s="11"/>
      <c r="BY336" s="11"/>
      <c r="BZ336" s="11"/>
    </row>
    <row r="337" ht="15.75" customHeight="1">
      <c r="BT337" s="14"/>
      <c r="BU337" s="14"/>
      <c r="BV337" s="11"/>
      <c r="BW337" s="11"/>
      <c r="BX337" s="11"/>
      <c r="BY337" s="11"/>
      <c r="BZ337" s="11"/>
    </row>
    <row r="338" ht="15.75" customHeight="1">
      <c r="BT338" s="14"/>
      <c r="BU338" s="14"/>
      <c r="BV338" s="11"/>
      <c r="BW338" s="11"/>
      <c r="BX338" s="11"/>
      <c r="BY338" s="11"/>
      <c r="BZ338" s="11"/>
    </row>
    <row r="339" ht="15.75" customHeight="1">
      <c r="BT339" s="14"/>
      <c r="BU339" s="14"/>
      <c r="BV339" s="11"/>
      <c r="BW339" s="11"/>
      <c r="BX339" s="11"/>
      <c r="BY339" s="11"/>
      <c r="BZ339" s="11"/>
    </row>
    <row r="340" ht="15.75" customHeight="1">
      <c r="BT340" s="14"/>
      <c r="BU340" s="14"/>
      <c r="BV340" s="11"/>
      <c r="BW340" s="11"/>
      <c r="BX340" s="11"/>
      <c r="BY340" s="11"/>
      <c r="BZ340" s="11"/>
    </row>
    <row r="341" ht="15.75" customHeight="1">
      <c r="BT341" s="14"/>
      <c r="BU341" s="14"/>
      <c r="BV341" s="11"/>
      <c r="BW341" s="11"/>
      <c r="BX341" s="11"/>
      <c r="BY341" s="11"/>
      <c r="BZ341" s="11"/>
    </row>
    <row r="342" ht="15.75" customHeight="1">
      <c r="BT342" s="14"/>
      <c r="BU342" s="14"/>
      <c r="BV342" s="11"/>
      <c r="BW342" s="11"/>
      <c r="BX342" s="11"/>
      <c r="BY342" s="11"/>
      <c r="BZ342" s="11"/>
    </row>
    <row r="343" ht="15.75" customHeight="1">
      <c r="BT343" s="14"/>
      <c r="BU343" s="14"/>
      <c r="BV343" s="11"/>
      <c r="BW343" s="11"/>
      <c r="BX343" s="11"/>
      <c r="BY343" s="11"/>
      <c r="BZ343" s="11"/>
    </row>
    <row r="344" ht="15.75" customHeight="1">
      <c r="BT344" s="14"/>
      <c r="BU344" s="14"/>
      <c r="BV344" s="11"/>
      <c r="BW344" s="11"/>
      <c r="BX344" s="11"/>
      <c r="BY344" s="11"/>
      <c r="BZ344" s="11"/>
    </row>
    <row r="345" ht="15.75" customHeight="1">
      <c r="BT345" s="14"/>
      <c r="BU345" s="14"/>
      <c r="BV345" s="11"/>
      <c r="BW345" s="11"/>
      <c r="BX345" s="11"/>
      <c r="BY345" s="11"/>
      <c r="BZ345" s="11"/>
    </row>
    <row r="346" ht="15.75" customHeight="1">
      <c r="BT346" s="14"/>
      <c r="BU346" s="14"/>
      <c r="BV346" s="11"/>
      <c r="BW346" s="11"/>
      <c r="BX346" s="11"/>
      <c r="BY346" s="11"/>
      <c r="BZ346" s="11"/>
    </row>
    <row r="347" ht="15.75" customHeight="1">
      <c r="BT347" s="14"/>
      <c r="BU347" s="14"/>
      <c r="BV347" s="11"/>
      <c r="BW347" s="11"/>
      <c r="BX347" s="11"/>
      <c r="BY347" s="11"/>
      <c r="BZ347" s="11"/>
    </row>
    <row r="348" ht="15.75" customHeight="1">
      <c r="BT348" s="14"/>
      <c r="BU348" s="14"/>
      <c r="BV348" s="11"/>
      <c r="BW348" s="11"/>
      <c r="BX348" s="11"/>
      <c r="BY348" s="11"/>
      <c r="BZ348" s="11"/>
    </row>
    <row r="349" ht="15.75" customHeight="1">
      <c r="BT349" s="14"/>
      <c r="BU349" s="14"/>
      <c r="BV349" s="11"/>
      <c r="BW349" s="11"/>
      <c r="BX349" s="11"/>
      <c r="BY349" s="11"/>
      <c r="BZ349" s="11"/>
    </row>
    <row r="350" ht="15.75" customHeight="1">
      <c r="BT350" s="14"/>
      <c r="BU350" s="14"/>
      <c r="BV350" s="11"/>
      <c r="BW350" s="11"/>
      <c r="BX350" s="11"/>
      <c r="BY350" s="11"/>
      <c r="BZ350" s="11"/>
    </row>
    <row r="351" ht="15.75" customHeight="1">
      <c r="BT351" s="14"/>
      <c r="BU351" s="14"/>
      <c r="BV351" s="11"/>
      <c r="BW351" s="11"/>
      <c r="BX351" s="11"/>
      <c r="BY351" s="11"/>
      <c r="BZ351" s="11"/>
    </row>
    <row r="352" ht="15.75" customHeight="1">
      <c r="BT352" s="14"/>
      <c r="BU352" s="14"/>
      <c r="BV352" s="11"/>
      <c r="BW352" s="11"/>
      <c r="BX352" s="11"/>
      <c r="BY352" s="11"/>
      <c r="BZ352" s="11"/>
    </row>
    <row r="353" ht="15.75" customHeight="1">
      <c r="BT353" s="14"/>
      <c r="BU353" s="14"/>
      <c r="BV353" s="11"/>
      <c r="BW353" s="11"/>
      <c r="BX353" s="11"/>
      <c r="BY353" s="11"/>
      <c r="BZ353" s="11"/>
    </row>
    <row r="354" ht="15.75" customHeight="1">
      <c r="BT354" s="14"/>
      <c r="BU354" s="14"/>
      <c r="BV354" s="11"/>
      <c r="BW354" s="11"/>
      <c r="BX354" s="11"/>
      <c r="BY354" s="11"/>
      <c r="BZ354" s="11"/>
    </row>
    <row r="355" ht="15.75" customHeight="1">
      <c r="BT355" s="14"/>
      <c r="BU355" s="14"/>
      <c r="BV355" s="11"/>
      <c r="BW355" s="11"/>
      <c r="BX355" s="11"/>
      <c r="BY355" s="11"/>
      <c r="BZ355" s="11"/>
    </row>
    <row r="356" ht="15.75" customHeight="1">
      <c r="BT356" s="14"/>
      <c r="BU356" s="14"/>
      <c r="BV356" s="11"/>
      <c r="BW356" s="11"/>
      <c r="BX356" s="11"/>
      <c r="BY356" s="11"/>
      <c r="BZ356" s="11"/>
    </row>
    <row r="357" ht="15.75" customHeight="1">
      <c r="BT357" s="14"/>
      <c r="BU357" s="14"/>
      <c r="BV357" s="11"/>
      <c r="BW357" s="11"/>
      <c r="BX357" s="11"/>
      <c r="BY357" s="11"/>
      <c r="BZ357" s="11"/>
    </row>
    <row r="358" ht="15.75" customHeight="1">
      <c r="BT358" s="14"/>
      <c r="BU358" s="14"/>
      <c r="BV358" s="11"/>
      <c r="BW358" s="11"/>
      <c r="BX358" s="11"/>
      <c r="BY358" s="11"/>
      <c r="BZ358" s="11"/>
    </row>
    <row r="359" ht="15.75" customHeight="1">
      <c r="BT359" s="14"/>
      <c r="BU359" s="14"/>
      <c r="BV359" s="11"/>
      <c r="BW359" s="11"/>
      <c r="BX359" s="11"/>
      <c r="BY359" s="11"/>
      <c r="BZ359" s="11"/>
    </row>
    <row r="360" ht="15.75" customHeight="1">
      <c r="BT360" s="14"/>
      <c r="BU360" s="14"/>
      <c r="BV360" s="11"/>
      <c r="BW360" s="11"/>
      <c r="BX360" s="11"/>
      <c r="BY360" s="11"/>
      <c r="BZ360" s="11"/>
    </row>
    <row r="361" ht="15.75" customHeight="1">
      <c r="BT361" s="14"/>
      <c r="BU361" s="14"/>
      <c r="BV361" s="11"/>
      <c r="BW361" s="11"/>
      <c r="BX361" s="11"/>
      <c r="BY361" s="11"/>
      <c r="BZ361" s="11"/>
    </row>
    <row r="362" ht="15.75" customHeight="1">
      <c r="BT362" s="14"/>
      <c r="BU362" s="14"/>
      <c r="BV362" s="11"/>
      <c r="BW362" s="11"/>
      <c r="BX362" s="11"/>
      <c r="BY362" s="11"/>
      <c r="BZ362" s="11"/>
    </row>
    <row r="363" ht="15.75" customHeight="1">
      <c r="BT363" s="14"/>
      <c r="BU363" s="14"/>
      <c r="BV363" s="11"/>
      <c r="BW363" s="11"/>
      <c r="BX363" s="11"/>
      <c r="BY363" s="11"/>
      <c r="BZ363" s="11"/>
    </row>
    <row r="364" ht="15.75" customHeight="1">
      <c r="BT364" s="14"/>
      <c r="BU364" s="14"/>
      <c r="BV364" s="11"/>
      <c r="BW364" s="11"/>
      <c r="BX364" s="11"/>
      <c r="BY364" s="11"/>
      <c r="BZ364" s="11"/>
    </row>
    <row r="365" ht="15.75" customHeight="1">
      <c r="BT365" s="14"/>
      <c r="BU365" s="14"/>
      <c r="BV365" s="11"/>
      <c r="BW365" s="11"/>
      <c r="BX365" s="11"/>
      <c r="BY365" s="11"/>
      <c r="BZ365" s="11"/>
    </row>
    <row r="366" ht="15.75" customHeight="1">
      <c r="BT366" s="14"/>
      <c r="BU366" s="14"/>
      <c r="BV366" s="11"/>
      <c r="BW366" s="11"/>
      <c r="BX366" s="11"/>
      <c r="BY366" s="11"/>
      <c r="BZ366" s="11"/>
    </row>
    <row r="367" ht="15.75" customHeight="1">
      <c r="BT367" s="14"/>
      <c r="BU367" s="14"/>
      <c r="BV367" s="11"/>
      <c r="BW367" s="11"/>
      <c r="BX367" s="11"/>
      <c r="BY367" s="11"/>
      <c r="BZ367" s="11"/>
    </row>
    <row r="368" ht="15.75" customHeight="1">
      <c r="BT368" s="14"/>
      <c r="BU368" s="14"/>
      <c r="BV368" s="11"/>
      <c r="BW368" s="11"/>
      <c r="BX368" s="11"/>
      <c r="BY368" s="11"/>
      <c r="BZ368" s="11"/>
    </row>
    <row r="369" ht="15.75" customHeight="1">
      <c r="BT369" s="14"/>
      <c r="BU369" s="14"/>
      <c r="BV369" s="11"/>
      <c r="BW369" s="11"/>
      <c r="BX369" s="11"/>
      <c r="BY369" s="11"/>
      <c r="BZ369" s="11"/>
    </row>
    <row r="370" ht="15.75" customHeight="1">
      <c r="BT370" s="14"/>
      <c r="BU370" s="14"/>
      <c r="BV370" s="11"/>
      <c r="BW370" s="11"/>
      <c r="BX370" s="11"/>
      <c r="BY370" s="11"/>
      <c r="BZ370" s="11"/>
    </row>
    <row r="371" ht="15.75" customHeight="1">
      <c r="BT371" s="14"/>
      <c r="BU371" s="14"/>
      <c r="BV371" s="11"/>
      <c r="BW371" s="11"/>
      <c r="BX371" s="11"/>
      <c r="BY371" s="11"/>
      <c r="BZ371" s="11"/>
    </row>
    <row r="372" ht="15.75" customHeight="1">
      <c r="BT372" s="14"/>
      <c r="BU372" s="14"/>
      <c r="BV372" s="11"/>
      <c r="BW372" s="11"/>
      <c r="BX372" s="11"/>
      <c r="BY372" s="11"/>
      <c r="BZ372" s="11"/>
    </row>
    <row r="373" ht="15.75" customHeight="1">
      <c r="BT373" s="14"/>
      <c r="BU373" s="14"/>
      <c r="BV373" s="11"/>
      <c r="BW373" s="11"/>
      <c r="BX373" s="11"/>
      <c r="BY373" s="11"/>
      <c r="BZ373" s="11"/>
    </row>
    <row r="374" ht="15.75" customHeight="1">
      <c r="BT374" s="14"/>
      <c r="BU374" s="14"/>
      <c r="BV374" s="11"/>
      <c r="BW374" s="11"/>
      <c r="BX374" s="11"/>
      <c r="BY374" s="11"/>
      <c r="BZ374" s="11"/>
    </row>
    <row r="375" ht="15.75" customHeight="1">
      <c r="BT375" s="14"/>
      <c r="BU375" s="14"/>
      <c r="BV375" s="11"/>
      <c r="BW375" s="11"/>
      <c r="BX375" s="11"/>
      <c r="BY375" s="11"/>
      <c r="BZ375" s="11"/>
    </row>
    <row r="376" ht="15.75" customHeight="1">
      <c r="BT376" s="14"/>
      <c r="BU376" s="14"/>
      <c r="BV376" s="11"/>
      <c r="BW376" s="11"/>
      <c r="BX376" s="11"/>
      <c r="BY376" s="11"/>
      <c r="BZ376" s="11"/>
    </row>
    <row r="377" ht="15.75" customHeight="1">
      <c r="BT377" s="14"/>
      <c r="BU377" s="14"/>
      <c r="BV377" s="11"/>
      <c r="BW377" s="11"/>
      <c r="BX377" s="11"/>
      <c r="BY377" s="11"/>
      <c r="BZ377" s="11"/>
    </row>
    <row r="378" ht="15.75" customHeight="1">
      <c r="BT378" s="14"/>
      <c r="BU378" s="14"/>
      <c r="BV378" s="11"/>
      <c r="BW378" s="11"/>
      <c r="BX378" s="11"/>
      <c r="BY378" s="11"/>
      <c r="BZ378" s="11"/>
    </row>
    <row r="379" ht="15.75" customHeight="1">
      <c r="BT379" s="14"/>
      <c r="BU379" s="14"/>
      <c r="BV379" s="11"/>
      <c r="BW379" s="11"/>
      <c r="BX379" s="11"/>
      <c r="BY379" s="11"/>
      <c r="BZ379" s="11"/>
    </row>
    <row r="380" ht="15.75" customHeight="1">
      <c r="BT380" s="14"/>
      <c r="BU380" s="14"/>
      <c r="BV380" s="11"/>
      <c r="BW380" s="11"/>
      <c r="BX380" s="11"/>
      <c r="BY380" s="11"/>
      <c r="BZ380" s="11"/>
    </row>
    <row r="381" ht="15.75" customHeight="1">
      <c r="BT381" s="14"/>
      <c r="BU381" s="14"/>
      <c r="BV381" s="11"/>
      <c r="BW381" s="11"/>
      <c r="BX381" s="11"/>
      <c r="BY381" s="11"/>
      <c r="BZ381" s="11"/>
    </row>
    <row r="382" ht="15.75" customHeight="1">
      <c r="BT382" s="14"/>
      <c r="BU382" s="14"/>
      <c r="BV382" s="11"/>
      <c r="BW382" s="11"/>
      <c r="BX382" s="11"/>
      <c r="BY382" s="11"/>
      <c r="BZ382" s="11"/>
    </row>
    <row r="383" ht="15.75" customHeight="1">
      <c r="BT383" s="14"/>
      <c r="BU383" s="14"/>
      <c r="BV383" s="11"/>
      <c r="BW383" s="11"/>
      <c r="BX383" s="11"/>
      <c r="BY383" s="11"/>
      <c r="BZ383" s="11"/>
    </row>
    <row r="384" ht="15.75" customHeight="1">
      <c r="BT384" s="14"/>
      <c r="BU384" s="14"/>
      <c r="BV384" s="11"/>
      <c r="BW384" s="11"/>
      <c r="BX384" s="11"/>
      <c r="BY384" s="11"/>
      <c r="BZ384" s="11"/>
    </row>
    <row r="385" ht="15.75" customHeight="1">
      <c r="BT385" s="14"/>
      <c r="BU385" s="14"/>
      <c r="BV385" s="11"/>
      <c r="BW385" s="11"/>
      <c r="BX385" s="11"/>
      <c r="BY385" s="11"/>
      <c r="BZ385" s="11"/>
    </row>
    <row r="386" ht="15.75" customHeight="1">
      <c r="BT386" s="14"/>
      <c r="BU386" s="14"/>
      <c r="BV386" s="11"/>
      <c r="BW386" s="11"/>
      <c r="BX386" s="11"/>
      <c r="BY386" s="11"/>
      <c r="BZ386" s="11"/>
    </row>
    <row r="387" ht="15.75" customHeight="1">
      <c r="BT387" s="14"/>
      <c r="BU387" s="14"/>
      <c r="BV387" s="11"/>
      <c r="BW387" s="11"/>
      <c r="BX387" s="11"/>
      <c r="BY387" s="11"/>
      <c r="BZ387" s="11"/>
    </row>
    <row r="388" ht="15.75" customHeight="1">
      <c r="BT388" s="14"/>
      <c r="BU388" s="14"/>
      <c r="BV388" s="11"/>
      <c r="BW388" s="11"/>
      <c r="BX388" s="11"/>
      <c r="BY388" s="11"/>
      <c r="BZ388" s="11"/>
    </row>
    <row r="389" ht="15.75" customHeight="1">
      <c r="BT389" s="14"/>
      <c r="BU389" s="14"/>
      <c r="BV389" s="11"/>
      <c r="BW389" s="11"/>
      <c r="BX389" s="11"/>
      <c r="BY389" s="11"/>
      <c r="BZ389" s="11"/>
    </row>
    <row r="390" ht="15.75" customHeight="1">
      <c r="BT390" s="14"/>
      <c r="BU390" s="14"/>
      <c r="BV390" s="11"/>
      <c r="BW390" s="11"/>
      <c r="BX390" s="11"/>
      <c r="BY390" s="11"/>
      <c r="BZ390" s="11"/>
    </row>
    <row r="391" ht="15.75" customHeight="1">
      <c r="BT391" s="14"/>
      <c r="BU391" s="14"/>
      <c r="BV391" s="11"/>
      <c r="BW391" s="11"/>
      <c r="BX391" s="11"/>
      <c r="BY391" s="11"/>
      <c r="BZ391" s="11"/>
    </row>
    <row r="392" ht="15.75" customHeight="1">
      <c r="BT392" s="14"/>
      <c r="BU392" s="14"/>
      <c r="BV392" s="11"/>
      <c r="BW392" s="11"/>
      <c r="BX392" s="11"/>
      <c r="BY392" s="11"/>
      <c r="BZ392" s="11"/>
    </row>
    <row r="393" ht="15.75" customHeight="1">
      <c r="BT393" s="14"/>
      <c r="BU393" s="14"/>
      <c r="BV393" s="11"/>
      <c r="BW393" s="11"/>
      <c r="BX393" s="11"/>
      <c r="BY393" s="11"/>
      <c r="BZ393" s="11"/>
    </row>
    <row r="394" ht="15.75" customHeight="1">
      <c r="BT394" s="14"/>
      <c r="BU394" s="14"/>
      <c r="BV394" s="11"/>
      <c r="BW394" s="11"/>
      <c r="BX394" s="11"/>
      <c r="BY394" s="11"/>
      <c r="BZ394" s="11"/>
    </row>
    <row r="395" ht="15.75" customHeight="1">
      <c r="BT395" s="14"/>
      <c r="BU395" s="14"/>
      <c r="BV395" s="11"/>
      <c r="BW395" s="11"/>
      <c r="BX395" s="11"/>
      <c r="BY395" s="11"/>
      <c r="BZ395" s="11"/>
    </row>
    <row r="396" ht="15.75" customHeight="1">
      <c r="BT396" s="14"/>
      <c r="BU396" s="14"/>
      <c r="BV396" s="11"/>
      <c r="BW396" s="11"/>
      <c r="BX396" s="11"/>
      <c r="BY396" s="11"/>
      <c r="BZ396" s="11"/>
    </row>
    <row r="397" ht="15.75" customHeight="1">
      <c r="BT397" s="14"/>
      <c r="BU397" s="14"/>
      <c r="BV397" s="11"/>
      <c r="BW397" s="11"/>
      <c r="BX397" s="11"/>
      <c r="BY397" s="11"/>
      <c r="BZ397" s="11"/>
    </row>
    <row r="398" ht="15.75" customHeight="1">
      <c r="BT398" s="14"/>
      <c r="BU398" s="14"/>
      <c r="BV398" s="11"/>
      <c r="BW398" s="11"/>
      <c r="BX398" s="11"/>
      <c r="BY398" s="11"/>
      <c r="BZ398" s="11"/>
    </row>
    <row r="399" ht="15.75" customHeight="1">
      <c r="BT399" s="14"/>
      <c r="BU399" s="14"/>
      <c r="BV399" s="11"/>
      <c r="BW399" s="11"/>
      <c r="BX399" s="11"/>
      <c r="BY399" s="11"/>
      <c r="BZ399" s="11"/>
    </row>
    <row r="400" ht="15.75" customHeight="1">
      <c r="BT400" s="14"/>
      <c r="BU400" s="14"/>
      <c r="BV400" s="11"/>
      <c r="BW400" s="11"/>
      <c r="BX400" s="11"/>
      <c r="BY400" s="11"/>
      <c r="BZ400" s="11"/>
    </row>
    <row r="401" ht="15.75" customHeight="1">
      <c r="BT401" s="14"/>
      <c r="BU401" s="14"/>
      <c r="BV401" s="11"/>
      <c r="BW401" s="11"/>
      <c r="BX401" s="11"/>
      <c r="BY401" s="11"/>
      <c r="BZ401" s="11"/>
    </row>
    <row r="402" ht="15.75" customHeight="1">
      <c r="BT402" s="14"/>
      <c r="BU402" s="14"/>
      <c r="BV402" s="11"/>
      <c r="BW402" s="11"/>
      <c r="BX402" s="11"/>
      <c r="BY402" s="11"/>
      <c r="BZ402" s="11"/>
    </row>
    <row r="403" ht="15.75" customHeight="1">
      <c r="BT403" s="14"/>
      <c r="BU403" s="14"/>
      <c r="BV403" s="11"/>
      <c r="BW403" s="11"/>
      <c r="BX403" s="11"/>
      <c r="BY403" s="11"/>
      <c r="BZ403" s="11"/>
    </row>
    <row r="404" ht="15.75" customHeight="1">
      <c r="BT404" s="14"/>
      <c r="BU404" s="14"/>
      <c r="BV404" s="11"/>
      <c r="BW404" s="11"/>
      <c r="BX404" s="11"/>
      <c r="BY404" s="11"/>
      <c r="BZ404" s="11"/>
    </row>
    <row r="405" ht="15.75" customHeight="1">
      <c r="BT405" s="14"/>
      <c r="BU405" s="14"/>
      <c r="BV405" s="11"/>
      <c r="BW405" s="11"/>
      <c r="BX405" s="11"/>
      <c r="BY405" s="11"/>
      <c r="BZ405" s="11"/>
    </row>
    <row r="406" ht="15.75" customHeight="1">
      <c r="BT406" s="14"/>
      <c r="BU406" s="14"/>
      <c r="BV406" s="11"/>
      <c r="BW406" s="11"/>
      <c r="BX406" s="11"/>
      <c r="BY406" s="11"/>
      <c r="BZ406" s="11"/>
    </row>
    <row r="407" ht="15.75" customHeight="1">
      <c r="BT407" s="14"/>
      <c r="BU407" s="14"/>
      <c r="BV407" s="11"/>
      <c r="BW407" s="11"/>
      <c r="BX407" s="11"/>
      <c r="BY407" s="11"/>
      <c r="BZ407" s="11"/>
    </row>
    <row r="408" ht="15.75" customHeight="1">
      <c r="BT408" s="14"/>
      <c r="BU408" s="14"/>
      <c r="BV408" s="11"/>
      <c r="BW408" s="11"/>
      <c r="BX408" s="11"/>
      <c r="BY408" s="11"/>
      <c r="BZ408" s="11"/>
    </row>
    <row r="409" ht="15.75" customHeight="1">
      <c r="BT409" s="14"/>
      <c r="BU409" s="14"/>
      <c r="BV409" s="11"/>
      <c r="BW409" s="11"/>
      <c r="BX409" s="11"/>
      <c r="BY409" s="11"/>
      <c r="BZ409" s="11"/>
    </row>
    <row r="410" ht="15.75" customHeight="1">
      <c r="BT410" s="14"/>
      <c r="BU410" s="14"/>
      <c r="BV410" s="11"/>
      <c r="BW410" s="11"/>
      <c r="BX410" s="11"/>
      <c r="BY410" s="11"/>
      <c r="BZ410" s="11"/>
    </row>
    <row r="411" ht="15.75" customHeight="1">
      <c r="BT411" s="14"/>
      <c r="BU411" s="14"/>
      <c r="BV411" s="11"/>
      <c r="BW411" s="11"/>
      <c r="BX411" s="11"/>
      <c r="BY411" s="11"/>
      <c r="BZ411" s="11"/>
    </row>
    <row r="412" ht="15.75" customHeight="1">
      <c r="BT412" s="14"/>
      <c r="BU412" s="14"/>
      <c r="BV412" s="11"/>
      <c r="BW412" s="11"/>
      <c r="BX412" s="11"/>
      <c r="BY412" s="11"/>
      <c r="BZ412" s="11"/>
    </row>
    <row r="413" ht="15.75" customHeight="1">
      <c r="BT413" s="14"/>
      <c r="BU413" s="14"/>
      <c r="BV413" s="11"/>
      <c r="BW413" s="11"/>
      <c r="BX413" s="11"/>
      <c r="BY413" s="11"/>
      <c r="BZ413" s="11"/>
    </row>
    <row r="414" ht="15.75" customHeight="1">
      <c r="BT414" s="14"/>
      <c r="BU414" s="14"/>
      <c r="BV414" s="11"/>
      <c r="BW414" s="11"/>
      <c r="BX414" s="11"/>
      <c r="BY414" s="11"/>
      <c r="BZ414" s="11"/>
    </row>
    <row r="415" ht="15.75" customHeight="1">
      <c r="BT415" s="14"/>
      <c r="BU415" s="14"/>
      <c r="BV415" s="11"/>
      <c r="BW415" s="11"/>
      <c r="BX415" s="11"/>
      <c r="BY415" s="11"/>
      <c r="BZ415" s="11"/>
    </row>
    <row r="416" ht="15.75" customHeight="1">
      <c r="BT416" s="14"/>
      <c r="BU416" s="14"/>
      <c r="BV416" s="11"/>
      <c r="BW416" s="11"/>
      <c r="BX416" s="11"/>
      <c r="BY416" s="11"/>
      <c r="BZ416" s="11"/>
    </row>
    <row r="417" ht="15.75" customHeight="1">
      <c r="BT417" s="14"/>
      <c r="BU417" s="14"/>
      <c r="BV417" s="11"/>
      <c r="BW417" s="11"/>
      <c r="BX417" s="11"/>
      <c r="BY417" s="11"/>
      <c r="BZ417" s="11"/>
    </row>
    <row r="418" ht="15.75" customHeight="1">
      <c r="BT418" s="14"/>
      <c r="BU418" s="14"/>
      <c r="BV418" s="11"/>
      <c r="BW418" s="11"/>
      <c r="BX418" s="11"/>
      <c r="BY418" s="11"/>
      <c r="BZ418" s="11"/>
    </row>
    <row r="419" ht="15.75" customHeight="1">
      <c r="BT419" s="14"/>
      <c r="BU419" s="14"/>
      <c r="BV419" s="11"/>
      <c r="BW419" s="11"/>
      <c r="BX419" s="11"/>
      <c r="BY419" s="11"/>
      <c r="BZ419" s="11"/>
    </row>
    <row r="420" ht="15.75" customHeight="1">
      <c r="BT420" s="14"/>
      <c r="BU420" s="14"/>
      <c r="BV420" s="11"/>
      <c r="BW420" s="11"/>
      <c r="BX420" s="11"/>
      <c r="BY420" s="11"/>
      <c r="BZ420" s="11"/>
    </row>
    <row r="421" ht="15.75" customHeight="1">
      <c r="BT421" s="14"/>
      <c r="BU421" s="14"/>
      <c r="BV421" s="11"/>
      <c r="BW421" s="11"/>
      <c r="BX421" s="11"/>
      <c r="BY421" s="11"/>
      <c r="BZ421" s="11"/>
    </row>
    <row r="422" ht="15.75" customHeight="1">
      <c r="BT422" s="14"/>
      <c r="BU422" s="14"/>
      <c r="BV422" s="11"/>
      <c r="BW422" s="11"/>
      <c r="BX422" s="11"/>
      <c r="BY422" s="11"/>
      <c r="BZ422" s="11"/>
    </row>
    <row r="423" ht="15.75" customHeight="1">
      <c r="BT423" s="14"/>
      <c r="BU423" s="14"/>
      <c r="BV423" s="11"/>
      <c r="BW423" s="11"/>
      <c r="BX423" s="11"/>
      <c r="BY423" s="11"/>
      <c r="BZ423" s="11"/>
    </row>
    <row r="424" ht="15.75" customHeight="1">
      <c r="BT424" s="14"/>
      <c r="BU424" s="14"/>
      <c r="BV424" s="11"/>
      <c r="BW424" s="11"/>
      <c r="BX424" s="11"/>
      <c r="BY424" s="11"/>
      <c r="BZ424" s="11"/>
    </row>
    <row r="425" ht="15.75" customHeight="1">
      <c r="BT425" s="14"/>
      <c r="BU425" s="14"/>
      <c r="BV425" s="11"/>
      <c r="BW425" s="11"/>
      <c r="BX425" s="11"/>
      <c r="BY425" s="11"/>
      <c r="BZ425" s="11"/>
    </row>
    <row r="426" ht="15.75" customHeight="1">
      <c r="BT426" s="14"/>
      <c r="BU426" s="14"/>
      <c r="BV426" s="11"/>
      <c r="BW426" s="11"/>
      <c r="BX426" s="11"/>
      <c r="BY426" s="11"/>
      <c r="BZ426" s="11"/>
    </row>
    <row r="427" ht="15.75" customHeight="1">
      <c r="BT427" s="14"/>
      <c r="BU427" s="14"/>
      <c r="BV427" s="11"/>
      <c r="BW427" s="11"/>
      <c r="BX427" s="11"/>
      <c r="BY427" s="11"/>
      <c r="BZ427" s="11"/>
    </row>
    <row r="428" ht="15.75" customHeight="1">
      <c r="BT428" s="14"/>
      <c r="BU428" s="14"/>
      <c r="BV428" s="11"/>
      <c r="BW428" s="11"/>
      <c r="BX428" s="11"/>
      <c r="BY428" s="11"/>
      <c r="BZ428" s="11"/>
    </row>
    <row r="429" ht="15.75" customHeight="1">
      <c r="BT429" s="14"/>
      <c r="BU429" s="14"/>
      <c r="BV429" s="11"/>
      <c r="BW429" s="11"/>
      <c r="BX429" s="11"/>
      <c r="BY429" s="11"/>
      <c r="BZ429" s="11"/>
    </row>
    <row r="430" ht="15.75" customHeight="1">
      <c r="BT430" s="14"/>
      <c r="BU430" s="14"/>
      <c r="BV430" s="11"/>
      <c r="BW430" s="11"/>
      <c r="BX430" s="11"/>
      <c r="BY430" s="11"/>
      <c r="BZ430" s="11"/>
    </row>
    <row r="431" ht="15.75" customHeight="1">
      <c r="BT431" s="14"/>
      <c r="BU431" s="14"/>
      <c r="BV431" s="11"/>
      <c r="BW431" s="11"/>
      <c r="BX431" s="11"/>
      <c r="BY431" s="11"/>
      <c r="BZ431" s="11"/>
    </row>
    <row r="432" ht="15.75" customHeight="1">
      <c r="BT432" s="14"/>
      <c r="BU432" s="14"/>
      <c r="BV432" s="11"/>
      <c r="BW432" s="11"/>
      <c r="BX432" s="11"/>
      <c r="BY432" s="11"/>
      <c r="BZ432" s="11"/>
    </row>
    <row r="433" ht="15.75" customHeight="1">
      <c r="BT433" s="14"/>
      <c r="BU433" s="14"/>
      <c r="BV433" s="11"/>
      <c r="BW433" s="11"/>
      <c r="BX433" s="11"/>
      <c r="BY433" s="11"/>
      <c r="BZ433" s="11"/>
    </row>
    <row r="434" ht="15.75" customHeight="1">
      <c r="BT434" s="14"/>
      <c r="BU434" s="14"/>
      <c r="BV434" s="11"/>
      <c r="BW434" s="11"/>
      <c r="BX434" s="11"/>
      <c r="BY434" s="11"/>
      <c r="BZ434" s="11"/>
    </row>
    <row r="435" ht="15.75" customHeight="1">
      <c r="BT435" s="14"/>
      <c r="BU435" s="14"/>
      <c r="BV435" s="11"/>
      <c r="BW435" s="11"/>
      <c r="BX435" s="11"/>
      <c r="BY435" s="11"/>
      <c r="BZ435" s="11"/>
    </row>
    <row r="436" ht="15.75" customHeight="1">
      <c r="BT436" s="14"/>
      <c r="BU436" s="14"/>
      <c r="BV436" s="11"/>
      <c r="BW436" s="11"/>
      <c r="BX436" s="11"/>
      <c r="BY436" s="11"/>
      <c r="BZ436" s="11"/>
    </row>
    <row r="437" ht="15.75" customHeight="1">
      <c r="BT437" s="14"/>
      <c r="BU437" s="14"/>
      <c r="BV437" s="11"/>
      <c r="BW437" s="11"/>
      <c r="BX437" s="11"/>
      <c r="BY437" s="11"/>
      <c r="BZ437" s="11"/>
    </row>
    <row r="438" ht="15.75" customHeight="1">
      <c r="BT438" s="14"/>
      <c r="BU438" s="14"/>
      <c r="BV438" s="11"/>
      <c r="BW438" s="11"/>
      <c r="BX438" s="11"/>
      <c r="BY438" s="11"/>
      <c r="BZ438" s="11"/>
    </row>
    <row r="439" ht="15.75" customHeight="1">
      <c r="BT439" s="14"/>
      <c r="BU439" s="14"/>
      <c r="BV439" s="11"/>
      <c r="BW439" s="11"/>
      <c r="BX439" s="11"/>
      <c r="BY439" s="11"/>
      <c r="BZ439" s="11"/>
    </row>
    <row r="440" ht="15.75" customHeight="1">
      <c r="BT440" s="14"/>
      <c r="BU440" s="14"/>
      <c r="BV440" s="11"/>
      <c r="BW440" s="11"/>
      <c r="BX440" s="11"/>
      <c r="BY440" s="11"/>
      <c r="BZ440" s="11"/>
    </row>
    <row r="441" ht="15.75" customHeight="1">
      <c r="BT441" s="14"/>
      <c r="BU441" s="14"/>
      <c r="BV441" s="11"/>
      <c r="BW441" s="11"/>
      <c r="BX441" s="11"/>
      <c r="BY441" s="11"/>
      <c r="BZ441" s="11"/>
    </row>
    <row r="442" ht="15.75" customHeight="1">
      <c r="BT442" s="14"/>
      <c r="BU442" s="14"/>
      <c r="BV442" s="11"/>
      <c r="BW442" s="11"/>
      <c r="BX442" s="11"/>
      <c r="BY442" s="11"/>
      <c r="BZ442" s="11"/>
    </row>
    <row r="443" ht="15.75" customHeight="1">
      <c r="BT443" s="14"/>
      <c r="BU443" s="14"/>
      <c r="BV443" s="11"/>
      <c r="BW443" s="11"/>
      <c r="BX443" s="11"/>
      <c r="BY443" s="11"/>
      <c r="BZ443" s="11"/>
    </row>
    <row r="444" ht="15.75" customHeight="1">
      <c r="BT444" s="14"/>
      <c r="BU444" s="14"/>
      <c r="BV444" s="11"/>
      <c r="BW444" s="11"/>
      <c r="BX444" s="11"/>
      <c r="BY444" s="11"/>
      <c r="BZ444" s="11"/>
    </row>
    <row r="445" ht="15.75" customHeight="1">
      <c r="BT445" s="14"/>
      <c r="BU445" s="14"/>
      <c r="BV445" s="11"/>
      <c r="BW445" s="11"/>
      <c r="BX445" s="11"/>
      <c r="BY445" s="11"/>
      <c r="BZ445" s="11"/>
    </row>
    <row r="446" ht="15.75" customHeight="1">
      <c r="BT446" s="14"/>
      <c r="BU446" s="14"/>
      <c r="BV446" s="11"/>
      <c r="BW446" s="11"/>
      <c r="BX446" s="11"/>
      <c r="BY446" s="11"/>
      <c r="BZ446" s="11"/>
    </row>
    <row r="447" ht="15.75" customHeight="1">
      <c r="BT447" s="14"/>
      <c r="BU447" s="14"/>
      <c r="BV447" s="11"/>
      <c r="BW447" s="11"/>
      <c r="BX447" s="11"/>
      <c r="BY447" s="11"/>
      <c r="BZ447" s="11"/>
    </row>
    <row r="448" ht="15.75" customHeight="1">
      <c r="BT448" s="14"/>
      <c r="BU448" s="14"/>
      <c r="BV448" s="11"/>
      <c r="BW448" s="11"/>
      <c r="BX448" s="11"/>
      <c r="BY448" s="11"/>
      <c r="BZ448" s="11"/>
    </row>
    <row r="449" ht="15.75" customHeight="1">
      <c r="BT449" s="14"/>
      <c r="BU449" s="14"/>
      <c r="BV449" s="11"/>
      <c r="BW449" s="11"/>
      <c r="BX449" s="11"/>
      <c r="BY449" s="11"/>
      <c r="BZ449" s="11"/>
    </row>
    <row r="450" ht="15.75" customHeight="1">
      <c r="BT450" s="14"/>
      <c r="BU450" s="14"/>
      <c r="BV450" s="11"/>
      <c r="BW450" s="11"/>
      <c r="BX450" s="11"/>
      <c r="BY450" s="11"/>
      <c r="BZ450" s="11"/>
    </row>
    <row r="451" ht="15.75" customHeight="1">
      <c r="BT451" s="14"/>
      <c r="BU451" s="14"/>
      <c r="BV451" s="11"/>
      <c r="BW451" s="11"/>
      <c r="BX451" s="11"/>
      <c r="BY451" s="11"/>
      <c r="BZ451" s="11"/>
    </row>
    <row r="452" ht="15.75" customHeight="1">
      <c r="BT452" s="14"/>
      <c r="BU452" s="14"/>
      <c r="BV452" s="11"/>
      <c r="BW452" s="11"/>
      <c r="BX452" s="11"/>
      <c r="BY452" s="11"/>
      <c r="BZ452" s="11"/>
    </row>
    <row r="453" ht="15.75" customHeight="1">
      <c r="BT453" s="14"/>
      <c r="BU453" s="14"/>
      <c r="BV453" s="11"/>
      <c r="BW453" s="11"/>
      <c r="BX453" s="11"/>
      <c r="BY453" s="11"/>
      <c r="BZ453" s="11"/>
    </row>
    <row r="454" ht="15.75" customHeight="1">
      <c r="BT454" s="14"/>
      <c r="BU454" s="14"/>
      <c r="BV454" s="11"/>
      <c r="BW454" s="11"/>
      <c r="BX454" s="11"/>
      <c r="BY454" s="11"/>
      <c r="BZ454" s="11"/>
    </row>
    <row r="455" ht="15.75" customHeight="1">
      <c r="BT455" s="14"/>
      <c r="BU455" s="14"/>
      <c r="BV455" s="11"/>
      <c r="BW455" s="11"/>
      <c r="BX455" s="11"/>
      <c r="BY455" s="11"/>
      <c r="BZ455" s="11"/>
    </row>
    <row r="456" ht="15.75" customHeight="1">
      <c r="BT456" s="14"/>
      <c r="BU456" s="14"/>
      <c r="BV456" s="11"/>
      <c r="BW456" s="11"/>
      <c r="BX456" s="11"/>
      <c r="BY456" s="11"/>
      <c r="BZ456" s="11"/>
    </row>
    <row r="457" ht="15.75" customHeight="1">
      <c r="BT457" s="14"/>
      <c r="BU457" s="14"/>
      <c r="BV457" s="11"/>
      <c r="BW457" s="11"/>
      <c r="BX457" s="11"/>
      <c r="BY457" s="11"/>
      <c r="BZ457" s="11"/>
    </row>
    <row r="458" ht="15.75" customHeight="1">
      <c r="BT458" s="14"/>
      <c r="BU458" s="14"/>
      <c r="BV458" s="11"/>
      <c r="BW458" s="11"/>
      <c r="BX458" s="11"/>
      <c r="BY458" s="11"/>
      <c r="BZ458" s="11"/>
    </row>
    <row r="459" ht="15.75" customHeight="1">
      <c r="BT459" s="14"/>
      <c r="BU459" s="14"/>
      <c r="BV459" s="11"/>
      <c r="BW459" s="11"/>
      <c r="BX459" s="11"/>
      <c r="BY459" s="11"/>
      <c r="BZ459" s="11"/>
    </row>
    <row r="460" ht="15.75" customHeight="1">
      <c r="BT460" s="14"/>
      <c r="BU460" s="14"/>
      <c r="BV460" s="11"/>
      <c r="BW460" s="11"/>
      <c r="BX460" s="11"/>
      <c r="BY460" s="11"/>
      <c r="BZ460" s="11"/>
    </row>
    <row r="461" ht="15.75" customHeight="1">
      <c r="BT461" s="14"/>
      <c r="BU461" s="14"/>
      <c r="BV461" s="11"/>
      <c r="BW461" s="11"/>
      <c r="BX461" s="11"/>
      <c r="BY461" s="11"/>
      <c r="BZ461" s="11"/>
    </row>
    <row r="462" ht="15.75" customHeight="1">
      <c r="BT462" s="14"/>
      <c r="BU462" s="14"/>
      <c r="BV462" s="11"/>
      <c r="BW462" s="11"/>
      <c r="BX462" s="11"/>
      <c r="BY462" s="11"/>
      <c r="BZ462" s="11"/>
    </row>
    <row r="463" ht="15.75" customHeight="1">
      <c r="BT463" s="14"/>
      <c r="BU463" s="14"/>
      <c r="BV463" s="11"/>
      <c r="BW463" s="11"/>
      <c r="BX463" s="11"/>
      <c r="BY463" s="11"/>
      <c r="BZ463" s="11"/>
    </row>
    <row r="464" ht="15.75" customHeight="1">
      <c r="BT464" s="14"/>
      <c r="BU464" s="14"/>
      <c r="BV464" s="11"/>
      <c r="BW464" s="11"/>
      <c r="BX464" s="11"/>
      <c r="BY464" s="11"/>
      <c r="BZ464" s="11"/>
    </row>
    <row r="465" ht="15.75" customHeight="1">
      <c r="BT465" s="14"/>
      <c r="BU465" s="14"/>
      <c r="BV465" s="11"/>
      <c r="BW465" s="11"/>
      <c r="BX465" s="11"/>
      <c r="BY465" s="11"/>
      <c r="BZ465" s="11"/>
    </row>
    <row r="466" ht="15.75" customHeight="1">
      <c r="BT466" s="14"/>
      <c r="BU466" s="14"/>
      <c r="BV466" s="11"/>
      <c r="BW466" s="11"/>
      <c r="BX466" s="11"/>
      <c r="BY466" s="11"/>
      <c r="BZ466" s="11"/>
    </row>
    <row r="467" ht="15.75" customHeight="1">
      <c r="BT467" s="14"/>
      <c r="BU467" s="14"/>
      <c r="BV467" s="11"/>
      <c r="BW467" s="11"/>
      <c r="BX467" s="11"/>
      <c r="BY467" s="11"/>
      <c r="BZ467" s="11"/>
    </row>
    <row r="468" ht="15.75" customHeight="1">
      <c r="BT468" s="14"/>
      <c r="BU468" s="14"/>
      <c r="BV468" s="11"/>
      <c r="BW468" s="11"/>
      <c r="BX468" s="11"/>
      <c r="BY468" s="11"/>
      <c r="BZ468" s="11"/>
    </row>
    <row r="469" ht="15.75" customHeight="1">
      <c r="BT469" s="14"/>
      <c r="BU469" s="14"/>
      <c r="BV469" s="11"/>
      <c r="BW469" s="11"/>
      <c r="BX469" s="11"/>
      <c r="BY469" s="11"/>
      <c r="BZ469" s="11"/>
    </row>
    <row r="470" ht="15.75" customHeight="1">
      <c r="BT470" s="14"/>
      <c r="BU470" s="14"/>
      <c r="BV470" s="11"/>
      <c r="BW470" s="11"/>
      <c r="BX470" s="11"/>
      <c r="BY470" s="11"/>
      <c r="BZ470" s="11"/>
    </row>
    <row r="471" ht="15.75" customHeight="1">
      <c r="BT471" s="14"/>
      <c r="BU471" s="14"/>
      <c r="BV471" s="11"/>
      <c r="BW471" s="11"/>
      <c r="BX471" s="11"/>
      <c r="BY471" s="11"/>
      <c r="BZ471" s="11"/>
    </row>
    <row r="472" ht="15.75" customHeight="1">
      <c r="BT472" s="14"/>
      <c r="BU472" s="14"/>
      <c r="BV472" s="11"/>
      <c r="BW472" s="11"/>
      <c r="BX472" s="11"/>
      <c r="BY472" s="11"/>
      <c r="BZ472" s="11"/>
    </row>
    <row r="473" ht="15.75" customHeight="1">
      <c r="BT473" s="14"/>
      <c r="BU473" s="14"/>
      <c r="BV473" s="11"/>
      <c r="BW473" s="11"/>
      <c r="BX473" s="11"/>
      <c r="BY473" s="11"/>
      <c r="BZ473" s="11"/>
    </row>
    <row r="474" ht="15.75" customHeight="1">
      <c r="BT474" s="14"/>
      <c r="BU474" s="14"/>
      <c r="BV474" s="11"/>
      <c r="BW474" s="11"/>
      <c r="BX474" s="11"/>
      <c r="BY474" s="11"/>
      <c r="BZ474" s="11"/>
    </row>
    <row r="475" ht="15.75" customHeight="1">
      <c r="BT475" s="14"/>
      <c r="BU475" s="14"/>
      <c r="BV475" s="11"/>
      <c r="BW475" s="11"/>
      <c r="BX475" s="11"/>
      <c r="BY475" s="11"/>
      <c r="BZ475" s="11"/>
    </row>
    <row r="476" ht="15.75" customHeight="1">
      <c r="BT476" s="14"/>
      <c r="BU476" s="14"/>
      <c r="BV476" s="11"/>
      <c r="BW476" s="11"/>
      <c r="BX476" s="11"/>
      <c r="BY476" s="11"/>
      <c r="BZ476" s="11"/>
    </row>
    <row r="477" ht="15.75" customHeight="1">
      <c r="BT477" s="14"/>
      <c r="BU477" s="14"/>
      <c r="BV477" s="11"/>
      <c r="BW477" s="11"/>
      <c r="BX477" s="11"/>
      <c r="BY477" s="11"/>
      <c r="BZ477" s="11"/>
    </row>
    <row r="478" ht="15.75" customHeight="1">
      <c r="BT478" s="14"/>
      <c r="BU478" s="14"/>
      <c r="BV478" s="11"/>
      <c r="BW478" s="11"/>
      <c r="BX478" s="11"/>
      <c r="BY478" s="11"/>
      <c r="BZ478" s="11"/>
    </row>
    <row r="479" ht="15.75" customHeight="1">
      <c r="BT479" s="14"/>
      <c r="BU479" s="14"/>
      <c r="BV479" s="11"/>
      <c r="BW479" s="11"/>
      <c r="BX479" s="11"/>
      <c r="BY479" s="11"/>
      <c r="BZ479" s="11"/>
    </row>
    <row r="480" ht="15.75" customHeight="1">
      <c r="BT480" s="14"/>
      <c r="BU480" s="14"/>
      <c r="BV480" s="11"/>
      <c r="BW480" s="11"/>
      <c r="BX480" s="11"/>
      <c r="BY480" s="11"/>
      <c r="BZ480" s="11"/>
    </row>
    <row r="481" ht="15.75" customHeight="1">
      <c r="BT481" s="14"/>
      <c r="BU481" s="14"/>
      <c r="BV481" s="11"/>
      <c r="BW481" s="11"/>
      <c r="BX481" s="11"/>
      <c r="BY481" s="11"/>
      <c r="BZ481" s="11"/>
    </row>
    <row r="482" ht="15.75" customHeight="1">
      <c r="BT482" s="14"/>
      <c r="BU482" s="14"/>
      <c r="BV482" s="11"/>
      <c r="BW482" s="11"/>
      <c r="BX482" s="11"/>
      <c r="BY482" s="11"/>
      <c r="BZ482" s="11"/>
    </row>
    <row r="483" ht="15.75" customHeight="1">
      <c r="BT483" s="14"/>
      <c r="BU483" s="14"/>
      <c r="BV483" s="11"/>
      <c r="BW483" s="11"/>
      <c r="BX483" s="11"/>
      <c r="BY483" s="11"/>
      <c r="BZ483" s="11"/>
    </row>
    <row r="484" ht="15.75" customHeight="1">
      <c r="BT484" s="14"/>
      <c r="BU484" s="14"/>
      <c r="BV484" s="11"/>
      <c r="BW484" s="11"/>
      <c r="BX484" s="11"/>
      <c r="BY484" s="11"/>
      <c r="BZ484" s="11"/>
    </row>
    <row r="485" ht="15.75" customHeight="1">
      <c r="BT485" s="14"/>
      <c r="BU485" s="14"/>
      <c r="BV485" s="11"/>
      <c r="BW485" s="11"/>
      <c r="BX485" s="11"/>
      <c r="BY485" s="11"/>
      <c r="BZ485" s="11"/>
    </row>
    <row r="486" ht="15.75" customHeight="1">
      <c r="BT486" s="14"/>
      <c r="BU486" s="14"/>
      <c r="BV486" s="11"/>
      <c r="BW486" s="11"/>
      <c r="BX486" s="11"/>
      <c r="BY486" s="11"/>
      <c r="BZ486" s="11"/>
    </row>
    <row r="487" ht="15.75" customHeight="1">
      <c r="BT487" s="14"/>
      <c r="BU487" s="14"/>
      <c r="BV487" s="11"/>
      <c r="BW487" s="11"/>
      <c r="BX487" s="11"/>
      <c r="BY487" s="11"/>
      <c r="BZ487" s="11"/>
    </row>
    <row r="488" ht="15.75" customHeight="1">
      <c r="BT488" s="14"/>
      <c r="BU488" s="14"/>
      <c r="BV488" s="11"/>
      <c r="BW488" s="11"/>
      <c r="BX488" s="11"/>
      <c r="BY488" s="11"/>
      <c r="BZ488" s="11"/>
    </row>
    <row r="489" ht="15.75" customHeight="1">
      <c r="BT489" s="14"/>
      <c r="BU489" s="14"/>
      <c r="BV489" s="11"/>
      <c r="BW489" s="11"/>
      <c r="BX489" s="11"/>
      <c r="BY489" s="11"/>
      <c r="BZ489" s="11"/>
    </row>
    <row r="490" ht="15.75" customHeight="1">
      <c r="BT490" s="14"/>
      <c r="BU490" s="14"/>
      <c r="BV490" s="11"/>
      <c r="BW490" s="11"/>
      <c r="BX490" s="11"/>
      <c r="BY490" s="11"/>
      <c r="BZ490" s="11"/>
    </row>
    <row r="491" ht="15.75" customHeight="1">
      <c r="BT491" s="14"/>
      <c r="BU491" s="14"/>
      <c r="BV491" s="11"/>
      <c r="BW491" s="11"/>
      <c r="BX491" s="11"/>
      <c r="BY491" s="11"/>
      <c r="BZ491" s="11"/>
    </row>
    <row r="492" ht="15.75" customHeight="1">
      <c r="BT492" s="14"/>
      <c r="BU492" s="14"/>
      <c r="BV492" s="11"/>
      <c r="BW492" s="11"/>
      <c r="BX492" s="11"/>
      <c r="BY492" s="11"/>
      <c r="BZ492" s="11"/>
    </row>
    <row r="493" ht="15.75" customHeight="1">
      <c r="BT493" s="14"/>
      <c r="BU493" s="14"/>
      <c r="BV493" s="11"/>
      <c r="BW493" s="11"/>
      <c r="BX493" s="11"/>
      <c r="BY493" s="11"/>
      <c r="BZ493" s="11"/>
    </row>
    <row r="494" ht="15.75" customHeight="1">
      <c r="BT494" s="14"/>
      <c r="BU494" s="14"/>
      <c r="BV494" s="11"/>
      <c r="BW494" s="11"/>
      <c r="BX494" s="11"/>
      <c r="BY494" s="11"/>
      <c r="BZ494" s="11"/>
    </row>
    <row r="495" ht="15.75" customHeight="1">
      <c r="BT495" s="14"/>
      <c r="BU495" s="14"/>
      <c r="BV495" s="11"/>
      <c r="BW495" s="11"/>
      <c r="BX495" s="11"/>
      <c r="BY495" s="11"/>
      <c r="BZ495" s="11"/>
    </row>
    <row r="496" ht="15.75" customHeight="1">
      <c r="BT496" s="14"/>
      <c r="BU496" s="14"/>
      <c r="BV496" s="11"/>
      <c r="BW496" s="11"/>
      <c r="BX496" s="11"/>
      <c r="BY496" s="11"/>
      <c r="BZ496" s="11"/>
    </row>
    <row r="497" ht="15.75" customHeight="1">
      <c r="BT497" s="14"/>
      <c r="BU497" s="14"/>
      <c r="BV497" s="11"/>
      <c r="BW497" s="11"/>
      <c r="BX497" s="11"/>
      <c r="BY497" s="11"/>
      <c r="BZ497" s="11"/>
    </row>
    <row r="498" ht="15.75" customHeight="1">
      <c r="BT498" s="14"/>
      <c r="BU498" s="14"/>
      <c r="BV498" s="11"/>
      <c r="BW498" s="11"/>
      <c r="BX498" s="11"/>
      <c r="BY498" s="11"/>
      <c r="BZ498" s="11"/>
    </row>
    <row r="499" ht="15.75" customHeight="1">
      <c r="BT499" s="14"/>
      <c r="BU499" s="14"/>
      <c r="BV499" s="11"/>
      <c r="BW499" s="11"/>
      <c r="BX499" s="11"/>
      <c r="BY499" s="11"/>
      <c r="BZ499" s="11"/>
    </row>
    <row r="500" ht="15.75" customHeight="1">
      <c r="BT500" s="14"/>
      <c r="BU500" s="14"/>
      <c r="BV500" s="11"/>
      <c r="BW500" s="11"/>
      <c r="BX500" s="11"/>
      <c r="BY500" s="11"/>
      <c r="BZ500" s="11"/>
    </row>
    <row r="501" ht="15.75" customHeight="1">
      <c r="BT501" s="14"/>
      <c r="BU501" s="14"/>
      <c r="BV501" s="11"/>
      <c r="BW501" s="11"/>
      <c r="BX501" s="11"/>
      <c r="BY501" s="11"/>
      <c r="BZ501" s="11"/>
    </row>
    <row r="502" ht="15.75" customHeight="1">
      <c r="BT502" s="14"/>
      <c r="BU502" s="14"/>
      <c r="BV502" s="11"/>
      <c r="BW502" s="11"/>
      <c r="BX502" s="11"/>
      <c r="BY502" s="11"/>
      <c r="BZ502" s="11"/>
    </row>
    <row r="503" ht="15.75" customHeight="1">
      <c r="BT503" s="14"/>
      <c r="BU503" s="14"/>
      <c r="BV503" s="11"/>
      <c r="BW503" s="11"/>
      <c r="BX503" s="11"/>
      <c r="BY503" s="11"/>
      <c r="BZ503" s="11"/>
    </row>
    <row r="504" ht="15.75" customHeight="1">
      <c r="BT504" s="14"/>
      <c r="BU504" s="14"/>
      <c r="BV504" s="11"/>
      <c r="BW504" s="11"/>
      <c r="BX504" s="11"/>
      <c r="BY504" s="11"/>
      <c r="BZ504" s="11"/>
    </row>
    <row r="505" ht="15.75" customHeight="1">
      <c r="BT505" s="14"/>
      <c r="BU505" s="14"/>
      <c r="BV505" s="11"/>
      <c r="BW505" s="11"/>
      <c r="BX505" s="11"/>
      <c r="BY505" s="11"/>
      <c r="BZ505" s="11"/>
    </row>
    <row r="506" ht="15.75" customHeight="1">
      <c r="BT506" s="14"/>
      <c r="BU506" s="14"/>
      <c r="BV506" s="11"/>
      <c r="BW506" s="11"/>
      <c r="BX506" s="11"/>
      <c r="BY506" s="11"/>
      <c r="BZ506" s="11"/>
    </row>
    <row r="507" ht="15.75" customHeight="1">
      <c r="BT507" s="14"/>
      <c r="BU507" s="14"/>
      <c r="BV507" s="11"/>
      <c r="BW507" s="11"/>
      <c r="BX507" s="11"/>
      <c r="BY507" s="11"/>
      <c r="BZ507" s="11"/>
    </row>
    <row r="508" ht="15.75" customHeight="1">
      <c r="BT508" s="14"/>
      <c r="BU508" s="14"/>
      <c r="BV508" s="11"/>
      <c r="BW508" s="11"/>
      <c r="BX508" s="11"/>
      <c r="BY508" s="11"/>
      <c r="BZ508" s="11"/>
    </row>
    <row r="509" ht="15.75" customHeight="1">
      <c r="BT509" s="14"/>
      <c r="BU509" s="14"/>
      <c r="BV509" s="11"/>
      <c r="BW509" s="11"/>
      <c r="BX509" s="11"/>
      <c r="BY509" s="11"/>
      <c r="BZ509" s="11"/>
    </row>
    <row r="510" ht="15.75" customHeight="1">
      <c r="BT510" s="14"/>
      <c r="BU510" s="14"/>
      <c r="BV510" s="11"/>
      <c r="BW510" s="11"/>
      <c r="BX510" s="11"/>
      <c r="BY510" s="11"/>
      <c r="BZ510" s="11"/>
    </row>
    <row r="511" ht="15.75" customHeight="1">
      <c r="BT511" s="14"/>
      <c r="BU511" s="14"/>
      <c r="BV511" s="11"/>
      <c r="BW511" s="11"/>
      <c r="BX511" s="11"/>
      <c r="BY511" s="11"/>
      <c r="BZ511" s="11"/>
    </row>
    <row r="512" ht="15.75" customHeight="1">
      <c r="BT512" s="14"/>
      <c r="BU512" s="14"/>
      <c r="BV512" s="11"/>
      <c r="BW512" s="11"/>
      <c r="BX512" s="11"/>
      <c r="BY512" s="11"/>
      <c r="BZ512" s="11"/>
    </row>
    <row r="513" ht="15.75" customHeight="1">
      <c r="BT513" s="14"/>
      <c r="BU513" s="14"/>
      <c r="BV513" s="11"/>
      <c r="BW513" s="11"/>
      <c r="BX513" s="11"/>
      <c r="BY513" s="11"/>
      <c r="BZ513" s="11"/>
    </row>
    <row r="514" ht="15.75" customHeight="1">
      <c r="BT514" s="14"/>
      <c r="BU514" s="14"/>
      <c r="BV514" s="11"/>
      <c r="BW514" s="11"/>
      <c r="BX514" s="11"/>
      <c r="BY514" s="11"/>
      <c r="BZ514" s="11"/>
    </row>
    <row r="515" ht="15.75" customHeight="1">
      <c r="BT515" s="14"/>
      <c r="BU515" s="14"/>
      <c r="BV515" s="11"/>
      <c r="BW515" s="11"/>
      <c r="BX515" s="11"/>
      <c r="BY515" s="11"/>
      <c r="BZ515" s="11"/>
    </row>
    <row r="516" ht="15.75" customHeight="1">
      <c r="BT516" s="14"/>
      <c r="BU516" s="14"/>
      <c r="BV516" s="11"/>
      <c r="BW516" s="11"/>
      <c r="BX516" s="11"/>
      <c r="BY516" s="11"/>
      <c r="BZ516" s="11"/>
    </row>
    <row r="517" ht="15.75" customHeight="1">
      <c r="BT517" s="14"/>
      <c r="BU517" s="14"/>
      <c r="BV517" s="11"/>
      <c r="BW517" s="11"/>
      <c r="BX517" s="11"/>
      <c r="BY517" s="11"/>
      <c r="BZ517" s="11"/>
    </row>
    <row r="518" ht="15.75" customHeight="1">
      <c r="BT518" s="14"/>
      <c r="BU518" s="14"/>
      <c r="BV518" s="11"/>
      <c r="BW518" s="11"/>
      <c r="BX518" s="11"/>
      <c r="BY518" s="11"/>
      <c r="BZ518" s="11"/>
    </row>
    <row r="519" ht="15.75" customHeight="1">
      <c r="BT519" s="14"/>
      <c r="BU519" s="14"/>
      <c r="BV519" s="11"/>
      <c r="BW519" s="11"/>
      <c r="BX519" s="11"/>
      <c r="BY519" s="11"/>
      <c r="BZ519" s="11"/>
    </row>
    <row r="520" ht="15.75" customHeight="1">
      <c r="BT520" s="14"/>
      <c r="BU520" s="14"/>
      <c r="BV520" s="11"/>
      <c r="BW520" s="11"/>
      <c r="BX520" s="11"/>
      <c r="BY520" s="11"/>
      <c r="BZ520" s="11"/>
    </row>
    <row r="521" ht="15.75" customHeight="1">
      <c r="BT521" s="14"/>
      <c r="BU521" s="14"/>
      <c r="BV521" s="11"/>
      <c r="BW521" s="11"/>
      <c r="BX521" s="11"/>
      <c r="BY521" s="11"/>
      <c r="BZ521" s="11"/>
    </row>
    <row r="522" ht="15.75" customHeight="1">
      <c r="BT522" s="14"/>
      <c r="BU522" s="14"/>
      <c r="BV522" s="11"/>
      <c r="BW522" s="11"/>
      <c r="BX522" s="11"/>
      <c r="BY522" s="11"/>
      <c r="BZ522" s="11"/>
    </row>
    <row r="523" ht="15.75" customHeight="1">
      <c r="BT523" s="14"/>
      <c r="BU523" s="14"/>
      <c r="BV523" s="11"/>
      <c r="BW523" s="11"/>
      <c r="BX523" s="11"/>
      <c r="BY523" s="11"/>
      <c r="BZ523" s="11"/>
    </row>
    <row r="524" ht="15.75" customHeight="1">
      <c r="BT524" s="14"/>
      <c r="BU524" s="14"/>
      <c r="BV524" s="11"/>
      <c r="BW524" s="11"/>
      <c r="BX524" s="11"/>
      <c r="BY524" s="11"/>
      <c r="BZ524" s="11"/>
    </row>
    <row r="525" ht="15.75" customHeight="1">
      <c r="BT525" s="14"/>
      <c r="BU525" s="14"/>
      <c r="BV525" s="11"/>
      <c r="BW525" s="11"/>
      <c r="BX525" s="11"/>
      <c r="BY525" s="11"/>
      <c r="BZ525" s="11"/>
    </row>
    <row r="526" ht="15.75" customHeight="1">
      <c r="BT526" s="14"/>
      <c r="BU526" s="14"/>
      <c r="BV526" s="11"/>
      <c r="BW526" s="11"/>
      <c r="BX526" s="11"/>
      <c r="BY526" s="11"/>
      <c r="BZ526" s="11"/>
    </row>
    <row r="527" ht="15.75" customHeight="1">
      <c r="BT527" s="14"/>
      <c r="BU527" s="14"/>
      <c r="BV527" s="11"/>
      <c r="BW527" s="11"/>
      <c r="BX527" s="11"/>
      <c r="BY527" s="11"/>
      <c r="BZ527" s="11"/>
    </row>
    <row r="528" ht="15.75" customHeight="1">
      <c r="BT528" s="14"/>
      <c r="BU528" s="14"/>
      <c r="BV528" s="11"/>
      <c r="BW528" s="11"/>
      <c r="BX528" s="11"/>
      <c r="BY528" s="11"/>
      <c r="BZ528" s="11"/>
    </row>
    <row r="529" ht="15.75" customHeight="1">
      <c r="BT529" s="14"/>
      <c r="BU529" s="14"/>
      <c r="BV529" s="11"/>
      <c r="BW529" s="11"/>
      <c r="BX529" s="11"/>
      <c r="BY529" s="11"/>
      <c r="BZ529" s="11"/>
    </row>
    <row r="530" ht="15.75" customHeight="1">
      <c r="BT530" s="14"/>
      <c r="BU530" s="14"/>
      <c r="BV530" s="11"/>
      <c r="BW530" s="11"/>
      <c r="BX530" s="11"/>
      <c r="BY530" s="11"/>
      <c r="BZ530" s="11"/>
    </row>
    <row r="531" ht="15.75" customHeight="1">
      <c r="BT531" s="14"/>
      <c r="BU531" s="14"/>
      <c r="BV531" s="11"/>
      <c r="BW531" s="11"/>
      <c r="BX531" s="11"/>
      <c r="BY531" s="11"/>
      <c r="BZ531" s="11"/>
    </row>
    <row r="532" ht="15.75" customHeight="1">
      <c r="BT532" s="14"/>
      <c r="BU532" s="14"/>
      <c r="BV532" s="11"/>
      <c r="BW532" s="11"/>
      <c r="BX532" s="11"/>
      <c r="BY532" s="11"/>
      <c r="BZ532" s="11"/>
    </row>
    <row r="533" ht="15.75" customHeight="1">
      <c r="BT533" s="14"/>
      <c r="BU533" s="14"/>
      <c r="BV533" s="11"/>
      <c r="BW533" s="11"/>
      <c r="BX533" s="11"/>
      <c r="BY533" s="11"/>
      <c r="BZ533" s="11"/>
    </row>
    <row r="534" ht="15.75" customHeight="1">
      <c r="BT534" s="14"/>
      <c r="BU534" s="14"/>
      <c r="BV534" s="11"/>
      <c r="BW534" s="11"/>
      <c r="BX534" s="11"/>
      <c r="BY534" s="11"/>
      <c r="BZ534" s="11"/>
    </row>
    <row r="535" ht="15.75" customHeight="1">
      <c r="BT535" s="14"/>
      <c r="BU535" s="14"/>
      <c r="BV535" s="11"/>
      <c r="BW535" s="11"/>
      <c r="BX535" s="11"/>
      <c r="BY535" s="11"/>
      <c r="BZ535" s="11"/>
    </row>
    <row r="536" ht="15.75" customHeight="1">
      <c r="BT536" s="14"/>
      <c r="BU536" s="14"/>
      <c r="BV536" s="11"/>
      <c r="BW536" s="11"/>
      <c r="BX536" s="11"/>
      <c r="BY536" s="11"/>
      <c r="BZ536" s="11"/>
    </row>
    <row r="537" ht="15.75" customHeight="1">
      <c r="BT537" s="14"/>
      <c r="BU537" s="14"/>
      <c r="BV537" s="11"/>
      <c r="BW537" s="11"/>
      <c r="BX537" s="11"/>
      <c r="BY537" s="11"/>
      <c r="BZ537" s="11"/>
    </row>
    <row r="538" ht="15.75" customHeight="1">
      <c r="BT538" s="14"/>
      <c r="BU538" s="14"/>
      <c r="BV538" s="11"/>
      <c r="BW538" s="11"/>
      <c r="BX538" s="11"/>
      <c r="BY538" s="11"/>
      <c r="BZ538" s="11"/>
    </row>
    <row r="539" ht="15.75" customHeight="1">
      <c r="BT539" s="14"/>
      <c r="BU539" s="14"/>
      <c r="BV539" s="11"/>
      <c r="BW539" s="11"/>
      <c r="BX539" s="11"/>
      <c r="BY539" s="11"/>
      <c r="BZ539" s="11"/>
    </row>
    <row r="540" ht="15.75" customHeight="1">
      <c r="BT540" s="14"/>
      <c r="BU540" s="14"/>
      <c r="BV540" s="11"/>
      <c r="BW540" s="11"/>
      <c r="BX540" s="11"/>
      <c r="BY540" s="11"/>
      <c r="BZ540" s="11"/>
    </row>
    <row r="541" ht="15.75" customHeight="1">
      <c r="BT541" s="14"/>
      <c r="BU541" s="14"/>
      <c r="BV541" s="11"/>
      <c r="BW541" s="11"/>
      <c r="BX541" s="11"/>
      <c r="BY541" s="11"/>
      <c r="BZ541" s="11"/>
    </row>
    <row r="542" ht="15.75" customHeight="1">
      <c r="BT542" s="14"/>
      <c r="BU542" s="14"/>
      <c r="BV542" s="11"/>
      <c r="BW542" s="11"/>
      <c r="BX542" s="11"/>
      <c r="BY542" s="11"/>
      <c r="BZ542" s="11"/>
    </row>
    <row r="543" ht="15.75" customHeight="1">
      <c r="BT543" s="14"/>
      <c r="BU543" s="14"/>
      <c r="BV543" s="11"/>
      <c r="BW543" s="11"/>
      <c r="BX543" s="11"/>
      <c r="BY543" s="11"/>
      <c r="BZ543" s="11"/>
    </row>
    <row r="544" ht="15.75" customHeight="1">
      <c r="BT544" s="14"/>
      <c r="BU544" s="14"/>
      <c r="BV544" s="11"/>
      <c r="BW544" s="11"/>
      <c r="BX544" s="11"/>
      <c r="BY544" s="11"/>
      <c r="BZ544" s="11"/>
    </row>
    <row r="545" ht="15.75" customHeight="1">
      <c r="BT545" s="14"/>
      <c r="BU545" s="14"/>
      <c r="BV545" s="11"/>
      <c r="BW545" s="11"/>
      <c r="BX545" s="11"/>
      <c r="BY545" s="11"/>
      <c r="BZ545" s="11"/>
    </row>
    <row r="546" ht="15.75" customHeight="1">
      <c r="BT546" s="14"/>
      <c r="BU546" s="14"/>
      <c r="BV546" s="11"/>
      <c r="BW546" s="11"/>
      <c r="BX546" s="11"/>
      <c r="BY546" s="11"/>
      <c r="BZ546" s="11"/>
    </row>
    <row r="547" ht="15.75" customHeight="1">
      <c r="BT547" s="14"/>
      <c r="BU547" s="14"/>
      <c r="BV547" s="11"/>
      <c r="BW547" s="11"/>
      <c r="BX547" s="11"/>
      <c r="BY547" s="11"/>
      <c r="BZ547" s="11"/>
    </row>
    <row r="548" ht="15.75" customHeight="1">
      <c r="BT548" s="14"/>
      <c r="BU548" s="14"/>
      <c r="BV548" s="11"/>
      <c r="BW548" s="11"/>
      <c r="BX548" s="11"/>
      <c r="BY548" s="11"/>
      <c r="BZ548" s="11"/>
    </row>
    <row r="549" ht="15.75" customHeight="1">
      <c r="BT549" s="14"/>
      <c r="BU549" s="14"/>
      <c r="BV549" s="11"/>
      <c r="BW549" s="11"/>
      <c r="BX549" s="11"/>
      <c r="BY549" s="11"/>
      <c r="BZ549" s="11"/>
    </row>
    <row r="550" ht="15.75" customHeight="1">
      <c r="BT550" s="14"/>
      <c r="BU550" s="14"/>
      <c r="BV550" s="11"/>
      <c r="BW550" s="11"/>
      <c r="BX550" s="11"/>
      <c r="BY550" s="11"/>
      <c r="BZ550" s="11"/>
    </row>
    <row r="551" ht="15.75" customHeight="1">
      <c r="BT551" s="14"/>
      <c r="BU551" s="14"/>
      <c r="BV551" s="11"/>
      <c r="BW551" s="11"/>
      <c r="BX551" s="11"/>
      <c r="BY551" s="11"/>
      <c r="BZ551" s="11"/>
    </row>
    <row r="552" ht="15.75" customHeight="1">
      <c r="BT552" s="14"/>
      <c r="BU552" s="14"/>
      <c r="BV552" s="11"/>
      <c r="BW552" s="11"/>
      <c r="BX552" s="11"/>
      <c r="BY552" s="11"/>
      <c r="BZ552" s="11"/>
    </row>
    <row r="553" ht="15.75" customHeight="1">
      <c r="BT553" s="14"/>
      <c r="BU553" s="14"/>
      <c r="BV553" s="11"/>
      <c r="BW553" s="11"/>
      <c r="BX553" s="11"/>
      <c r="BY553" s="11"/>
      <c r="BZ553" s="11"/>
    </row>
    <row r="554" ht="15.75" customHeight="1">
      <c r="BT554" s="14"/>
      <c r="BU554" s="14"/>
      <c r="BV554" s="11"/>
      <c r="BW554" s="11"/>
      <c r="BX554" s="11"/>
      <c r="BY554" s="11"/>
      <c r="BZ554" s="11"/>
    </row>
    <row r="555" ht="15.75" customHeight="1">
      <c r="BT555" s="14"/>
      <c r="BU555" s="14"/>
      <c r="BV555" s="11"/>
      <c r="BW555" s="11"/>
      <c r="BX555" s="11"/>
      <c r="BY555" s="11"/>
      <c r="BZ555" s="11"/>
    </row>
    <row r="556" ht="15.75" customHeight="1">
      <c r="BT556" s="14"/>
      <c r="BU556" s="14"/>
      <c r="BV556" s="11"/>
      <c r="BW556" s="11"/>
      <c r="BX556" s="11"/>
      <c r="BY556" s="11"/>
      <c r="BZ556" s="11"/>
    </row>
    <row r="557" ht="15.75" customHeight="1">
      <c r="BT557" s="14"/>
      <c r="BU557" s="14"/>
      <c r="BV557" s="11"/>
      <c r="BW557" s="11"/>
      <c r="BX557" s="11"/>
      <c r="BY557" s="11"/>
      <c r="BZ557" s="11"/>
    </row>
    <row r="558" ht="15.75" customHeight="1">
      <c r="BT558" s="14"/>
      <c r="BU558" s="14"/>
      <c r="BV558" s="11"/>
      <c r="BW558" s="11"/>
      <c r="BX558" s="11"/>
      <c r="BY558" s="11"/>
      <c r="BZ558" s="11"/>
    </row>
    <row r="559" ht="15.75" customHeight="1">
      <c r="BT559" s="14"/>
      <c r="BU559" s="14"/>
      <c r="BV559" s="11"/>
      <c r="BW559" s="11"/>
      <c r="BX559" s="11"/>
      <c r="BY559" s="11"/>
      <c r="BZ559" s="11"/>
    </row>
    <row r="560" ht="15.75" customHeight="1">
      <c r="BT560" s="14"/>
      <c r="BU560" s="14"/>
      <c r="BV560" s="11"/>
      <c r="BW560" s="11"/>
      <c r="BX560" s="11"/>
      <c r="BY560" s="11"/>
      <c r="BZ560" s="11"/>
    </row>
    <row r="561" ht="15.75" customHeight="1">
      <c r="BT561" s="14"/>
      <c r="BU561" s="14"/>
      <c r="BV561" s="11"/>
      <c r="BW561" s="11"/>
      <c r="BX561" s="11"/>
      <c r="BY561" s="11"/>
      <c r="BZ561" s="11"/>
    </row>
    <row r="562" ht="15.75" customHeight="1">
      <c r="BT562" s="14"/>
      <c r="BU562" s="14"/>
      <c r="BV562" s="11"/>
      <c r="BW562" s="11"/>
      <c r="BX562" s="11"/>
      <c r="BY562" s="11"/>
      <c r="BZ562" s="11"/>
    </row>
    <row r="563" ht="15.75" customHeight="1">
      <c r="BT563" s="14"/>
      <c r="BU563" s="14"/>
      <c r="BV563" s="11"/>
      <c r="BW563" s="11"/>
      <c r="BX563" s="11"/>
      <c r="BY563" s="11"/>
      <c r="BZ563" s="11"/>
    </row>
    <row r="564" ht="15.75" customHeight="1">
      <c r="BT564" s="14"/>
      <c r="BU564" s="14"/>
      <c r="BV564" s="11"/>
      <c r="BW564" s="11"/>
      <c r="BX564" s="11"/>
      <c r="BY564" s="11"/>
      <c r="BZ564" s="11"/>
    </row>
    <row r="565" ht="15.75" customHeight="1">
      <c r="BT565" s="14"/>
      <c r="BU565" s="14"/>
      <c r="BV565" s="11"/>
      <c r="BW565" s="11"/>
      <c r="BX565" s="11"/>
      <c r="BY565" s="11"/>
      <c r="BZ565" s="11"/>
    </row>
    <row r="566" ht="15.75" customHeight="1">
      <c r="BT566" s="14"/>
      <c r="BU566" s="14"/>
      <c r="BV566" s="11"/>
      <c r="BW566" s="11"/>
      <c r="BX566" s="11"/>
      <c r="BY566" s="11"/>
      <c r="BZ566" s="11"/>
    </row>
    <row r="567" ht="15.75" customHeight="1">
      <c r="BT567" s="14"/>
      <c r="BU567" s="14"/>
      <c r="BV567" s="11"/>
      <c r="BW567" s="11"/>
      <c r="BX567" s="11"/>
      <c r="BY567" s="11"/>
      <c r="BZ567" s="11"/>
    </row>
    <row r="568" ht="15.75" customHeight="1">
      <c r="BT568" s="14"/>
      <c r="BU568" s="14"/>
      <c r="BV568" s="11"/>
      <c r="BW568" s="11"/>
      <c r="BX568" s="11"/>
      <c r="BY568" s="11"/>
      <c r="BZ568" s="11"/>
    </row>
    <row r="569" ht="15.75" customHeight="1">
      <c r="BT569" s="14"/>
      <c r="BU569" s="14"/>
      <c r="BV569" s="11"/>
      <c r="BW569" s="11"/>
      <c r="BX569" s="11"/>
      <c r="BY569" s="11"/>
      <c r="BZ569" s="11"/>
    </row>
    <row r="570" ht="15.75" customHeight="1">
      <c r="BT570" s="14"/>
      <c r="BU570" s="14"/>
      <c r="BV570" s="11"/>
      <c r="BW570" s="11"/>
      <c r="BX570" s="11"/>
      <c r="BY570" s="11"/>
      <c r="BZ570" s="11"/>
    </row>
    <row r="571" ht="15.75" customHeight="1">
      <c r="BT571" s="14"/>
      <c r="BU571" s="14"/>
      <c r="BV571" s="11"/>
      <c r="BW571" s="11"/>
      <c r="BX571" s="11"/>
      <c r="BY571" s="11"/>
      <c r="BZ571" s="11"/>
    </row>
    <row r="572" ht="15.75" customHeight="1">
      <c r="BT572" s="14"/>
      <c r="BU572" s="14"/>
      <c r="BV572" s="11"/>
      <c r="BW572" s="11"/>
      <c r="BX572" s="11"/>
      <c r="BY572" s="11"/>
      <c r="BZ572" s="11"/>
    </row>
    <row r="573" ht="15.75" customHeight="1">
      <c r="BT573" s="14"/>
      <c r="BU573" s="14"/>
      <c r="BV573" s="11"/>
      <c r="BW573" s="11"/>
      <c r="BX573" s="11"/>
      <c r="BY573" s="11"/>
      <c r="BZ573" s="11"/>
    </row>
    <row r="574" ht="15.75" customHeight="1">
      <c r="BT574" s="14"/>
      <c r="BU574" s="14"/>
      <c r="BV574" s="11"/>
      <c r="BW574" s="11"/>
      <c r="BX574" s="11"/>
      <c r="BY574" s="11"/>
      <c r="BZ574" s="11"/>
    </row>
    <row r="575" ht="15.75" customHeight="1">
      <c r="BT575" s="14"/>
      <c r="BU575" s="14"/>
      <c r="BV575" s="11"/>
      <c r="BW575" s="11"/>
      <c r="BX575" s="11"/>
      <c r="BY575" s="11"/>
      <c r="BZ575" s="11"/>
    </row>
    <row r="576" ht="15.75" customHeight="1">
      <c r="BT576" s="14"/>
      <c r="BU576" s="14"/>
      <c r="BV576" s="11"/>
      <c r="BW576" s="11"/>
      <c r="BX576" s="11"/>
      <c r="BY576" s="11"/>
      <c r="BZ576" s="11"/>
    </row>
    <row r="577" ht="15.75" customHeight="1">
      <c r="BT577" s="14"/>
      <c r="BU577" s="14"/>
      <c r="BV577" s="11"/>
      <c r="BW577" s="11"/>
      <c r="BX577" s="11"/>
      <c r="BY577" s="11"/>
      <c r="BZ577" s="11"/>
    </row>
    <row r="578" ht="15.75" customHeight="1">
      <c r="BT578" s="14"/>
      <c r="BU578" s="14"/>
      <c r="BV578" s="11"/>
      <c r="BW578" s="11"/>
      <c r="BX578" s="11"/>
      <c r="BY578" s="11"/>
      <c r="BZ578" s="11"/>
    </row>
    <row r="579" ht="15.75" customHeight="1">
      <c r="BT579" s="14"/>
      <c r="BU579" s="14"/>
      <c r="BV579" s="11"/>
      <c r="BW579" s="11"/>
      <c r="BX579" s="11"/>
      <c r="BY579" s="11"/>
      <c r="BZ579" s="11"/>
    </row>
    <row r="580" ht="15.75" customHeight="1">
      <c r="BT580" s="14"/>
      <c r="BU580" s="14"/>
      <c r="BV580" s="11"/>
      <c r="BW580" s="11"/>
      <c r="BX580" s="11"/>
      <c r="BY580" s="11"/>
      <c r="BZ580" s="11"/>
    </row>
    <row r="581" ht="15.75" customHeight="1">
      <c r="BT581" s="14"/>
      <c r="BU581" s="14"/>
      <c r="BV581" s="11"/>
      <c r="BW581" s="11"/>
      <c r="BX581" s="11"/>
      <c r="BY581" s="11"/>
      <c r="BZ581" s="11"/>
    </row>
    <row r="582" ht="15.75" customHeight="1">
      <c r="BT582" s="14"/>
      <c r="BU582" s="14"/>
      <c r="BV582" s="11"/>
      <c r="BW582" s="11"/>
      <c r="BX582" s="11"/>
      <c r="BY582" s="11"/>
      <c r="BZ582" s="11"/>
    </row>
    <row r="583" ht="15.75" customHeight="1">
      <c r="BT583" s="14"/>
      <c r="BU583" s="14"/>
      <c r="BV583" s="11"/>
      <c r="BW583" s="11"/>
      <c r="BX583" s="11"/>
      <c r="BY583" s="11"/>
      <c r="BZ583" s="11"/>
    </row>
    <row r="584" ht="15.75" customHeight="1">
      <c r="BT584" s="14"/>
      <c r="BU584" s="14"/>
      <c r="BV584" s="11"/>
      <c r="BW584" s="11"/>
      <c r="BX584" s="11"/>
      <c r="BY584" s="11"/>
      <c r="BZ584" s="11"/>
    </row>
    <row r="585" ht="15.75" customHeight="1">
      <c r="BT585" s="14"/>
      <c r="BU585" s="14"/>
      <c r="BV585" s="11"/>
      <c r="BW585" s="11"/>
      <c r="BX585" s="11"/>
      <c r="BY585" s="11"/>
      <c r="BZ585" s="11"/>
    </row>
    <row r="586" ht="15.75" customHeight="1">
      <c r="BT586" s="14"/>
      <c r="BU586" s="14"/>
      <c r="BV586" s="11"/>
      <c r="BW586" s="11"/>
      <c r="BX586" s="11"/>
      <c r="BY586" s="11"/>
      <c r="BZ586" s="11"/>
    </row>
    <row r="587" ht="15.75" customHeight="1">
      <c r="BT587" s="14"/>
      <c r="BU587" s="14"/>
      <c r="BV587" s="11"/>
      <c r="BW587" s="11"/>
      <c r="BX587" s="11"/>
      <c r="BY587" s="11"/>
      <c r="BZ587" s="11"/>
    </row>
    <row r="588" ht="15.75" customHeight="1">
      <c r="BT588" s="14"/>
      <c r="BU588" s="14"/>
      <c r="BV588" s="11"/>
      <c r="BW588" s="11"/>
      <c r="BX588" s="11"/>
      <c r="BY588" s="11"/>
      <c r="BZ588" s="11"/>
    </row>
    <row r="589" ht="15.75" customHeight="1">
      <c r="BT589" s="14"/>
      <c r="BU589" s="14"/>
      <c r="BV589" s="11"/>
      <c r="BW589" s="11"/>
      <c r="BX589" s="11"/>
      <c r="BY589" s="11"/>
      <c r="BZ589" s="11"/>
    </row>
    <row r="590" ht="15.75" customHeight="1">
      <c r="BT590" s="14"/>
      <c r="BU590" s="14"/>
      <c r="BV590" s="11"/>
      <c r="BW590" s="11"/>
      <c r="BX590" s="11"/>
      <c r="BY590" s="11"/>
      <c r="BZ590" s="11"/>
    </row>
    <row r="591" ht="15.75" customHeight="1">
      <c r="BT591" s="14"/>
      <c r="BU591" s="14"/>
      <c r="BV591" s="11"/>
      <c r="BW591" s="11"/>
      <c r="BX591" s="11"/>
      <c r="BY591" s="11"/>
      <c r="BZ591" s="11"/>
    </row>
    <row r="592" ht="15.75" customHeight="1">
      <c r="BT592" s="14"/>
      <c r="BU592" s="14"/>
      <c r="BV592" s="11"/>
      <c r="BW592" s="11"/>
      <c r="BX592" s="11"/>
      <c r="BY592" s="11"/>
      <c r="BZ592" s="11"/>
    </row>
    <row r="593" ht="15.75" customHeight="1">
      <c r="BT593" s="14"/>
      <c r="BU593" s="14"/>
      <c r="BV593" s="11"/>
      <c r="BW593" s="11"/>
      <c r="BX593" s="11"/>
      <c r="BY593" s="11"/>
      <c r="BZ593" s="11"/>
    </row>
    <row r="594" ht="15.75" customHeight="1">
      <c r="BT594" s="14"/>
      <c r="BU594" s="14"/>
      <c r="BV594" s="11"/>
      <c r="BW594" s="11"/>
      <c r="BX594" s="11"/>
      <c r="BY594" s="11"/>
      <c r="BZ594" s="11"/>
    </row>
    <row r="595" ht="15.75" customHeight="1">
      <c r="BT595" s="14"/>
      <c r="BU595" s="14"/>
      <c r="BV595" s="11"/>
      <c r="BW595" s="11"/>
      <c r="BX595" s="11"/>
      <c r="BY595" s="11"/>
      <c r="BZ595" s="11"/>
    </row>
    <row r="596" ht="15.75" customHeight="1">
      <c r="BT596" s="14"/>
      <c r="BU596" s="14"/>
      <c r="BV596" s="11"/>
      <c r="BW596" s="11"/>
      <c r="BX596" s="11"/>
      <c r="BY596" s="11"/>
      <c r="BZ596" s="11"/>
    </row>
    <row r="597" ht="15.75" customHeight="1">
      <c r="BT597" s="14"/>
      <c r="BU597" s="14"/>
      <c r="BV597" s="11"/>
      <c r="BW597" s="11"/>
      <c r="BX597" s="11"/>
      <c r="BY597" s="11"/>
      <c r="BZ597" s="11"/>
    </row>
    <row r="598" ht="15.75" customHeight="1">
      <c r="BT598" s="14"/>
      <c r="BU598" s="14"/>
      <c r="BV598" s="11"/>
      <c r="BW598" s="11"/>
      <c r="BX598" s="11"/>
      <c r="BY598" s="11"/>
      <c r="BZ598" s="11"/>
    </row>
    <row r="599" ht="15.75" customHeight="1">
      <c r="BT599" s="14"/>
      <c r="BU599" s="14"/>
      <c r="BV599" s="11"/>
      <c r="BW599" s="11"/>
      <c r="BX599" s="11"/>
      <c r="BY599" s="11"/>
      <c r="BZ599" s="11"/>
    </row>
    <row r="600" ht="15.75" customHeight="1">
      <c r="BT600" s="14"/>
      <c r="BU600" s="14"/>
      <c r="BV600" s="11"/>
      <c r="BW600" s="11"/>
      <c r="BX600" s="11"/>
      <c r="BY600" s="11"/>
      <c r="BZ600" s="11"/>
    </row>
    <row r="601" ht="15.75" customHeight="1">
      <c r="BT601" s="14"/>
      <c r="BU601" s="14"/>
      <c r="BV601" s="11"/>
      <c r="BW601" s="11"/>
      <c r="BX601" s="11"/>
      <c r="BY601" s="11"/>
      <c r="BZ601" s="11"/>
    </row>
    <row r="602" ht="15.75" customHeight="1">
      <c r="BT602" s="14"/>
      <c r="BU602" s="14"/>
      <c r="BV602" s="11"/>
      <c r="BW602" s="11"/>
      <c r="BX602" s="11"/>
      <c r="BY602" s="11"/>
      <c r="BZ602" s="11"/>
    </row>
    <row r="603" ht="15.75" customHeight="1">
      <c r="BT603" s="14"/>
      <c r="BU603" s="14"/>
      <c r="BV603" s="11"/>
      <c r="BW603" s="11"/>
      <c r="BX603" s="11"/>
      <c r="BY603" s="11"/>
      <c r="BZ603" s="11"/>
    </row>
    <row r="604" ht="15.75" customHeight="1">
      <c r="BT604" s="14"/>
      <c r="BU604" s="14"/>
      <c r="BV604" s="11"/>
      <c r="BW604" s="11"/>
      <c r="BX604" s="11"/>
      <c r="BY604" s="11"/>
      <c r="BZ604" s="11"/>
    </row>
    <row r="605" ht="15.75" customHeight="1">
      <c r="BT605" s="14"/>
      <c r="BU605" s="14"/>
      <c r="BV605" s="11"/>
      <c r="BW605" s="11"/>
      <c r="BX605" s="11"/>
      <c r="BY605" s="11"/>
      <c r="BZ605" s="11"/>
    </row>
    <row r="606" ht="15.75" customHeight="1">
      <c r="BT606" s="14"/>
      <c r="BU606" s="14"/>
      <c r="BV606" s="11"/>
      <c r="BW606" s="11"/>
      <c r="BX606" s="11"/>
      <c r="BY606" s="11"/>
      <c r="BZ606" s="11"/>
    </row>
    <row r="607" ht="15.75" customHeight="1">
      <c r="BT607" s="14"/>
      <c r="BU607" s="14"/>
      <c r="BV607" s="11"/>
      <c r="BW607" s="11"/>
      <c r="BX607" s="11"/>
      <c r="BY607" s="11"/>
      <c r="BZ607" s="11"/>
    </row>
    <row r="608" ht="15.75" customHeight="1">
      <c r="BT608" s="14"/>
      <c r="BU608" s="14"/>
      <c r="BV608" s="11"/>
      <c r="BW608" s="11"/>
      <c r="BX608" s="11"/>
      <c r="BY608" s="11"/>
      <c r="BZ608" s="11"/>
    </row>
    <row r="609" ht="15.75" customHeight="1">
      <c r="BT609" s="14"/>
      <c r="BU609" s="14"/>
      <c r="BV609" s="11"/>
      <c r="BW609" s="11"/>
      <c r="BX609" s="11"/>
      <c r="BY609" s="11"/>
      <c r="BZ609" s="11"/>
    </row>
    <row r="610" ht="15.75" customHeight="1">
      <c r="BT610" s="14"/>
      <c r="BU610" s="14"/>
      <c r="BV610" s="11"/>
      <c r="BW610" s="11"/>
      <c r="BX610" s="11"/>
      <c r="BY610" s="11"/>
      <c r="BZ610" s="11"/>
    </row>
    <row r="611" ht="15.75" customHeight="1">
      <c r="BT611" s="14"/>
      <c r="BU611" s="14"/>
      <c r="BV611" s="11"/>
      <c r="BW611" s="11"/>
      <c r="BX611" s="11"/>
      <c r="BY611" s="11"/>
      <c r="BZ611" s="11"/>
    </row>
    <row r="612" ht="15.75" customHeight="1">
      <c r="BT612" s="14"/>
      <c r="BU612" s="14"/>
      <c r="BV612" s="11"/>
      <c r="BW612" s="11"/>
      <c r="BX612" s="11"/>
      <c r="BY612" s="11"/>
      <c r="BZ612" s="11"/>
    </row>
    <row r="613" ht="15.75" customHeight="1">
      <c r="BT613" s="14"/>
      <c r="BU613" s="14"/>
      <c r="BV613" s="11"/>
      <c r="BW613" s="11"/>
      <c r="BX613" s="11"/>
      <c r="BY613" s="11"/>
      <c r="BZ613" s="11"/>
    </row>
    <row r="614" ht="15.75" customHeight="1">
      <c r="BT614" s="14"/>
      <c r="BU614" s="14"/>
      <c r="BV614" s="11"/>
      <c r="BW614" s="11"/>
      <c r="BX614" s="11"/>
      <c r="BY614" s="11"/>
      <c r="BZ614" s="11"/>
    </row>
    <row r="615" ht="15.75" customHeight="1">
      <c r="BT615" s="14"/>
      <c r="BU615" s="14"/>
      <c r="BV615" s="11"/>
      <c r="BW615" s="11"/>
      <c r="BX615" s="11"/>
      <c r="BY615" s="11"/>
      <c r="BZ615" s="11"/>
    </row>
    <row r="616" ht="15.75" customHeight="1">
      <c r="BT616" s="14"/>
      <c r="BU616" s="14"/>
      <c r="BV616" s="11"/>
      <c r="BW616" s="11"/>
      <c r="BX616" s="11"/>
      <c r="BY616" s="11"/>
      <c r="BZ616" s="11"/>
    </row>
    <row r="617" ht="15.75" customHeight="1">
      <c r="BT617" s="14"/>
      <c r="BU617" s="14"/>
      <c r="BV617" s="11"/>
      <c r="BW617" s="11"/>
      <c r="BX617" s="11"/>
      <c r="BY617" s="11"/>
      <c r="BZ617" s="11"/>
    </row>
    <row r="618" ht="15.75" customHeight="1">
      <c r="BT618" s="14"/>
      <c r="BU618" s="14"/>
      <c r="BV618" s="11"/>
      <c r="BW618" s="11"/>
      <c r="BX618" s="11"/>
      <c r="BY618" s="11"/>
      <c r="BZ618" s="11"/>
    </row>
    <row r="619" ht="15.75" customHeight="1">
      <c r="BT619" s="14"/>
      <c r="BU619" s="14"/>
      <c r="BV619" s="11"/>
      <c r="BW619" s="11"/>
      <c r="BX619" s="11"/>
      <c r="BY619" s="11"/>
      <c r="BZ619" s="11"/>
    </row>
    <row r="620" ht="15.75" customHeight="1">
      <c r="BT620" s="14"/>
      <c r="BU620" s="14"/>
      <c r="BV620" s="11"/>
      <c r="BW620" s="11"/>
      <c r="BX620" s="11"/>
      <c r="BY620" s="11"/>
      <c r="BZ620" s="11"/>
    </row>
    <row r="621" ht="15.75" customHeight="1">
      <c r="BT621" s="14"/>
      <c r="BU621" s="14"/>
      <c r="BV621" s="11"/>
      <c r="BW621" s="11"/>
      <c r="BX621" s="11"/>
      <c r="BY621" s="11"/>
      <c r="BZ621" s="11"/>
    </row>
    <row r="622" ht="15.75" customHeight="1">
      <c r="BT622" s="14"/>
      <c r="BU622" s="14"/>
      <c r="BV622" s="11"/>
      <c r="BW622" s="11"/>
      <c r="BX622" s="11"/>
      <c r="BY622" s="11"/>
      <c r="BZ622" s="11"/>
    </row>
    <row r="623" ht="15.75" customHeight="1">
      <c r="BT623" s="14"/>
      <c r="BU623" s="14"/>
      <c r="BV623" s="11"/>
      <c r="BW623" s="11"/>
      <c r="BX623" s="11"/>
      <c r="BY623" s="11"/>
      <c r="BZ623" s="11"/>
    </row>
    <row r="624" ht="15.75" customHeight="1">
      <c r="BT624" s="14"/>
      <c r="BU624" s="14"/>
      <c r="BV624" s="11"/>
      <c r="BW624" s="11"/>
      <c r="BX624" s="11"/>
      <c r="BY624" s="11"/>
      <c r="BZ624" s="11"/>
    </row>
    <row r="625" ht="15.75" customHeight="1">
      <c r="BT625" s="14"/>
      <c r="BU625" s="14"/>
      <c r="BV625" s="11"/>
      <c r="BW625" s="11"/>
      <c r="BX625" s="11"/>
      <c r="BY625" s="11"/>
      <c r="BZ625" s="11"/>
    </row>
    <row r="626" ht="15.75" customHeight="1">
      <c r="BT626" s="14"/>
      <c r="BU626" s="14"/>
      <c r="BV626" s="11"/>
      <c r="BW626" s="11"/>
      <c r="BX626" s="11"/>
      <c r="BY626" s="11"/>
      <c r="BZ626" s="11"/>
    </row>
    <row r="627" ht="15.75" customHeight="1">
      <c r="BT627" s="14"/>
      <c r="BU627" s="14"/>
      <c r="BV627" s="11"/>
      <c r="BW627" s="11"/>
      <c r="BX627" s="11"/>
      <c r="BY627" s="11"/>
      <c r="BZ627" s="11"/>
    </row>
    <row r="628" ht="15.75" customHeight="1">
      <c r="BT628" s="14"/>
      <c r="BU628" s="14"/>
      <c r="BV628" s="11"/>
      <c r="BW628" s="11"/>
      <c r="BX628" s="11"/>
      <c r="BY628" s="11"/>
      <c r="BZ628" s="11"/>
    </row>
    <row r="629" ht="15.75" customHeight="1">
      <c r="BT629" s="14"/>
      <c r="BU629" s="14"/>
      <c r="BV629" s="11"/>
      <c r="BW629" s="11"/>
      <c r="BX629" s="11"/>
      <c r="BY629" s="11"/>
      <c r="BZ629" s="11"/>
    </row>
    <row r="630" ht="15.75" customHeight="1">
      <c r="BT630" s="14"/>
      <c r="BU630" s="14"/>
      <c r="BV630" s="11"/>
      <c r="BW630" s="11"/>
      <c r="BX630" s="11"/>
      <c r="BY630" s="11"/>
      <c r="BZ630" s="11"/>
    </row>
    <row r="631" ht="15.75" customHeight="1">
      <c r="BT631" s="14"/>
      <c r="BU631" s="14"/>
      <c r="BV631" s="11"/>
      <c r="BW631" s="11"/>
      <c r="BX631" s="11"/>
      <c r="BY631" s="11"/>
      <c r="BZ631" s="11"/>
    </row>
    <row r="632" ht="15.75" customHeight="1">
      <c r="BT632" s="14"/>
      <c r="BU632" s="14"/>
      <c r="BV632" s="11"/>
      <c r="BW632" s="11"/>
      <c r="BX632" s="11"/>
      <c r="BY632" s="11"/>
      <c r="BZ632" s="11"/>
    </row>
    <row r="633" ht="15.75" customHeight="1">
      <c r="BT633" s="14"/>
      <c r="BU633" s="14"/>
      <c r="BV633" s="11"/>
      <c r="BW633" s="11"/>
      <c r="BX633" s="11"/>
      <c r="BY633" s="11"/>
      <c r="BZ633" s="11"/>
    </row>
    <row r="634" ht="15.75" customHeight="1">
      <c r="BT634" s="14"/>
      <c r="BU634" s="14"/>
      <c r="BV634" s="11"/>
      <c r="BW634" s="11"/>
      <c r="BX634" s="11"/>
      <c r="BY634" s="11"/>
      <c r="BZ634" s="11"/>
    </row>
    <row r="635" ht="15.75" customHeight="1">
      <c r="BT635" s="14"/>
      <c r="BU635" s="14"/>
      <c r="BV635" s="11"/>
      <c r="BW635" s="11"/>
      <c r="BX635" s="11"/>
      <c r="BY635" s="11"/>
      <c r="BZ635" s="11"/>
    </row>
    <row r="636" ht="15.75" customHeight="1">
      <c r="BT636" s="14"/>
      <c r="BU636" s="14"/>
      <c r="BV636" s="11"/>
      <c r="BW636" s="11"/>
      <c r="BX636" s="11"/>
      <c r="BY636" s="11"/>
      <c r="BZ636" s="11"/>
    </row>
    <row r="637" ht="15.75" customHeight="1">
      <c r="BT637" s="14"/>
      <c r="BU637" s="14"/>
      <c r="BV637" s="11"/>
      <c r="BW637" s="11"/>
      <c r="BX637" s="11"/>
      <c r="BY637" s="11"/>
      <c r="BZ637" s="11"/>
    </row>
    <row r="638" ht="15.75" customHeight="1">
      <c r="BT638" s="14"/>
      <c r="BU638" s="14"/>
      <c r="BV638" s="11"/>
      <c r="BW638" s="11"/>
      <c r="BX638" s="11"/>
      <c r="BY638" s="11"/>
      <c r="BZ638" s="11"/>
    </row>
    <row r="639" ht="15.75" customHeight="1">
      <c r="BT639" s="14"/>
      <c r="BU639" s="14"/>
      <c r="BV639" s="11"/>
      <c r="BW639" s="11"/>
      <c r="BX639" s="11"/>
      <c r="BY639" s="11"/>
      <c r="BZ639" s="11"/>
    </row>
    <row r="640" ht="15.75" customHeight="1">
      <c r="BT640" s="14"/>
      <c r="BU640" s="14"/>
      <c r="BV640" s="11"/>
      <c r="BW640" s="11"/>
      <c r="BX640" s="11"/>
      <c r="BY640" s="11"/>
      <c r="BZ640" s="11"/>
    </row>
    <row r="641" ht="15.75" customHeight="1">
      <c r="BT641" s="14"/>
      <c r="BU641" s="14"/>
      <c r="BV641" s="11"/>
      <c r="BW641" s="11"/>
      <c r="BX641" s="11"/>
      <c r="BY641" s="11"/>
      <c r="BZ641" s="11"/>
    </row>
    <row r="642" ht="15.75" customHeight="1">
      <c r="BT642" s="14"/>
      <c r="BU642" s="14"/>
      <c r="BV642" s="11"/>
      <c r="BW642" s="11"/>
      <c r="BX642" s="11"/>
      <c r="BY642" s="11"/>
      <c r="BZ642" s="11"/>
    </row>
    <row r="643" ht="15.75" customHeight="1">
      <c r="BT643" s="14"/>
      <c r="BU643" s="14"/>
      <c r="BV643" s="11"/>
      <c r="BW643" s="11"/>
      <c r="BX643" s="11"/>
      <c r="BY643" s="11"/>
      <c r="BZ643" s="11"/>
    </row>
    <row r="644" ht="15.75" customHeight="1">
      <c r="BT644" s="14"/>
      <c r="BU644" s="14"/>
      <c r="BV644" s="11"/>
      <c r="BW644" s="11"/>
      <c r="BX644" s="11"/>
      <c r="BY644" s="11"/>
      <c r="BZ644" s="11"/>
    </row>
    <row r="645" ht="15.75" customHeight="1">
      <c r="BT645" s="14"/>
      <c r="BU645" s="14"/>
      <c r="BV645" s="11"/>
      <c r="BW645" s="11"/>
      <c r="BX645" s="11"/>
      <c r="BY645" s="11"/>
      <c r="BZ645" s="11"/>
    </row>
    <row r="646" ht="15.75" customHeight="1">
      <c r="BT646" s="14"/>
      <c r="BU646" s="14"/>
      <c r="BV646" s="11"/>
      <c r="BW646" s="11"/>
      <c r="BX646" s="11"/>
      <c r="BY646" s="11"/>
      <c r="BZ646" s="11"/>
    </row>
    <row r="647" ht="15.75" customHeight="1">
      <c r="BT647" s="14"/>
      <c r="BU647" s="14"/>
      <c r="BV647" s="11"/>
      <c r="BW647" s="11"/>
      <c r="BX647" s="11"/>
      <c r="BY647" s="11"/>
      <c r="BZ647" s="11"/>
    </row>
    <row r="648" ht="15.75" customHeight="1">
      <c r="BT648" s="14"/>
      <c r="BU648" s="14"/>
      <c r="BV648" s="11"/>
      <c r="BW648" s="11"/>
      <c r="BX648" s="11"/>
      <c r="BY648" s="11"/>
      <c r="BZ648" s="11"/>
    </row>
    <row r="649" ht="15.75" customHeight="1">
      <c r="BT649" s="14"/>
      <c r="BU649" s="14"/>
      <c r="BV649" s="11"/>
      <c r="BW649" s="11"/>
      <c r="BX649" s="11"/>
      <c r="BY649" s="11"/>
      <c r="BZ649" s="11"/>
    </row>
    <row r="650" ht="15.75" customHeight="1">
      <c r="BT650" s="14"/>
      <c r="BU650" s="14"/>
      <c r="BV650" s="11"/>
      <c r="BW650" s="11"/>
      <c r="BX650" s="11"/>
      <c r="BY650" s="11"/>
      <c r="BZ650" s="11"/>
    </row>
    <row r="651" ht="15.75" customHeight="1">
      <c r="BT651" s="14"/>
      <c r="BU651" s="14"/>
      <c r="BV651" s="11"/>
      <c r="BW651" s="11"/>
      <c r="BX651" s="11"/>
      <c r="BY651" s="11"/>
      <c r="BZ651" s="11"/>
    </row>
    <row r="652" ht="15.75" customHeight="1">
      <c r="BT652" s="14"/>
      <c r="BU652" s="14"/>
      <c r="BV652" s="11"/>
      <c r="BW652" s="11"/>
      <c r="BX652" s="11"/>
      <c r="BY652" s="11"/>
      <c r="BZ652" s="11"/>
    </row>
    <row r="653" ht="15.75" customHeight="1">
      <c r="BT653" s="14"/>
      <c r="BU653" s="14"/>
      <c r="BV653" s="11"/>
      <c r="BW653" s="11"/>
      <c r="BX653" s="11"/>
      <c r="BY653" s="11"/>
      <c r="BZ653" s="11"/>
    </row>
    <row r="654" ht="15.75" customHeight="1">
      <c r="BT654" s="14"/>
      <c r="BU654" s="14"/>
      <c r="BV654" s="11"/>
      <c r="BW654" s="11"/>
      <c r="BX654" s="11"/>
      <c r="BY654" s="11"/>
      <c r="BZ654" s="11"/>
    </row>
    <row r="655" ht="15.75" customHeight="1">
      <c r="BT655" s="14"/>
      <c r="BU655" s="14"/>
      <c r="BV655" s="11"/>
      <c r="BW655" s="11"/>
      <c r="BX655" s="11"/>
      <c r="BY655" s="11"/>
      <c r="BZ655" s="11"/>
    </row>
    <row r="656" ht="15.75" customHeight="1">
      <c r="BT656" s="14"/>
      <c r="BU656" s="14"/>
      <c r="BV656" s="11"/>
      <c r="BW656" s="11"/>
      <c r="BX656" s="11"/>
      <c r="BY656" s="11"/>
      <c r="BZ656" s="11"/>
    </row>
    <row r="657" ht="15.75" customHeight="1">
      <c r="BT657" s="14"/>
      <c r="BU657" s="14"/>
      <c r="BV657" s="11"/>
      <c r="BW657" s="11"/>
      <c r="BX657" s="11"/>
      <c r="BY657" s="11"/>
      <c r="BZ657" s="11"/>
    </row>
    <row r="658" ht="15.75" customHeight="1">
      <c r="BT658" s="14"/>
      <c r="BU658" s="14"/>
      <c r="BV658" s="11"/>
      <c r="BW658" s="11"/>
      <c r="BX658" s="11"/>
      <c r="BY658" s="11"/>
      <c r="BZ658" s="11"/>
    </row>
    <row r="659" ht="15.75" customHeight="1">
      <c r="BT659" s="14"/>
      <c r="BU659" s="14"/>
      <c r="BV659" s="11"/>
      <c r="BW659" s="11"/>
      <c r="BX659" s="11"/>
      <c r="BY659" s="11"/>
      <c r="BZ659" s="11"/>
    </row>
    <row r="660" ht="15.75" customHeight="1">
      <c r="BT660" s="14"/>
      <c r="BU660" s="14"/>
      <c r="BV660" s="11"/>
      <c r="BW660" s="11"/>
      <c r="BX660" s="11"/>
      <c r="BY660" s="11"/>
      <c r="BZ660" s="11"/>
    </row>
    <row r="661" ht="15.75" customHeight="1">
      <c r="BT661" s="14"/>
      <c r="BU661" s="14"/>
      <c r="BV661" s="11"/>
      <c r="BW661" s="11"/>
      <c r="BX661" s="11"/>
      <c r="BY661" s="11"/>
      <c r="BZ661" s="11"/>
    </row>
    <row r="662" ht="15.75" customHeight="1">
      <c r="BT662" s="14"/>
      <c r="BU662" s="14"/>
      <c r="BV662" s="11"/>
      <c r="BW662" s="11"/>
      <c r="BX662" s="11"/>
      <c r="BY662" s="11"/>
      <c r="BZ662" s="11"/>
    </row>
    <row r="663" ht="15.75" customHeight="1">
      <c r="BT663" s="14"/>
      <c r="BU663" s="14"/>
      <c r="BV663" s="11"/>
      <c r="BW663" s="11"/>
      <c r="BX663" s="11"/>
      <c r="BY663" s="11"/>
      <c r="BZ663" s="11"/>
    </row>
    <row r="664" ht="15.75" customHeight="1">
      <c r="BT664" s="14"/>
      <c r="BU664" s="14"/>
      <c r="BV664" s="11"/>
      <c r="BW664" s="11"/>
      <c r="BX664" s="11"/>
      <c r="BY664" s="11"/>
      <c r="BZ664" s="11"/>
    </row>
    <row r="665" ht="15.75" customHeight="1">
      <c r="BT665" s="14"/>
      <c r="BU665" s="14"/>
      <c r="BV665" s="11"/>
      <c r="BW665" s="11"/>
      <c r="BX665" s="11"/>
      <c r="BY665" s="11"/>
      <c r="BZ665" s="11"/>
    </row>
    <row r="666" ht="15.75" customHeight="1">
      <c r="BT666" s="14"/>
      <c r="BU666" s="14"/>
      <c r="BV666" s="11"/>
      <c r="BW666" s="11"/>
      <c r="BX666" s="11"/>
      <c r="BY666" s="11"/>
      <c r="BZ666" s="11"/>
    </row>
    <row r="667" ht="15.75" customHeight="1">
      <c r="BT667" s="14"/>
      <c r="BU667" s="14"/>
      <c r="BV667" s="11"/>
      <c r="BW667" s="11"/>
      <c r="BX667" s="11"/>
      <c r="BY667" s="11"/>
      <c r="BZ667" s="11"/>
    </row>
    <row r="668" ht="15.75" customHeight="1">
      <c r="BT668" s="14"/>
      <c r="BU668" s="14"/>
      <c r="BV668" s="11"/>
      <c r="BW668" s="11"/>
      <c r="BX668" s="11"/>
      <c r="BY668" s="11"/>
      <c r="BZ668" s="11"/>
    </row>
    <row r="669" ht="15.75" customHeight="1">
      <c r="BT669" s="14"/>
      <c r="BU669" s="14"/>
      <c r="BV669" s="11"/>
      <c r="BW669" s="11"/>
      <c r="BX669" s="11"/>
      <c r="BY669" s="11"/>
      <c r="BZ669" s="11"/>
    </row>
    <row r="670" ht="15.75" customHeight="1">
      <c r="BT670" s="14"/>
      <c r="BU670" s="14"/>
      <c r="BV670" s="11"/>
      <c r="BW670" s="11"/>
      <c r="BX670" s="11"/>
      <c r="BY670" s="11"/>
      <c r="BZ670" s="11"/>
    </row>
    <row r="671" ht="15.75" customHeight="1">
      <c r="BT671" s="14"/>
      <c r="BU671" s="14"/>
      <c r="BV671" s="11"/>
      <c r="BW671" s="11"/>
      <c r="BX671" s="11"/>
      <c r="BY671" s="11"/>
      <c r="BZ671" s="11"/>
    </row>
    <row r="672" ht="15.75" customHeight="1">
      <c r="BT672" s="14"/>
      <c r="BU672" s="14"/>
      <c r="BV672" s="11"/>
      <c r="BW672" s="11"/>
      <c r="BX672" s="11"/>
      <c r="BY672" s="11"/>
      <c r="BZ672" s="11"/>
    </row>
    <row r="673" ht="15.75" customHeight="1">
      <c r="BT673" s="14"/>
      <c r="BU673" s="14"/>
      <c r="BV673" s="11"/>
      <c r="BW673" s="11"/>
      <c r="BX673" s="11"/>
      <c r="BY673" s="11"/>
      <c r="BZ673" s="11"/>
    </row>
    <row r="674" ht="15.75" customHeight="1">
      <c r="BT674" s="14"/>
      <c r="BU674" s="14"/>
      <c r="BV674" s="11"/>
      <c r="BW674" s="11"/>
      <c r="BX674" s="11"/>
      <c r="BY674" s="11"/>
      <c r="BZ674" s="11"/>
    </row>
    <row r="675" ht="15.75" customHeight="1">
      <c r="BT675" s="14"/>
      <c r="BU675" s="14"/>
      <c r="BV675" s="11"/>
      <c r="BW675" s="11"/>
      <c r="BX675" s="11"/>
      <c r="BY675" s="11"/>
      <c r="BZ675" s="11"/>
    </row>
    <row r="676" ht="15.75" customHeight="1">
      <c r="BT676" s="14"/>
      <c r="BU676" s="14"/>
      <c r="BV676" s="11"/>
      <c r="BW676" s="11"/>
      <c r="BX676" s="11"/>
      <c r="BY676" s="11"/>
      <c r="BZ676" s="11"/>
    </row>
    <row r="677" ht="15.75" customHeight="1">
      <c r="BT677" s="14"/>
      <c r="BU677" s="14"/>
      <c r="BV677" s="11"/>
      <c r="BW677" s="11"/>
      <c r="BX677" s="11"/>
      <c r="BY677" s="11"/>
      <c r="BZ677" s="11"/>
    </row>
    <row r="678" ht="15.75" customHeight="1">
      <c r="BT678" s="14"/>
      <c r="BU678" s="14"/>
      <c r="BV678" s="11"/>
      <c r="BW678" s="11"/>
      <c r="BX678" s="11"/>
      <c r="BY678" s="11"/>
      <c r="BZ678" s="11"/>
    </row>
    <row r="679" ht="15.75" customHeight="1">
      <c r="BT679" s="14"/>
      <c r="BU679" s="14"/>
      <c r="BV679" s="11"/>
      <c r="BW679" s="11"/>
      <c r="BX679" s="11"/>
      <c r="BY679" s="11"/>
      <c r="BZ679" s="11"/>
    </row>
    <row r="680" ht="15.75" customHeight="1">
      <c r="BT680" s="14"/>
      <c r="BU680" s="14"/>
      <c r="BV680" s="11"/>
      <c r="BW680" s="11"/>
      <c r="BX680" s="11"/>
      <c r="BY680" s="11"/>
      <c r="BZ680" s="11"/>
    </row>
    <row r="681" ht="15.75" customHeight="1">
      <c r="BT681" s="14"/>
      <c r="BU681" s="14"/>
      <c r="BV681" s="11"/>
      <c r="BW681" s="11"/>
      <c r="BX681" s="11"/>
      <c r="BY681" s="11"/>
      <c r="BZ681" s="11"/>
    </row>
    <row r="682" ht="15.75" customHeight="1">
      <c r="BT682" s="14"/>
      <c r="BU682" s="14"/>
      <c r="BV682" s="11"/>
      <c r="BW682" s="11"/>
      <c r="BX682" s="11"/>
      <c r="BY682" s="11"/>
      <c r="BZ682" s="11"/>
    </row>
    <row r="683" ht="15.75" customHeight="1">
      <c r="BT683" s="14"/>
      <c r="BU683" s="14"/>
      <c r="BV683" s="11"/>
      <c r="BW683" s="11"/>
      <c r="BX683" s="11"/>
      <c r="BY683" s="11"/>
      <c r="BZ683" s="11"/>
    </row>
    <row r="684" ht="15.75" customHeight="1">
      <c r="BT684" s="14"/>
      <c r="BU684" s="14"/>
      <c r="BV684" s="11"/>
      <c r="BW684" s="11"/>
      <c r="BX684" s="11"/>
      <c r="BY684" s="11"/>
      <c r="BZ684" s="11"/>
    </row>
    <row r="685" ht="15.75" customHeight="1">
      <c r="BT685" s="14"/>
      <c r="BU685" s="14"/>
      <c r="BV685" s="11"/>
      <c r="BW685" s="11"/>
      <c r="BX685" s="11"/>
      <c r="BY685" s="11"/>
      <c r="BZ685" s="11"/>
    </row>
    <row r="686" ht="15.75" customHeight="1">
      <c r="BT686" s="14"/>
      <c r="BU686" s="14"/>
      <c r="BV686" s="11"/>
      <c r="BW686" s="11"/>
      <c r="BX686" s="11"/>
      <c r="BY686" s="11"/>
      <c r="BZ686" s="11"/>
    </row>
    <row r="687" ht="15.75" customHeight="1">
      <c r="BT687" s="14"/>
      <c r="BU687" s="14"/>
      <c r="BV687" s="11"/>
      <c r="BW687" s="11"/>
      <c r="BX687" s="11"/>
      <c r="BY687" s="11"/>
      <c r="BZ687" s="11"/>
    </row>
    <row r="688" ht="15.75" customHeight="1">
      <c r="BT688" s="14"/>
      <c r="BU688" s="14"/>
      <c r="BV688" s="11"/>
      <c r="BW688" s="11"/>
      <c r="BX688" s="11"/>
      <c r="BY688" s="11"/>
      <c r="BZ688" s="11"/>
    </row>
    <row r="689" ht="15.75" customHeight="1">
      <c r="BT689" s="14"/>
      <c r="BU689" s="14"/>
      <c r="BV689" s="11"/>
      <c r="BW689" s="11"/>
      <c r="BX689" s="11"/>
      <c r="BY689" s="11"/>
      <c r="BZ689" s="11"/>
    </row>
    <row r="690" ht="15.75" customHeight="1">
      <c r="BT690" s="14"/>
      <c r="BU690" s="14"/>
      <c r="BV690" s="11"/>
      <c r="BW690" s="11"/>
      <c r="BX690" s="11"/>
      <c r="BY690" s="11"/>
      <c r="BZ690" s="11"/>
    </row>
    <row r="691" ht="15.75" customHeight="1">
      <c r="BT691" s="14"/>
      <c r="BU691" s="14"/>
      <c r="BV691" s="11"/>
      <c r="BW691" s="11"/>
      <c r="BX691" s="11"/>
      <c r="BY691" s="11"/>
      <c r="BZ691" s="11"/>
    </row>
    <row r="692" ht="15.75" customHeight="1">
      <c r="BT692" s="14"/>
      <c r="BU692" s="14"/>
      <c r="BV692" s="11"/>
      <c r="BW692" s="11"/>
      <c r="BX692" s="11"/>
      <c r="BY692" s="11"/>
      <c r="BZ692" s="11"/>
    </row>
    <row r="693" ht="15.75" customHeight="1">
      <c r="BT693" s="14"/>
      <c r="BU693" s="14"/>
      <c r="BV693" s="11"/>
      <c r="BW693" s="11"/>
      <c r="BX693" s="11"/>
      <c r="BY693" s="11"/>
      <c r="BZ693" s="11"/>
    </row>
    <row r="694" ht="15.75" customHeight="1">
      <c r="BT694" s="14"/>
      <c r="BU694" s="14"/>
      <c r="BV694" s="11"/>
      <c r="BW694" s="11"/>
      <c r="BX694" s="11"/>
      <c r="BY694" s="11"/>
      <c r="BZ694" s="11"/>
    </row>
    <row r="695" ht="15.75" customHeight="1">
      <c r="BT695" s="14"/>
      <c r="BU695" s="14"/>
      <c r="BV695" s="11"/>
      <c r="BW695" s="11"/>
      <c r="BX695" s="11"/>
      <c r="BY695" s="11"/>
      <c r="BZ695" s="11"/>
    </row>
    <row r="696" ht="15.75" customHeight="1">
      <c r="BT696" s="14"/>
      <c r="BU696" s="14"/>
      <c r="BV696" s="11"/>
      <c r="BW696" s="11"/>
      <c r="BX696" s="11"/>
      <c r="BY696" s="11"/>
      <c r="BZ696" s="11"/>
    </row>
    <row r="697" ht="15.75" customHeight="1">
      <c r="BT697" s="14"/>
      <c r="BU697" s="14"/>
      <c r="BV697" s="11"/>
      <c r="BW697" s="11"/>
      <c r="BX697" s="11"/>
      <c r="BY697" s="11"/>
      <c r="BZ697" s="11"/>
    </row>
    <row r="698" ht="15.75" customHeight="1">
      <c r="BT698" s="14"/>
      <c r="BU698" s="14"/>
      <c r="BV698" s="11"/>
      <c r="BW698" s="11"/>
      <c r="BX698" s="11"/>
      <c r="BY698" s="11"/>
      <c r="BZ698" s="11"/>
    </row>
    <row r="699" ht="15.75" customHeight="1">
      <c r="BT699" s="14"/>
      <c r="BU699" s="14"/>
      <c r="BV699" s="11"/>
      <c r="BW699" s="11"/>
      <c r="BX699" s="11"/>
      <c r="BY699" s="11"/>
      <c r="BZ699" s="11"/>
    </row>
    <row r="700" ht="15.75" customHeight="1">
      <c r="BT700" s="14"/>
      <c r="BU700" s="14"/>
      <c r="BV700" s="11"/>
      <c r="BW700" s="11"/>
      <c r="BX700" s="11"/>
      <c r="BY700" s="11"/>
      <c r="BZ700" s="11"/>
    </row>
    <row r="701" ht="15.75" customHeight="1">
      <c r="BT701" s="14"/>
      <c r="BU701" s="14"/>
      <c r="BV701" s="11"/>
      <c r="BW701" s="11"/>
      <c r="BX701" s="11"/>
      <c r="BY701" s="11"/>
      <c r="BZ701" s="11"/>
    </row>
    <row r="702" ht="15.75" customHeight="1">
      <c r="BT702" s="14"/>
      <c r="BU702" s="14"/>
      <c r="BV702" s="11"/>
      <c r="BW702" s="11"/>
      <c r="BX702" s="11"/>
      <c r="BY702" s="11"/>
      <c r="BZ702" s="11"/>
    </row>
    <row r="703" ht="15.75" customHeight="1">
      <c r="BT703" s="14"/>
      <c r="BU703" s="14"/>
      <c r="BV703" s="11"/>
      <c r="BW703" s="11"/>
      <c r="BX703" s="11"/>
      <c r="BY703" s="11"/>
      <c r="BZ703" s="11"/>
    </row>
    <row r="704" ht="15.75" customHeight="1">
      <c r="BT704" s="14"/>
      <c r="BU704" s="14"/>
      <c r="BV704" s="11"/>
      <c r="BW704" s="11"/>
      <c r="BX704" s="11"/>
      <c r="BY704" s="11"/>
      <c r="BZ704" s="11"/>
    </row>
    <row r="705" ht="15.75" customHeight="1">
      <c r="BT705" s="14"/>
      <c r="BU705" s="14"/>
      <c r="BV705" s="11"/>
      <c r="BW705" s="11"/>
      <c r="BX705" s="11"/>
      <c r="BY705" s="11"/>
      <c r="BZ705" s="11"/>
    </row>
    <row r="706" ht="15.75" customHeight="1">
      <c r="BT706" s="14"/>
      <c r="BU706" s="14"/>
      <c r="BV706" s="11"/>
      <c r="BW706" s="11"/>
      <c r="BX706" s="11"/>
      <c r="BY706" s="11"/>
      <c r="BZ706" s="11"/>
    </row>
    <row r="707" ht="15.75" customHeight="1">
      <c r="BT707" s="14"/>
      <c r="BU707" s="14"/>
      <c r="BV707" s="11"/>
      <c r="BW707" s="11"/>
      <c r="BX707" s="11"/>
      <c r="BY707" s="11"/>
      <c r="BZ707" s="11"/>
    </row>
    <row r="708" ht="15.75" customHeight="1">
      <c r="BT708" s="14"/>
      <c r="BU708" s="14"/>
      <c r="BV708" s="11"/>
      <c r="BW708" s="11"/>
      <c r="BX708" s="11"/>
      <c r="BY708" s="11"/>
      <c r="BZ708" s="11"/>
    </row>
    <row r="709" ht="15.75" customHeight="1">
      <c r="BT709" s="14"/>
      <c r="BU709" s="14"/>
      <c r="BV709" s="11"/>
      <c r="BW709" s="11"/>
      <c r="BX709" s="11"/>
      <c r="BY709" s="11"/>
      <c r="BZ709" s="11"/>
    </row>
    <row r="710" ht="15.75" customHeight="1">
      <c r="BT710" s="14"/>
      <c r="BU710" s="14"/>
      <c r="BV710" s="11"/>
      <c r="BW710" s="11"/>
      <c r="BX710" s="11"/>
      <c r="BY710" s="11"/>
      <c r="BZ710" s="11"/>
    </row>
    <row r="711" ht="15.75" customHeight="1">
      <c r="BT711" s="14"/>
      <c r="BU711" s="14"/>
      <c r="BV711" s="11"/>
      <c r="BW711" s="11"/>
      <c r="BX711" s="11"/>
      <c r="BY711" s="11"/>
      <c r="BZ711" s="11"/>
    </row>
    <row r="712" ht="15.75" customHeight="1">
      <c r="BT712" s="14"/>
      <c r="BU712" s="14"/>
      <c r="BV712" s="11"/>
      <c r="BW712" s="11"/>
      <c r="BX712" s="11"/>
      <c r="BY712" s="11"/>
      <c r="BZ712" s="11"/>
    </row>
    <row r="713" ht="15.75" customHeight="1">
      <c r="BT713" s="14"/>
      <c r="BU713" s="14"/>
      <c r="BV713" s="11"/>
      <c r="BW713" s="11"/>
      <c r="BX713" s="11"/>
      <c r="BY713" s="11"/>
      <c r="BZ713" s="11"/>
    </row>
    <row r="714" ht="15.75" customHeight="1">
      <c r="BT714" s="14"/>
      <c r="BU714" s="14"/>
      <c r="BV714" s="11"/>
      <c r="BW714" s="11"/>
      <c r="BX714" s="11"/>
      <c r="BY714" s="11"/>
      <c r="BZ714" s="11"/>
    </row>
    <row r="715" ht="15.75" customHeight="1">
      <c r="BT715" s="14"/>
      <c r="BU715" s="14"/>
      <c r="BV715" s="11"/>
      <c r="BW715" s="11"/>
      <c r="BX715" s="11"/>
      <c r="BY715" s="11"/>
      <c r="BZ715" s="11"/>
    </row>
    <row r="716" ht="15.75" customHeight="1">
      <c r="BT716" s="14"/>
      <c r="BU716" s="14"/>
      <c r="BV716" s="11"/>
      <c r="BW716" s="11"/>
      <c r="BX716" s="11"/>
      <c r="BY716" s="11"/>
      <c r="BZ716" s="11"/>
    </row>
    <row r="717" ht="15.75" customHeight="1">
      <c r="BT717" s="14"/>
      <c r="BU717" s="14"/>
      <c r="BV717" s="11"/>
      <c r="BW717" s="11"/>
      <c r="BX717" s="11"/>
      <c r="BY717" s="11"/>
      <c r="BZ717" s="11"/>
    </row>
    <row r="718" ht="15.75" customHeight="1">
      <c r="BT718" s="14"/>
      <c r="BU718" s="14"/>
      <c r="BV718" s="11"/>
      <c r="BW718" s="11"/>
      <c r="BX718" s="11"/>
      <c r="BY718" s="11"/>
      <c r="BZ718" s="11"/>
    </row>
    <row r="719" ht="15.75" customHeight="1">
      <c r="BT719" s="14"/>
      <c r="BU719" s="14"/>
      <c r="BV719" s="11"/>
      <c r="BW719" s="11"/>
      <c r="BX719" s="11"/>
      <c r="BY719" s="11"/>
      <c r="BZ719" s="11"/>
    </row>
    <row r="720" ht="15.75" customHeight="1">
      <c r="BT720" s="14"/>
      <c r="BU720" s="14"/>
      <c r="BV720" s="11"/>
      <c r="BW720" s="11"/>
      <c r="BX720" s="11"/>
      <c r="BY720" s="11"/>
      <c r="BZ720" s="11"/>
    </row>
    <row r="721" ht="15.75" customHeight="1">
      <c r="BT721" s="14"/>
      <c r="BU721" s="14"/>
      <c r="BV721" s="11"/>
      <c r="BW721" s="11"/>
      <c r="BX721" s="11"/>
      <c r="BY721" s="11"/>
      <c r="BZ721" s="11"/>
    </row>
    <row r="722" ht="15.75" customHeight="1">
      <c r="BT722" s="14"/>
      <c r="BU722" s="14"/>
      <c r="BV722" s="11"/>
      <c r="BW722" s="11"/>
      <c r="BX722" s="11"/>
      <c r="BY722" s="11"/>
      <c r="BZ722" s="11"/>
    </row>
    <row r="723" ht="15.75" customHeight="1">
      <c r="BT723" s="14"/>
      <c r="BU723" s="14"/>
      <c r="BV723" s="11"/>
      <c r="BW723" s="11"/>
      <c r="BX723" s="11"/>
      <c r="BY723" s="11"/>
      <c r="BZ723" s="11"/>
    </row>
    <row r="724" ht="15.75" customHeight="1">
      <c r="BT724" s="14"/>
      <c r="BU724" s="14"/>
      <c r="BV724" s="11"/>
      <c r="BW724" s="11"/>
      <c r="BX724" s="11"/>
      <c r="BY724" s="11"/>
      <c r="BZ724" s="11"/>
    </row>
    <row r="725" ht="15.75" customHeight="1">
      <c r="BT725" s="14"/>
      <c r="BU725" s="14"/>
      <c r="BV725" s="11"/>
      <c r="BW725" s="11"/>
      <c r="BX725" s="11"/>
      <c r="BY725" s="11"/>
      <c r="BZ725" s="11"/>
    </row>
    <row r="726" ht="15.75" customHeight="1">
      <c r="BT726" s="14"/>
      <c r="BU726" s="14"/>
      <c r="BV726" s="11"/>
      <c r="BW726" s="11"/>
      <c r="BX726" s="11"/>
      <c r="BY726" s="11"/>
      <c r="BZ726" s="11"/>
    </row>
    <row r="727" ht="15.75" customHeight="1">
      <c r="BT727" s="14"/>
      <c r="BU727" s="14"/>
      <c r="BV727" s="11"/>
      <c r="BW727" s="11"/>
      <c r="BX727" s="11"/>
      <c r="BY727" s="11"/>
      <c r="BZ727" s="11"/>
    </row>
    <row r="728" ht="15.75" customHeight="1">
      <c r="BT728" s="14"/>
      <c r="BU728" s="14"/>
      <c r="BV728" s="11"/>
      <c r="BW728" s="11"/>
      <c r="BX728" s="11"/>
      <c r="BY728" s="11"/>
      <c r="BZ728" s="11"/>
    </row>
    <row r="729" ht="15.75" customHeight="1">
      <c r="BT729" s="14"/>
      <c r="BU729" s="14"/>
      <c r="BV729" s="11"/>
      <c r="BW729" s="11"/>
      <c r="BX729" s="11"/>
      <c r="BY729" s="11"/>
      <c r="BZ729" s="11"/>
    </row>
    <row r="730" ht="15.75" customHeight="1">
      <c r="BT730" s="14"/>
      <c r="BU730" s="14"/>
      <c r="BV730" s="11"/>
      <c r="BW730" s="11"/>
      <c r="BX730" s="11"/>
      <c r="BY730" s="11"/>
      <c r="BZ730" s="11"/>
    </row>
    <row r="731" ht="15.75" customHeight="1">
      <c r="BT731" s="14"/>
      <c r="BU731" s="14"/>
      <c r="BV731" s="11"/>
      <c r="BW731" s="11"/>
      <c r="BX731" s="11"/>
      <c r="BY731" s="11"/>
      <c r="BZ731" s="11"/>
    </row>
    <row r="732" ht="15.75" customHeight="1">
      <c r="BT732" s="14"/>
      <c r="BU732" s="14"/>
      <c r="BV732" s="11"/>
      <c r="BW732" s="11"/>
      <c r="BX732" s="11"/>
      <c r="BY732" s="11"/>
      <c r="BZ732" s="11"/>
    </row>
    <row r="733" ht="15.75" customHeight="1">
      <c r="BT733" s="14"/>
      <c r="BU733" s="14"/>
      <c r="BV733" s="11"/>
      <c r="BW733" s="11"/>
      <c r="BX733" s="11"/>
      <c r="BY733" s="11"/>
      <c r="BZ733" s="11"/>
    </row>
    <row r="734" ht="15.75" customHeight="1">
      <c r="BT734" s="14"/>
      <c r="BU734" s="14"/>
      <c r="BV734" s="11"/>
      <c r="BW734" s="11"/>
      <c r="BX734" s="11"/>
      <c r="BY734" s="11"/>
      <c r="BZ734" s="11"/>
    </row>
    <row r="735" ht="15.75" customHeight="1">
      <c r="BT735" s="14"/>
      <c r="BU735" s="14"/>
      <c r="BV735" s="11"/>
      <c r="BW735" s="11"/>
      <c r="BX735" s="11"/>
      <c r="BY735" s="11"/>
      <c r="BZ735" s="11"/>
    </row>
    <row r="736" ht="15.75" customHeight="1">
      <c r="BT736" s="14"/>
      <c r="BU736" s="14"/>
      <c r="BV736" s="11"/>
      <c r="BW736" s="11"/>
      <c r="BX736" s="11"/>
      <c r="BY736" s="11"/>
      <c r="BZ736" s="11"/>
    </row>
    <row r="737" ht="15.75" customHeight="1">
      <c r="BT737" s="14"/>
      <c r="BU737" s="14"/>
      <c r="BV737" s="11"/>
      <c r="BW737" s="11"/>
      <c r="BX737" s="11"/>
      <c r="BY737" s="11"/>
      <c r="BZ737" s="11"/>
    </row>
    <row r="738" ht="15.75" customHeight="1">
      <c r="BT738" s="14"/>
      <c r="BU738" s="14"/>
      <c r="BV738" s="11"/>
      <c r="BW738" s="11"/>
      <c r="BX738" s="11"/>
      <c r="BY738" s="11"/>
      <c r="BZ738" s="11"/>
    </row>
    <row r="739" ht="15.75" customHeight="1">
      <c r="BT739" s="14"/>
      <c r="BU739" s="14"/>
      <c r="BV739" s="11"/>
      <c r="BW739" s="11"/>
      <c r="BX739" s="11"/>
      <c r="BY739" s="11"/>
      <c r="BZ739" s="11"/>
    </row>
    <row r="740" ht="15.75" customHeight="1">
      <c r="BT740" s="14"/>
      <c r="BU740" s="14"/>
      <c r="BV740" s="11"/>
      <c r="BW740" s="11"/>
      <c r="BX740" s="11"/>
      <c r="BY740" s="11"/>
      <c r="BZ740" s="11"/>
    </row>
    <row r="741" ht="15.75" customHeight="1">
      <c r="BT741" s="14"/>
      <c r="BU741" s="14"/>
      <c r="BV741" s="11"/>
      <c r="BW741" s="11"/>
      <c r="BX741" s="11"/>
      <c r="BY741" s="11"/>
      <c r="BZ741" s="11"/>
    </row>
    <row r="742" ht="15.75" customHeight="1">
      <c r="BT742" s="14"/>
      <c r="BU742" s="14"/>
      <c r="BV742" s="11"/>
      <c r="BW742" s="11"/>
      <c r="BX742" s="11"/>
      <c r="BY742" s="11"/>
      <c r="BZ742" s="11"/>
    </row>
    <row r="743" ht="15.75" customHeight="1">
      <c r="BT743" s="14"/>
      <c r="BU743" s="14"/>
      <c r="BV743" s="11"/>
      <c r="BW743" s="11"/>
      <c r="BX743" s="11"/>
      <c r="BY743" s="11"/>
      <c r="BZ743" s="11"/>
    </row>
    <row r="744" ht="15.75" customHeight="1">
      <c r="BT744" s="14"/>
      <c r="BU744" s="14"/>
      <c r="BV744" s="11"/>
      <c r="BW744" s="11"/>
      <c r="BX744" s="11"/>
      <c r="BY744" s="11"/>
      <c r="BZ744" s="11"/>
    </row>
    <row r="745" ht="15.75" customHeight="1">
      <c r="BT745" s="14"/>
      <c r="BU745" s="14"/>
      <c r="BV745" s="11"/>
      <c r="BW745" s="11"/>
      <c r="BX745" s="11"/>
      <c r="BY745" s="11"/>
      <c r="BZ745" s="11"/>
    </row>
    <row r="746" ht="15.75" customHeight="1">
      <c r="BT746" s="14"/>
      <c r="BU746" s="14"/>
      <c r="BV746" s="11"/>
      <c r="BW746" s="11"/>
      <c r="BX746" s="11"/>
      <c r="BY746" s="11"/>
      <c r="BZ746" s="11"/>
    </row>
    <row r="747" ht="15.75" customHeight="1">
      <c r="BT747" s="14"/>
      <c r="BU747" s="14"/>
      <c r="BV747" s="11"/>
      <c r="BW747" s="11"/>
      <c r="BX747" s="11"/>
      <c r="BY747" s="11"/>
      <c r="BZ747" s="11"/>
    </row>
    <row r="748" ht="15.75" customHeight="1">
      <c r="BT748" s="14"/>
      <c r="BU748" s="14"/>
      <c r="BV748" s="11"/>
      <c r="BW748" s="11"/>
      <c r="BX748" s="11"/>
      <c r="BY748" s="11"/>
      <c r="BZ748" s="11"/>
    </row>
    <row r="749" ht="15.75" customHeight="1">
      <c r="BT749" s="14"/>
      <c r="BU749" s="14"/>
      <c r="BV749" s="11"/>
      <c r="BW749" s="11"/>
      <c r="BX749" s="11"/>
      <c r="BY749" s="11"/>
      <c r="BZ749" s="11"/>
    </row>
    <row r="750" ht="15.75" customHeight="1">
      <c r="BT750" s="14"/>
      <c r="BU750" s="14"/>
      <c r="BV750" s="11"/>
      <c r="BW750" s="11"/>
      <c r="BX750" s="11"/>
      <c r="BY750" s="11"/>
      <c r="BZ750" s="11"/>
    </row>
    <row r="751" ht="15.75" customHeight="1">
      <c r="BT751" s="14"/>
      <c r="BU751" s="14"/>
      <c r="BV751" s="11"/>
      <c r="BW751" s="11"/>
      <c r="BX751" s="11"/>
      <c r="BY751" s="11"/>
      <c r="BZ751" s="11"/>
    </row>
    <row r="752" ht="15.75" customHeight="1">
      <c r="BT752" s="14"/>
      <c r="BU752" s="14"/>
      <c r="BV752" s="11"/>
      <c r="BW752" s="11"/>
      <c r="BX752" s="11"/>
      <c r="BY752" s="11"/>
      <c r="BZ752" s="11"/>
    </row>
    <row r="753" ht="15.75" customHeight="1">
      <c r="BT753" s="14"/>
      <c r="BU753" s="14"/>
      <c r="BV753" s="11"/>
      <c r="BW753" s="11"/>
      <c r="BX753" s="11"/>
      <c r="BY753" s="11"/>
      <c r="BZ753" s="11"/>
    </row>
    <row r="754" ht="15.75" customHeight="1">
      <c r="BT754" s="14"/>
      <c r="BU754" s="14"/>
      <c r="BV754" s="11"/>
      <c r="BW754" s="11"/>
      <c r="BX754" s="11"/>
      <c r="BY754" s="11"/>
      <c r="BZ754" s="11"/>
    </row>
    <row r="755" ht="15.75" customHeight="1">
      <c r="BT755" s="14"/>
      <c r="BU755" s="14"/>
      <c r="BV755" s="11"/>
      <c r="BW755" s="11"/>
      <c r="BX755" s="11"/>
      <c r="BY755" s="11"/>
      <c r="BZ755" s="11"/>
    </row>
    <row r="756" ht="15.75" customHeight="1">
      <c r="BT756" s="14"/>
      <c r="BU756" s="14"/>
      <c r="BV756" s="11"/>
      <c r="BW756" s="11"/>
      <c r="BX756" s="11"/>
      <c r="BY756" s="11"/>
      <c r="BZ756" s="11"/>
    </row>
    <row r="757" ht="15.75" customHeight="1">
      <c r="BT757" s="14"/>
      <c r="BU757" s="14"/>
      <c r="BV757" s="11"/>
      <c r="BW757" s="11"/>
      <c r="BX757" s="11"/>
      <c r="BY757" s="11"/>
      <c r="BZ757" s="11"/>
    </row>
    <row r="758" ht="15.75" customHeight="1">
      <c r="BT758" s="14"/>
      <c r="BU758" s="14"/>
      <c r="BV758" s="11"/>
      <c r="BW758" s="11"/>
      <c r="BX758" s="11"/>
      <c r="BY758" s="11"/>
      <c r="BZ758" s="11"/>
    </row>
    <row r="759" ht="15.75" customHeight="1">
      <c r="BT759" s="14"/>
      <c r="BU759" s="14"/>
      <c r="BV759" s="11"/>
      <c r="BW759" s="11"/>
      <c r="BX759" s="11"/>
      <c r="BY759" s="11"/>
      <c r="BZ759" s="11"/>
    </row>
    <row r="760" ht="15.75" customHeight="1">
      <c r="BT760" s="14"/>
      <c r="BU760" s="14"/>
      <c r="BV760" s="11"/>
      <c r="BW760" s="11"/>
      <c r="BX760" s="11"/>
      <c r="BY760" s="11"/>
      <c r="BZ760" s="11"/>
    </row>
    <row r="761" ht="15.75" customHeight="1">
      <c r="BT761" s="14"/>
      <c r="BU761" s="14"/>
      <c r="BV761" s="11"/>
      <c r="BW761" s="11"/>
      <c r="BX761" s="11"/>
      <c r="BY761" s="11"/>
      <c r="BZ761" s="11"/>
    </row>
    <row r="762" ht="15.75" customHeight="1">
      <c r="BT762" s="14"/>
      <c r="BU762" s="14"/>
      <c r="BV762" s="11"/>
      <c r="BW762" s="11"/>
      <c r="BX762" s="11"/>
      <c r="BY762" s="11"/>
      <c r="BZ762" s="11"/>
    </row>
    <row r="763" ht="15.75" customHeight="1">
      <c r="BT763" s="14"/>
      <c r="BU763" s="14"/>
      <c r="BV763" s="11"/>
      <c r="BW763" s="11"/>
      <c r="BX763" s="11"/>
      <c r="BY763" s="11"/>
      <c r="BZ763" s="11"/>
    </row>
    <row r="764" ht="15.75" customHeight="1">
      <c r="BT764" s="14"/>
      <c r="BU764" s="14"/>
      <c r="BV764" s="11"/>
      <c r="BW764" s="11"/>
      <c r="BX764" s="11"/>
      <c r="BY764" s="11"/>
      <c r="BZ764" s="11"/>
    </row>
    <row r="765" ht="15.75" customHeight="1">
      <c r="BT765" s="14"/>
      <c r="BU765" s="14"/>
      <c r="BV765" s="11"/>
      <c r="BW765" s="11"/>
      <c r="BX765" s="11"/>
      <c r="BY765" s="11"/>
      <c r="BZ765" s="11"/>
    </row>
    <row r="766" ht="15.75" customHeight="1">
      <c r="BT766" s="14"/>
      <c r="BU766" s="14"/>
      <c r="BV766" s="11"/>
      <c r="BW766" s="11"/>
      <c r="BX766" s="11"/>
      <c r="BY766" s="11"/>
      <c r="BZ766" s="11"/>
    </row>
    <row r="767" ht="15.75" customHeight="1">
      <c r="BT767" s="14"/>
      <c r="BU767" s="14"/>
      <c r="BV767" s="11"/>
      <c r="BW767" s="11"/>
      <c r="BX767" s="11"/>
      <c r="BY767" s="11"/>
      <c r="BZ767" s="11"/>
    </row>
    <row r="768" ht="15.75" customHeight="1">
      <c r="BT768" s="14"/>
      <c r="BU768" s="14"/>
      <c r="BV768" s="11"/>
      <c r="BW768" s="11"/>
      <c r="BX768" s="11"/>
      <c r="BY768" s="11"/>
      <c r="BZ768" s="11"/>
    </row>
    <row r="769" ht="15.75" customHeight="1">
      <c r="BT769" s="14"/>
      <c r="BU769" s="14"/>
      <c r="BV769" s="11"/>
      <c r="BW769" s="11"/>
      <c r="BX769" s="11"/>
      <c r="BY769" s="11"/>
      <c r="BZ769" s="11"/>
    </row>
    <row r="770" ht="15.75" customHeight="1">
      <c r="BT770" s="14"/>
      <c r="BU770" s="14"/>
      <c r="BV770" s="11"/>
      <c r="BW770" s="11"/>
      <c r="BX770" s="11"/>
      <c r="BY770" s="11"/>
      <c r="BZ770" s="11"/>
    </row>
    <row r="771" ht="15.75" customHeight="1">
      <c r="BT771" s="14"/>
      <c r="BU771" s="14"/>
      <c r="BV771" s="11"/>
      <c r="BW771" s="11"/>
      <c r="BX771" s="11"/>
      <c r="BY771" s="11"/>
      <c r="BZ771" s="11"/>
    </row>
    <row r="772" ht="15.75" customHeight="1">
      <c r="BT772" s="14"/>
      <c r="BU772" s="14"/>
      <c r="BV772" s="11"/>
      <c r="BW772" s="11"/>
      <c r="BX772" s="11"/>
      <c r="BY772" s="11"/>
      <c r="BZ772" s="11"/>
    </row>
    <row r="773" ht="15.75" customHeight="1">
      <c r="BT773" s="14"/>
      <c r="BU773" s="14"/>
      <c r="BV773" s="11"/>
      <c r="BW773" s="11"/>
      <c r="BX773" s="11"/>
      <c r="BY773" s="11"/>
      <c r="BZ773" s="11"/>
    </row>
    <row r="774" ht="15.75" customHeight="1">
      <c r="BT774" s="14"/>
      <c r="BU774" s="14"/>
      <c r="BV774" s="11"/>
      <c r="BW774" s="11"/>
      <c r="BX774" s="11"/>
      <c r="BY774" s="11"/>
      <c r="BZ774" s="11"/>
    </row>
    <row r="775" ht="15.75" customHeight="1">
      <c r="BT775" s="14"/>
      <c r="BU775" s="14"/>
      <c r="BV775" s="11"/>
      <c r="BW775" s="11"/>
      <c r="BX775" s="11"/>
      <c r="BY775" s="11"/>
      <c r="BZ775" s="11"/>
    </row>
    <row r="776" ht="15.75" customHeight="1">
      <c r="BT776" s="14"/>
      <c r="BU776" s="14"/>
      <c r="BV776" s="11"/>
      <c r="BW776" s="11"/>
      <c r="BX776" s="11"/>
      <c r="BY776" s="11"/>
      <c r="BZ776" s="11"/>
    </row>
    <row r="777" ht="15.75" customHeight="1">
      <c r="BT777" s="14"/>
      <c r="BU777" s="14"/>
      <c r="BV777" s="11"/>
      <c r="BW777" s="11"/>
      <c r="BX777" s="11"/>
      <c r="BY777" s="11"/>
      <c r="BZ777" s="11"/>
    </row>
    <row r="778" ht="15.75" customHeight="1">
      <c r="BT778" s="14"/>
      <c r="BU778" s="14"/>
      <c r="BV778" s="11"/>
      <c r="BW778" s="11"/>
      <c r="BX778" s="11"/>
      <c r="BY778" s="11"/>
      <c r="BZ778" s="11"/>
    </row>
    <row r="779" ht="15.75" customHeight="1">
      <c r="BT779" s="14"/>
      <c r="BU779" s="14"/>
      <c r="BV779" s="11"/>
      <c r="BW779" s="11"/>
      <c r="BX779" s="11"/>
      <c r="BY779" s="11"/>
      <c r="BZ779" s="11"/>
    </row>
    <row r="780" ht="15.75" customHeight="1">
      <c r="BT780" s="14"/>
      <c r="BU780" s="14"/>
      <c r="BV780" s="11"/>
      <c r="BW780" s="11"/>
      <c r="BX780" s="11"/>
      <c r="BY780" s="11"/>
      <c r="BZ780" s="11"/>
    </row>
    <row r="781" ht="15.75" customHeight="1">
      <c r="BT781" s="14"/>
      <c r="BU781" s="14"/>
      <c r="BV781" s="11"/>
      <c r="BW781" s="11"/>
      <c r="BX781" s="11"/>
      <c r="BY781" s="11"/>
      <c r="BZ781" s="11"/>
    </row>
    <row r="782" ht="15.75" customHeight="1">
      <c r="BT782" s="14"/>
      <c r="BU782" s="14"/>
      <c r="BV782" s="11"/>
      <c r="BW782" s="11"/>
      <c r="BX782" s="11"/>
      <c r="BY782" s="11"/>
      <c r="BZ782" s="11"/>
    </row>
    <row r="783" ht="15.75" customHeight="1">
      <c r="BT783" s="14"/>
      <c r="BU783" s="14"/>
      <c r="BV783" s="11"/>
      <c r="BW783" s="11"/>
      <c r="BX783" s="11"/>
      <c r="BY783" s="11"/>
      <c r="BZ783" s="11"/>
    </row>
    <row r="784" ht="15.75" customHeight="1">
      <c r="BT784" s="14"/>
      <c r="BU784" s="14"/>
      <c r="BV784" s="11"/>
      <c r="BW784" s="11"/>
      <c r="BX784" s="11"/>
      <c r="BY784" s="11"/>
      <c r="BZ784" s="11"/>
    </row>
    <row r="785" ht="15.75" customHeight="1">
      <c r="BT785" s="14"/>
      <c r="BU785" s="14"/>
      <c r="BV785" s="11"/>
      <c r="BW785" s="11"/>
      <c r="BX785" s="11"/>
      <c r="BY785" s="11"/>
      <c r="BZ785" s="11"/>
    </row>
    <row r="786" ht="15.75" customHeight="1">
      <c r="BT786" s="14"/>
      <c r="BU786" s="14"/>
      <c r="BV786" s="11"/>
      <c r="BW786" s="11"/>
      <c r="BX786" s="11"/>
      <c r="BY786" s="11"/>
      <c r="BZ786" s="11"/>
    </row>
    <row r="787" ht="15.75" customHeight="1">
      <c r="BT787" s="14"/>
      <c r="BU787" s="14"/>
      <c r="BV787" s="11"/>
      <c r="BW787" s="11"/>
      <c r="BX787" s="11"/>
      <c r="BY787" s="11"/>
      <c r="BZ787" s="11"/>
    </row>
    <row r="788" ht="15.75" customHeight="1">
      <c r="BT788" s="14"/>
      <c r="BU788" s="14"/>
      <c r="BV788" s="11"/>
      <c r="BW788" s="11"/>
      <c r="BX788" s="11"/>
      <c r="BY788" s="11"/>
      <c r="BZ788" s="11"/>
    </row>
    <row r="789" ht="15.75" customHeight="1">
      <c r="BT789" s="14"/>
      <c r="BU789" s="14"/>
      <c r="BV789" s="11"/>
      <c r="BW789" s="11"/>
      <c r="BX789" s="11"/>
      <c r="BY789" s="11"/>
      <c r="BZ789" s="11"/>
    </row>
    <row r="790" ht="15.75" customHeight="1">
      <c r="BT790" s="14"/>
      <c r="BU790" s="14"/>
      <c r="BV790" s="11"/>
      <c r="BW790" s="11"/>
      <c r="BX790" s="11"/>
      <c r="BY790" s="11"/>
      <c r="BZ790" s="11"/>
    </row>
    <row r="791" ht="15.75" customHeight="1">
      <c r="BT791" s="14"/>
      <c r="BU791" s="14"/>
      <c r="BV791" s="11"/>
      <c r="BW791" s="11"/>
      <c r="BX791" s="11"/>
      <c r="BY791" s="11"/>
      <c r="BZ791" s="11"/>
    </row>
    <row r="792" ht="15.75" customHeight="1">
      <c r="BT792" s="14"/>
      <c r="BU792" s="14"/>
      <c r="BV792" s="11"/>
      <c r="BW792" s="11"/>
      <c r="BX792" s="11"/>
      <c r="BY792" s="11"/>
      <c r="BZ792" s="11"/>
    </row>
    <row r="793" ht="15.75" customHeight="1">
      <c r="BT793" s="14"/>
      <c r="BU793" s="14"/>
      <c r="BV793" s="11"/>
      <c r="BW793" s="11"/>
      <c r="BX793" s="11"/>
      <c r="BY793" s="11"/>
      <c r="BZ793" s="11"/>
    </row>
    <row r="794" ht="15.75" customHeight="1">
      <c r="BT794" s="14"/>
      <c r="BU794" s="14"/>
      <c r="BV794" s="11"/>
      <c r="BW794" s="11"/>
      <c r="BX794" s="11"/>
      <c r="BY794" s="11"/>
      <c r="BZ794" s="11"/>
    </row>
    <row r="795" ht="15.75" customHeight="1">
      <c r="BT795" s="14"/>
      <c r="BU795" s="14"/>
      <c r="BV795" s="11"/>
      <c r="BW795" s="11"/>
      <c r="BX795" s="11"/>
      <c r="BY795" s="11"/>
      <c r="BZ795" s="11"/>
    </row>
    <row r="796" ht="15.75" customHeight="1">
      <c r="BT796" s="14"/>
      <c r="BU796" s="14"/>
      <c r="BV796" s="11"/>
      <c r="BW796" s="11"/>
      <c r="BX796" s="11"/>
      <c r="BY796" s="11"/>
      <c r="BZ796" s="11"/>
    </row>
    <row r="797" ht="15.75" customHeight="1">
      <c r="BT797" s="14"/>
      <c r="BU797" s="14"/>
      <c r="BV797" s="11"/>
      <c r="BW797" s="11"/>
      <c r="BX797" s="11"/>
      <c r="BY797" s="11"/>
      <c r="BZ797" s="11"/>
    </row>
    <row r="798" ht="15.75" customHeight="1">
      <c r="BT798" s="14"/>
      <c r="BU798" s="14"/>
      <c r="BV798" s="11"/>
      <c r="BW798" s="11"/>
      <c r="BX798" s="11"/>
      <c r="BY798" s="11"/>
      <c r="BZ798" s="11"/>
    </row>
    <row r="799" ht="15.75" customHeight="1">
      <c r="BT799" s="14"/>
      <c r="BU799" s="14"/>
      <c r="BV799" s="11"/>
      <c r="BW799" s="11"/>
      <c r="BX799" s="11"/>
      <c r="BY799" s="11"/>
      <c r="BZ799" s="11"/>
    </row>
    <row r="800" ht="15.75" customHeight="1">
      <c r="BT800" s="14"/>
      <c r="BU800" s="14"/>
      <c r="BV800" s="11"/>
      <c r="BW800" s="11"/>
      <c r="BX800" s="11"/>
      <c r="BY800" s="11"/>
      <c r="BZ800" s="11"/>
    </row>
    <row r="801" ht="15.75" customHeight="1">
      <c r="BT801" s="14"/>
      <c r="BU801" s="14"/>
      <c r="BV801" s="11"/>
      <c r="BW801" s="11"/>
      <c r="BX801" s="11"/>
      <c r="BY801" s="11"/>
      <c r="BZ801" s="11"/>
    </row>
    <row r="802" ht="15.75" customHeight="1">
      <c r="BT802" s="14"/>
      <c r="BU802" s="14"/>
      <c r="BV802" s="11"/>
      <c r="BW802" s="11"/>
      <c r="BX802" s="11"/>
      <c r="BY802" s="11"/>
      <c r="BZ802" s="11"/>
    </row>
    <row r="803" ht="15.75" customHeight="1">
      <c r="BT803" s="14"/>
      <c r="BU803" s="14"/>
      <c r="BV803" s="11"/>
      <c r="BW803" s="11"/>
      <c r="BX803" s="11"/>
      <c r="BY803" s="11"/>
      <c r="BZ803" s="11"/>
    </row>
    <row r="804" ht="15.75" customHeight="1">
      <c r="BT804" s="14"/>
      <c r="BU804" s="14"/>
      <c r="BV804" s="11"/>
      <c r="BW804" s="11"/>
      <c r="BX804" s="11"/>
      <c r="BY804" s="11"/>
      <c r="BZ804" s="11"/>
    </row>
    <row r="805" ht="15.75" customHeight="1">
      <c r="BT805" s="14"/>
      <c r="BU805" s="14"/>
      <c r="BV805" s="11"/>
      <c r="BW805" s="11"/>
      <c r="BX805" s="11"/>
      <c r="BY805" s="11"/>
      <c r="BZ805" s="11"/>
    </row>
    <row r="806" ht="15.75" customHeight="1">
      <c r="BT806" s="14"/>
      <c r="BU806" s="14"/>
      <c r="BV806" s="11"/>
      <c r="BW806" s="11"/>
      <c r="BX806" s="11"/>
      <c r="BY806" s="11"/>
      <c r="BZ806" s="11"/>
    </row>
    <row r="807" ht="15.75" customHeight="1">
      <c r="BT807" s="14"/>
      <c r="BU807" s="14"/>
      <c r="BV807" s="11"/>
      <c r="BW807" s="11"/>
      <c r="BX807" s="11"/>
      <c r="BY807" s="11"/>
      <c r="BZ807" s="11"/>
    </row>
    <row r="808" ht="15.75" customHeight="1">
      <c r="BT808" s="14"/>
      <c r="BU808" s="14"/>
      <c r="BV808" s="11"/>
      <c r="BW808" s="11"/>
      <c r="BX808" s="11"/>
      <c r="BY808" s="11"/>
      <c r="BZ808" s="11"/>
    </row>
    <row r="809" ht="15.75" customHeight="1">
      <c r="BT809" s="14"/>
      <c r="BU809" s="14"/>
      <c r="BV809" s="11"/>
      <c r="BW809" s="11"/>
      <c r="BX809" s="11"/>
      <c r="BY809" s="11"/>
      <c r="BZ809" s="11"/>
    </row>
    <row r="810" ht="15.75" customHeight="1">
      <c r="BT810" s="14"/>
      <c r="BU810" s="14"/>
      <c r="BV810" s="11"/>
      <c r="BW810" s="11"/>
      <c r="BX810" s="11"/>
      <c r="BY810" s="11"/>
      <c r="BZ810" s="11"/>
    </row>
    <row r="811" ht="15.75" customHeight="1">
      <c r="BT811" s="14"/>
      <c r="BU811" s="14"/>
      <c r="BV811" s="11"/>
      <c r="BW811" s="11"/>
      <c r="BX811" s="11"/>
      <c r="BY811" s="11"/>
      <c r="BZ811" s="11"/>
    </row>
    <row r="812" ht="15.75" customHeight="1">
      <c r="BT812" s="14"/>
      <c r="BU812" s="14"/>
      <c r="BV812" s="11"/>
      <c r="BW812" s="11"/>
      <c r="BX812" s="11"/>
      <c r="BY812" s="11"/>
      <c r="BZ812" s="11"/>
    </row>
    <row r="813" ht="15.75" customHeight="1">
      <c r="BT813" s="14"/>
      <c r="BU813" s="14"/>
      <c r="BV813" s="11"/>
      <c r="BW813" s="11"/>
      <c r="BX813" s="11"/>
      <c r="BY813" s="11"/>
      <c r="BZ813" s="11"/>
    </row>
    <row r="814" ht="15.75" customHeight="1">
      <c r="BT814" s="14"/>
      <c r="BU814" s="14"/>
      <c r="BV814" s="11"/>
      <c r="BW814" s="11"/>
      <c r="BX814" s="11"/>
      <c r="BY814" s="11"/>
      <c r="BZ814" s="11"/>
    </row>
    <row r="815" ht="15.75" customHeight="1">
      <c r="BT815" s="14"/>
      <c r="BU815" s="14"/>
      <c r="BV815" s="11"/>
      <c r="BW815" s="11"/>
      <c r="BX815" s="11"/>
      <c r="BY815" s="11"/>
      <c r="BZ815" s="11"/>
    </row>
    <row r="816" ht="15.75" customHeight="1">
      <c r="BT816" s="14"/>
      <c r="BU816" s="14"/>
      <c r="BV816" s="11"/>
      <c r="BW816" s="11"/>
      <c r="BX816" s="11"/>
      <c r="BY816" s="11"/>
      <c r="BZ816" s="11"/>
    </row>
    <row r="817" ht="15.75" customHeight="1">
      <c r="BT817" s="14"/>
      <c r="BU817" s="14"/>
      <c r="BV817" s="11"/>
      <c r="BW817" s="11"/>
      <c r="BX817" s="11"/>
      <c r="BY817" s="11"/>
      <c r="BZ817" s="11"/>
    </row>
    <row r="818" ht="15.75" customHeight="1">
      <c r="BT818" s="14"/>
      <c r="BU818" s="14"/>
      <c r="BV818" s="11"/>
      <c r="BW818" s="11"/>
      <c r="BX818" s="11"/>
      <c r="BY818" s="11"/>
      <c r="BZ818" s="11"/>
    </row>
    <row r="819" ht="15.75" customHeight="1">
      <c r="BT819" s="14"/>
      <c r="BU819" s="14"/>
      <c r="BV819" s="11"/>
      <c r="BW819" s="11"/>
      <c r="BX819" s="11"/>
      <c r="BY819" s="11"/>
      <c r="BZ819" s="11"/>
    </row>
    <row r="820" ht="15.75" customHeight="1">
      <c r="BT820" s="14"/>
      <c r="BU820" s="14"/>
      <c r="BV820" s="11"/>
      <c r="BW820" s="11"/>
      <c r="BX820" s="11"/>
      <c r="BY820" s="11"/>
      <c r="BZ820" s="11"/>
    </row>
    <row r="821" ht="15.75" customHeight="1">
      <c r="BT821" s="14"/>
      <c r="BU821" s="14"/>
      <c r="BV821" s="11"/>
      <c r="BW821" s="11"/>
      <c r="BX821" s="11"/>
      <c r="BY821" s="11"/>
      <c r="BZ821" s="11"/>
    </row>
    <row r="822" ht="15.75" customHeight="1">
      <c r="BT822" s="14"/>
      <c r="BU822" s="14"/>
      <c r="BV822" s="11"/>
      <c r="BW822" s="11"/>
      <c r="BX822" s="11"/>
      <c r="BY822" s="11"/>
      <c r="BZ822" s="11"/>
    </row>
    <row r="823" ht="15.75" customHeight="1">
      <c r="BT823" s="14"/>
      <c r="BU823" s="14"/>
      <c r="BV823" s="11"/>
      <c r="BW823" s="11"/>
      <c r="BX823" s="11"/>
      <c r="BY823" s="11"/>
      <c r="BZ823" s="11"/>
    </row>
    <row r="824" ht="15.75" customHeight="1">
      <c r="BT824" s="14"/>
      <c r="BU824" s="14"/>
      <c r="BV824" s="11"/>
      <c r="BW824" s="11"/>
      <c r="BX824" s="11"/>
      <c r="BY824" s="11"/>
      <c r="BZ824" s="11"/>
    </row>
    <row r="825" ht="15.75" customHeight="1">
      <c r="BT825" s="14"/>
      <c r="BU825" s="14"/>
      <c r="BV825" s="11"/>
      <c r="BW825" s="11"/>
      <c r="BX825" s="11"/>
      <c r="BY825" s="11"/>
      <c r="BZ825" s="11"/>
    </row>
    <row r="826" ht="15.75" customHeight="1">
      <c r="BT826" s="14"/>
      <c r="BU826" s="14"/>
      <c r="BV826" s="11"/>
      <c r="BW826" s="11"/>
      <c r="BX826" s="11"/>
      <c r="BY826" s="11"/>
      <c r="BZ826" s="11"/>
    </row>
    <row r="827" ht="15.75" customHeight="1">
      <c r="BT827" s="14"/>
      <c r="BU827" s="14"/>
      <c r="BV827" s="11"/>
      <c r="BW827" s="11"/>
      <c r="BX827" s="11"/>
      <c r="BY827" s="11"/>
      <c r="BZ827" s="11"/>
    </row>
    <row r="828" ht="15.75" customHeight="1">
      <c r="BT828" s="14"/>
      <c r="BU828" s="14"/>
      <c r="BV828" s="11"/>
      <c r="BW828" s="11"/>
      <c r="BX828" s="11"/>
      <c r="BY828" s="11"/>
      <c r="BZ828" s="11"/>
    </row>
    <row r="829" ht="15.75" customHeight="1">
      <c r="BT829" s="14"/>
      <c r="BU829" s="14"/>
      <c r="BV829" s="11"/>
      <c r="BW829" s="11"/>
      <c r="BX829" s="11"/>
      <c r="BY829" s="11"/>
      <c r="BZ829" s="11"/>
    </row>
    <row r="830" ht="15.75" customHeight="1">
      <c r="BT830" s="14"/>
      <c r="BU830" s="14"/>
      <c r="BV830" s="11"/>
      <c r="BW830" s="11"/>
      <c r="BX830" s="11"/>
      <c r="BY830" s="11"/>
      <c r="BZ830" s="11"/>
    </row>
    <row r="831" ht="15.75" customHeight="1">
      <c r="BT831" s="14"/>
      <c r="BU831" s="14"/>
      <c r="BV831" s="11"/>
      <c r="BW831" s="11"/>
      <c r="BX831" s="11"/>
      <c r="BY831" s="11"/>
      <c r="BZ831" s="11"/>
    </row>
    <row r="832" ht="15.75" customHeight="1">
      <c r="BT832" s="14"/>
      <c r="BU832" s="14"/>
      <c r="BV832" s="11"/>
      <c r="BW832" s="11"/>
      <c r="BX832" s="11"/>
      <c r="BY832" s="11"/>
      <c r="BZ832" s="11"/>
    </row>
    <row r="833" ht="15.75" customHeight="1">
      <c r="BT833" s="14"/>
      <c r="BU833" s="14"/>
      <c r="BV833" s="11"/>
      <c r="BW833" s="11"/>
      <c r="BX833" s="11"/>
      <c r="BY833" s="11"/>
      <c r="BZ833" s="11"/>
    </row>
    <row r="834" ht="15.75" customHeight="1">
      <c r="BT834" s="14"/>
      <c r="BU834" s="14"/>
      <c r="BV834" s="11"/>
      <c r="BW834" s="11"/>
      <c r="BX834" s="11"/>
      <c r="BY834" s="11"/>
      <c r="BZ834" s="11"/>
    </row>
    <row r="835" ht="15.75" customHeight="1">
      <c r="BT835" s="14"/>
      <c r="BU835" s="14"/>
      <c r="BV835" s="11"/>
      <c r="BW835" s="11"/>
      <c r="BX835" s="11"/>
      <c r="BY835" s="11"/>
      <c r="BZ835" s="11"/>
    </row>
    <row r="836" ht="15.75" customHeight="1">
      <c r="BT836" s="14"/>
      <c r="BU836" s="14"/>
      <c r="BV836" s="11"/>
      <c r="BW836" s="11"/>
      <c r="BX836" s="11"/>
      <c r="BY836" s="11"/>
      <c r="BZ836" s="11"/>
    </row>
    <row r="837" ht="15.75" customHeight="1">
      <c r="BT837" s="14"/>
      <c r="BU837" s="14"/>
      <c r="BV837" s="11"/>
      <c r="BW837" s="11"/>
      <c r="BX837" s="11"/>
      <c r="BY837" s="11"/>
      <c r="BZ837" s="11"/>
    </row>
    <row r="838" ht="15.75" customHeight="1">
      <c r="BT838" s="14"/>
      <c r="BU838" s="14"/>
      <c r="BV838" s="11"/>
      <c r="BW838" s="11"/>
      <c r="BX838" s="11"/>
      <c r="BY838" s="11"/>
      <c r="BZ838" s="11"/>
    </row>
    <row r="839" ht="15.75" customHeight="1">
      <c r="BT839" s="14"/>
      <c r="BU839" s="14"/>
      <c r="BV839" s="11"/>
      <c r="BW839" s="11"/>
      <c r="BX839" s="11"/>
      <c r="BY839" s="11"/>
      <c r="BZ839" s="11"/>
    </row>
    <row r="840" ht="15.75" customHeight="1">
      <c r="BT840" s="14"/>
      <c r="BU840" s="14"/>
      <c r="BV840" s="11"/>
      <c r="BW840" s="11"/>
      <c r="BX840" s="11"/>
      <c r="BY840" s="11"/>
      <c r="BZ840" s="11"/>
    </row>
    <row r="841" ht="15.75" customHeight="1">
      <c r="BT841" s="14"/>
      <c r="BU841" s="14"/>
      <c r="BV841" s="11"/>
      <c r="BW841" s="11"/>
      <c r="BX841" s="11"/>
      <c r="BY841" s="11"/>
      <c r="BZ841" s="11"/>
    </row>
    <row r="842" ht="15.75" customHeight="1">
      <c r="BT842" s="14"/>
      <c r="BU842" s="14"/>
      <c r="BV842" s="11"/>
      <c r="BW842" s="11"/>
      <c r="BX842" s="11"/>
      <c r="BY842" s="11"/>
      <c r="BZ842" s="11"/>
    </row>
    <row r="843" ht="15.75" customHeight="1">
      <c r="BT843" s="14"/>
      <c r="BU843" s="14"/>
      <c r="BV843" s="11"/>
      <c r="BW843" s="11"/>
      <c r="BX843" s="11"/>
      <c r="BY843" s="11"/>
      <c r="BZ843" s="11"/>
    </row>
    <row r="844" ht="15.75" customHeight="1">
      <c r="BT844" s="14"/>
      <c r="BU844" s="14"/>
      <c r="BV844" s="11"/>
      <c r="BW844" s="11"/>
      <c r="BX844" s="11"/>
      <c r="BY844" s="11"/>
      <c r="BZ844" s="11"/>
    </row>
    <row r="845" ht="15.75" customHeight="1">
      <c r="BT845" s="14"/>
      <c r="BU845" s="14"/>
      <c r="BV845" s="11"/>
      <c r="BW845" s="11"/>
      <c r="BX845" s="11"/>
      <c r="BY845" s="11"/>
      <c r="BZ845" s="11"/>
    </row>
    <row r="846" ht="15.75" customHeight="1">
      <c r="BT846" s="14"/>
      <c r="BU846" s="14"/>
      <c r="BV846" s="11"/>
      <c r="BW846" s="11"/>
      <c r="BX846" s="11"/>
      <c r="BY846" s="11"/>
      <c r="BZ846" s="11"/>
    </row>
    <row r="847" ht="15.75" customHeight="1">
      <c r="BT847" s="14"/>
      <c r="BU847" s="14"/>
      <c r="BV847" s="11"/>
      <c r="BW847" s="11"/>
      <c r="BX847" s="11"/>
      <c r="BY847" s="11"/>
      <c r="BZ847" s="11"/>
    </row>
    <row r="848" ht="15.75" customHeight="1">
      <c r="BT848" s="14"/>
      <c r="BU848" s="14"/>
      <c r="BV848" s="11"/>
      <c r="BW848" s="11"/>
      <c r="BX848" s="11"/>
      <c r="BY848" s="11"/>
      <c r="BZ848" s="11"/>
    </row>
    <row r="849" ht="15.75" customHeight="1">
      <c r="BT849" s="14"/>
      <c r="BU849" s="14"/>
      <c r="BV849" s="11"/>
      <c r="BW849" s="11"/>
      <c r="BX849" s="11"/>
      <c r="BY849" s="11"/>
      <c r="BZ849" s="11"/>
    </row>
    <row r="850" ht="15.75" customHeight="1">
      <c r="BT850" s="14"/>
      <c r="BU850" s="14"/>
      <c r="BV850" s="11"/>
      <c r="BW850" s="11"/>
      <c r="BX850" s="11"/>
      <c r="BY850" s="11"/>
      <c r="BZ850" s="11"/>
    </row>
    <row r="851" ht="15.75" customHeight="1">
      <c r="BT851" s="14"/>
      <c r="BU851" s="14"/>
      <c r="BV851" s="11"/>
      <c r="BW851" s="11"/>
      <c r="BX851" s="11"/>
      <c r="BY851" s="11"/>
      <c r="BZ851" s="11"/>
    </row>
    <row r="852" ht="15.75" customHeight="1">
      <c r="BT852" s="14"/>
      <c r="BU852" s="14"/>
      <c r="BV852" s="11"/>
      <c r="BW852" s="11"/>
      <c r="BX852" s="11"/>
      <c r="BY852" s="11"/>
      <c r="BZ852" s="11"/>
    </row>
    <row r="853" ht="15.75" customHeight="1">
      <c r="BT853" s="14"/>
      <c r="BU853" s="14"/>
      <c r="BV853" s="11"/>
      <c r="BW853" s="11"/>
      <c r="BX853" s="11"/>
      <c r="BY853" s="11"/>
      <c r="BZ853" s="11"/>
    </row>
    <row r="854" ht="15.75" customHeight="1">
      <c r="BT854" s="14"/>
      <c r="BU854" s="14"/>
      <c r="BV854" s="11"/>
      <c r="BW854" s="11"/>
      <c r="BX854" s="11"/>
      <c r="BY854" s="11"/>
      <c r="BZ854" s="11"/>
    </row>
    <row r="855" ht="15.75" customHeight="1">
      <c r="BT855" s="14"/>
      <c r="BU855" s="14"/>
      <c r="BV855" s="11"/>
      <c r="BW855" s="11"/>
      <c r="BX855" s="11"/>
      <c r="BY855" s="11"/>
      <c r="BZ855" s="11"/>
    </row>
    <row r="856" ht="15.75" customHeight="1">
      <c r="BT856" s="14"/>
      <c r="BU856" s="14"/>
      <c r="BV856" s="11"/>
      <c r="BW856" s="11"/>
      <c r="BX856" s="11"/>
      <c r="BY856" s="11"/>
      <c r="BZ856" s="11"/>
    </row>
    <row r="857" ht="15.75" customHeight="1">
      <c r="BT857" s="14"/>
      <c r="BU857" s="14"/>
      <c r="BV857" s="11"/>
      <c r="BW857" s="11"/>
      <c r="BX857" s="11"/>
      <c r="BY857" s="11"/>
      <c r="BZ857" s="11"/>
    </row>
    <row r="858" ht="15.75" customHeight="1">
      <c r="BT858" s="14"/>
      <c r="BU858" s="14"/>
      <c r="BV858" s="11"/>
      <c r="BW858" s="11"/>
      <c r="BX858" s="11"/>
      <c r="BY858" s="11"/>
      <c r="BZ858" s="11"/>
    </row>
    <row r="859" ht="15.75" customHeight="1">
      <c r="BT859" s="14"/>
      <c r="BU859" s="14"/>
      <c r="BV859" s="11"/>
      <c r="BW859" s="11"/>
      <c r="BX859" s="11"/>
      <c r="BY859" s="11"/>
      <c r="BZ859" s="11"/>
    </row>
    <row r="860" ht="15.75" customHeight="1">
      <c r="BT860" s="14"/>
      <c r="BU860" s="14"/>
      <c r="BV860" s="11"/>
      <c r="BW860" s="11"/>
      <c r="BX860" s="11"/>
      <c r="BY860" s="11"/>
      <c r="BZ860" s="11"/>
    </row>
    <row r="861" ht="15.75" customHeight="1">
      <c r="BT861" s="14"/>
      <c r="BU861" s="14"/>
      <c r="BV861" s="11"/>
      <c r="BW861" s="11"/>
      <c r="BX861" s="11"/>
      <c r="BY861" s="11"/>
      <c r="BZ861" s="11"/>
    </row>
    <row r="862" ht="15.75" customHeight="1">
      <c r="BT862" s="14"/>
      <c r="BU862" s="14"/>
      <c r="BV862" s="11"/>
      <c r="BW862" s="11"/>
      <c r="BX862" s="11"/>
      <c r="BY862" s="11"/>
      <c r="BZ862" s="11"/>
    </row>
    <row r="863" ht="15.75" customHeight="1">
      <c r="BT863" s="14"/>
      <c r="BU863" s="14"/>
      <c r="BV863" s="11"/>
      <c r="BW863" s="11"/>
      <c r="BX863" s="11"/>
      <c r="BY863" s="11"/>
      <c r="BZ863" s="11"/>
    </row>
    <row r="864" ht="15.75" customHeight="1">
      <c r="BT864" s="14"/>
      <c r="BU864" s="14"/>
      <c r="BV864" s="11"/>
      <c r="BW864" s="11"/>
      <c r="BX864" s="11"/>
      <c r="BY864" s="11"/>
      <c r="BZ864" s="11"/>
    </row>
    <row r="865" ht="15.75" customHeight="1">
      <c r="BT865" s="14"/>
      <c r="BU865" s="14"/>
      <c r="BV865" s="11"/>
      <c r="BW865" s="11"/>
      <c r="BX865" s="11"/>
      <c r="BY865" s="11"/>
      <c r="BZ865" s="11"/>
    </row>
    <row r="866" ht="15.75" customHeight="1">
      <c r="BT866" s="14"/>
      <c r="BU866" s="14"/>
      <c r="BV866" s="11"/>
      <c r="BW866" s="11"/>
      <c r="BX866" s="11"/>
      <c r="BY866" s="11"/>
      <c r="BZ866" s="11"/>
    </row>
    <row r="867" ht="15.75" customHeight="1">
      <c r="BT867" s="14"/>
      <c r="BU867" s="14"/>
      <c r="BV867" s="11"/>
      <c r="BW867" s="11"/>
      <c r="BX867" s="11"/>
      <c r="BY867" s="11"/>
      <c r="BZ867" s="11"/>
    </row>
    <row r="868" ht="15.75" customHeight="1">
      <c r="BT868" s="14"/>
      <c r="BU868" s="14"/>
      <c r="BV868" s="11"/>
      <c r="BW868" s="11"/>
      <c r="BX868" s="11"/>
      <c r="BY868" s="11"/>
      <c r="BZ868" s="11"/>
    </row>
    <row r="869" ht="15.75" customHeight="1">
      <c r="BT869" s="14"/>
      <c r="BU869" s="14"/>
      <c r="BV869" s="11"/>
      <c r="BW869" s="11"/>
      <c r="BX869" s="11"/>
      <c r="BY869" s="11"/>
      <c r="BZ869" s="11"/>
    </row>
    <row r="870" ht="15.75" customHeight="1">
      <c r="BT870" s="14"/>
      <c r="BU870" s="14"/>
      <c r="BV870" s="11"/>
      <c r="BW870" s="11"/>
      <c r="BX870" s="11"/>
      <c r="BY870" s="11"/>
      <c r="BZ870" s="11"/>
    </row>
    <row r="871" ht="15.75" customHeight="1">
      <c r="BT871" s="14"/>
      <c r="BU871" s="14"/>
      <c r="BV871" s="11"/>
      <c r="BW871" s="11"/>
      <c r="BX871" s="11"/>
      <c r="BY871" s="11"/>
      <c r="BZ871" s="11"/>
    </row>
    <row r="872" ht="15.75" customHeight="1">
      <c r="BT872" s="14"/>
      <c r="BU872" s="14"/>
      <c r="BV872" s="11"/>
      <c r="BW872" s="11"/>
      <c r="BX872" s="11"/>
      <c r="BY872" s="11"/>
      <c r="BZ872" s="11"/>
    </row>
    <row r="873" ht="15.75" customHeight="1">
      <c r="BT873" s="14"/>
      <c r="BU873" s="14"/>
      <c r="BV873" s="11"/>
      <c r="BW873" s="11"/>
      <c r="BX873" s="11"/>
      <c r="BY873" s="11"/>
      <c r="BZ873" s="11"/>
    </row>
    <row r="874" ht="15.75" customHeight="1">
      <c r="BT874" s="14"/>
      <c r="BU874" s="14"/>
      <c r="BV874" s="11"/>
      <c r="BW874" s="11"/>
      <c r="BX874" s="11"/>
      <c r="BY874" s="11"/>
      <c r="BZ874" s="11"/>
    </row>
    <row r="875" ht="15.75" customHeight="1">
      <c r="BT875" s="14"/>
      <c r="BU875" s="14"/>
      <c r="BV875" s="11"/>
      <c r="BW875" s="11"/>
      <c r="BX875" s="11"/>
      <c r="BY875" s="11"/>
      <c r="BZ875" s="11"/>
    </row>
    <row r="876" ht="15.75" customHeight="1">
      <c r="BT876" s="14"/>
      <c r="BU876" s="14"/>
      <c r="BV876" s="11"/>
      <c r="BW876" s="11"/>
      <c r="BX876" s="11"/>
      <c r="BY876" s="11"/>
      <c r="BZ876" s="11"/>
    </row>
    <row r="877" ht="15.75" customHeight="1">
      <c r="BT877" s="14"/>
      <c r="BU877" s="14"/>
      <c r="BV877" s="11"/>
      <c r="BW877" s="11"/>
      <c r="BX877" s="11"/>
      <c r="BY877" s="11"/>
      <c r="BZ877" s="11"/>
    </row>
    <row r="878" ht="15.75" customHeight="1">
      <c r="BT878" s="14"/>
      <c r="BU878" s="14"/>
      <c r="BV878" s="11"/>
      <c r="BW878" s="11"/>
      <c r="BX878" s="11"/>
      <c r="BY878" s="11"/>
      <c r="BZ878" s="11"/>
    </row>
    <row r="879" ht="15.75" customHeight="1">
      <c r="BT879" s="14"/>
      <c r="BU879" s="14"/>
      <c r="BV879" s="11"/>
      <c r="BW879" s="11"/>
      <c r="BX879" s="11"/>
      <c r="BY879" s="11"/>
      <c r="BZ879" s="11"/>
    </row>
    <row r="880" ht="15.75" customHeight="1">
      <c r="BT880" s="14"/>
      <c r="BU880" s="14"/>
      <c r="BV880" s="11"/>
      <c r="BW880" s="11"/>
      <c r="BX880" s="11"/>
      <c r="BY880" s="11"/>
      <c r="BZ880" s="11"/>
    </row>
    <row r="881" ht="15.75" customHeight="1">
      <c r="BT881" s="14"/>
      <c r="BU881" s="14"/>
      <c r="BV881" s="11"/>
      <c r="BW881" s="11"/>
      <c r="BX881" s="11"/>
      <c r="BY881" s="11"/>
      <c r="BZ881" s="11"/>
    </row>
    <row r="882" ht="15.75" customHeight="1">
      <c r="BT882" s="14"/>
      <c r="BU882" s="14"/>
      <c r="BV882" s="11"/>
      <c r="BW882" s="11"/>
      <c r="BX882" s="11"/>
      <c r="BY882" s="11"/>
      <c r="BZ882" s="11"/>
    </row>
    <row r="883" ht="15.75" customHeight="1">
      <c r="BT883" s="14"/>
      <c r="BU883" s="14"/>
      <c r="BV883" s="11"/>
      <c r="BW883" s="11"/>
      <c r="BX883" s="11"/>
      <c r="BY883" s="11"/>
      <c r="BZ883" s="11"/>
    </row>
    <row r="884" ht="15.75" customHeight="1">
      <c r="BT884" s="14"/>
      <c r="BU884" s="14"/>
      <c r="BV884" s="11"/>
      <c r="BW884" s="11"/>
      <c r="BX884" s="11"/>
      <c r="BY884" s="11"/>
      <c r="BZ884" s="11"/>
    </row>
    <row r="885" ht="15.75" customHeight="1">
      <c r="BT885" s="14"/>
      <c r="BU885" s="14"/>
      <c r="BV885" s="11"/>
      <c r="BW885" s="11"/>
      <c r="BX885" s="11"/>
      <c r="BY885" s="11"/>
      <c r="BZ885" s="11"/>
    </row>
    <row r="886" ht="15.75" customHeight="1">
      <c r="BT886" s="14"/>
      <c r="BU886" s="14"/>
      <c r="BV886" s="11"/>
      <c r="BW886" s="11"/>
      <c r="BX886" s="11"/>
      <c r="BY886" s="11"/>
      <c r="BZ886" s="11"/>
    </row>
    <row r="887" ht="15.75" customHeight="1">
      <c r="BT887" s="14"/>
      <c r="BU887" s="14"/>
      <c r="BV887" s="11"/>
      <c r="BW887" s="11"/>
      <c r="BX887" s="11"/>
      <c r="BY887" s="11"/>
      <c r="BZ887" s="11"/>
    </row>
    <row r="888" ht="15.75" customHeight="1">
      <c r="BT888" s="14"/>
      <c r="BU888" s="14"/>
      <c r="BV888" s="11"/>
      <c r="BW888" s="11"/>
      <c r="BX888" s="11"/>
      <c r="BY888" s="11"/>
      <c r="BZ888" s="11"/>
    </row>
    <row r="889" ht="15.75" customHeight="1">
      <c r="BT889" s="14"/>
      <c r="BU889" s="14"/>
      <c r="BV889" s="11"/>
      <c r="BW889" s="11"/>
      <c r="BX889" s="11"/>
      <c r="BY889" s="11"/>
      <c r="BZ889" s="11"/>
    </row>
    <row r="890" ht="15.75" customHeight="1">
      <c r="BT890" s="14"/>
      <c r="BU890" s="14"/>
      <c r="BV890" s="11"/>
      <c r="BW890" s="11"/>
      <c r="BX890" s="11"/>
      <c r="BY890" s="11"/>
      <c r="BZ890" s="11"/>
    </row>
    <row r="891" ht="15.75" customHeight="1">
      <c r="BT891" s="14"/>
      <c r="BU891" s="14"/>
      <c r="BV891" s="11"/>
      <c r="BW891" s="11"/>
      <c r="BX891" s="11"/>
      <c r="BY891" s="11"/>
      <c r="BZ891" s="11"/>
    </row>
    <row r="892" ht="15.75" customHeight="1">
      <c r="BT892" s="14"/>
      <c r="BU892" s="14"/>
      <c r="BV892" s="11"/>
      <c r="BW892" s="11"/>
      <c r="BX892" s="11"/>
      <c r="BY892" s="11"/>
      <c r="BZ892" s="11"/>
    </row>
    <row r="893" ht="15.75" customHeight="1">
      <c r="BT893" s="14"/>
      <c r="BU893" s="14"/>
      <c r="BV893" s="11"/>
      <c r="BW893" s="11"/>
      <c r="BX893" s="11"/>
      <c r="BY893" s="11"/>
      <c r="BZ893" s="11"/>
    </row>
    <row r="894" ht="15.75" customHeight="1">
      <c r="BT894" s="14"/>
      <c r="BU894" s="14"/>
      <c r="BV894" s="11"/>
      <c r="BW894" s="11"/>
      <c r="BX894" s="11"/>
      <c r="BY894" s="11"/>
      <c r="BZ894" s="11"/>
    </row>
    <row r="895" ht="15.75" customHeight="1">
      <c r="BT895" s="14"/>
      <c r="BU895" s="14"/>
      <c r="BV895" s="11"/>
      <c r="BW895" s="11"/>
      <c r="BX895" s="11"/>
      <c r="BY895" s="11"/>
      <c r="BZ895" s="11"/>
    </row>
    <row r="896" ht="15.75" customHeight="1">
      <c r="BT896" s="14"/>
      <c r="BU896" s="14"/>
      <c r="BV896" s="11"/>
      <c r="BW896" s="11"/>
      <c r="BX896" s="11"/>
      <c r="BY896" s="11"/>
      <c r="BZ896" s="11"/>
    </row>
    <row r="897" ht="15.75" customHeight="1">
      <c r="BT897" s="14"/>
      <c r="BU897" s="14"/>
      <c r="BV897" s="11"/>
      <c r="BW897" s="11"/>
      <c r="BX897" s="11"/>
      <c r="BY897" s="11"/>
      <c r="BZ897" s="11"/>
    </row>
    <row r="898" ht="15.75" customHeight="1">
      <c r="BT898" s="14"/>
      <c r="BU898" s="14"/>
      <c r="BV898" s="11"/>
      <c r="BW898" s="11"/>
      <c r="BX898" s="11"/>
      <c r="BY898" s="11"/>
      <c r="BZ898" s="11"/>
    </row>
    <row r="899" ht="15.75" customHeight="1">
      <c r="BT899" s="14"/>
      <c r="BU899" s="14"/>
      <c r="BV899" s="11"/>
      <c r="BW899" s="11"/>
      <c r="BX899" s="11"/>
      <c r="BY899" s="11"/>
      <c r="BZ899" s="11"/>
    </row>
    <row r="900" ht="15.75" customHeight="1">
      <c r="BT900" s="14"/>
      <c r="BU900" s="14"/>
      <c r="BV900" s="11"/>
      <c r="BW900" s="11"/>
      <c r="BX900" s="11"/>
      <c r="BY900" s="11"/>
      <c r="BZ900" s="11"/>
    </row>
    <row r="901" ht="15.75" customHeight="1">
      <c r="BT901" s="14"/>
      <c r="BU901" s="14"/>
      <c r="BV901" s="11"/>
      <c r="BW901" s="11"/>
      <c r="BX901" s="11"/>
      <c r="BY901" s="11"/>
      <c r="BZ901" s="11"/>
    </row>
    <row r="902" ht="15.75" customHeight="1">
      <c r="BT902" s="14"/>
      <c r="BU902" s="14"/>
      <c r="BV902" s="11"/>
      <c r="BW902" s="11"/>
      <c r="BX902" s="11"/>
      <c r="BY902" s="11"/>
      <c r="BZ902" s="11"/>
    </row>
    <row r="903" ht="15.75" customHeight="1">
      <c r="BT903" s="14"/>
      <c r="BU903" s="14"/>
      <c r="BV903" s="11"/>
      <c r="BW903" s="11"/>
      <c r="BX903" s="11"/>
      <c r="BY903" s="11"/>
      <c r="BZ903" s="11"/>
    </row>
    <row r="904" ht="15.75" customHeight="1">
      <c r="BT904" s="14"/>
      <c r="BU904" s="14"/>
      <c r="BV904" s="11"/>
      <c r="BW904" s="11"/>
      <c r="BX904" s="11"/>
      <c r="BY904" s="11"/>
      <c r="BZ904" s="11"/>
    </row>
    <row r="905" ht="15.75" customHeight="1">
      <c r="BT905" s="14"/>
      <c r="BU905" s="14"/>
      <c r="BV905" s="11"/>
      <c r="BW905" s="11"/>
      <c r="BX905" s="11"/>
      <c r="BY905" s="11"/>
      <c r="BZ905" s="11"/>
    </row>
    <row r="906" ht="15.75" customHeight="1">
      <c r="BT906" s="14"/>
      <c r="BU906" s="14"/>
      <c r="BV906" s="11"/>
      <c r="BW906" s="11"/>
      <c r="BX906" s="11"/>
      <c r="BY906" s="11"/>
      <c r="BZ906" s="11"/>
    </row>
    <row r="907" ht="15.75" customHeight="1">
      <c r="BT907" s="14"/>
      <c r="BU907" s="14"/>
      <c r="BV907" s="11"/>
      <c r="BW907" s="11"/>
      <c r="BX907" s="11"/>
      <c r="BY907" s="11"/>
      <c r="BZ907" s="11"/>
    </row>
    <row r="908" ht="15.75" customHeight="1">
      <c r="BT908" s="14"/>
      <c r="BU908" s="14"/>
      <c r="BV908" s="11"/>
      <c r="BW908" s="11"/>
      <c r="BX908" s="11"/>
      <c r="BY908" s="11"/>
      <c r="BZ908" s="11"/>
    </row>
    <row r="909" ht="15.75" customHeight="1">
      <c r="BT909" s="14"/>
      <c r="BU909" s="14"/>
      <c r="BV909" s="11"/>
      <c r="BW909" s="11"/>
      <c r="BX909" s="11"/>
      <c r="BY909" s="11"/>
      <c r="BZ909" s="11"/>
    </row>
    <row r="910" ht="15.75" customHeight="1">
      <c r="BT910" s="14"/>
      <c r="BU910" s="14"/>
      <c r="BV910" s="11"/>
      <c r="BW910" s="11"/>
      <c r="BX910" s="11"/>
      <c r="BY910" s="11"/>
      <c r="BZ910" s="11"/>
    </row>
    <row r="911" ht="15.75" customHeight="1">
      <c r="BT911" s="14"/>
      <c r="BU911" s="14"/>
      <c r="BV911" s="11"/>
      <c r="BW911" s="11"/>
      <c r="BX911" s="11"/>
      <c r="BY911" s="11"/>
      <c r="BZ911" s="11"/>
    </row>
    <row r="912" ht="15.75" customHeight="1">
      <c r="BT912" s="14"/>
      <c r="BU912" s="14"/>
      <c r="BV912" s="11"/>
      <c r="BW912" s="11"/>
      <c r="BX912" s="11"/>
      <c r="BY912" s="11"/>
      <c r="BZ912" s="11"/>
    </row>
    <row r="913" ht="15.75" customHeight="1">
      <c r="BT913" s="14"/>
      <c r="BU913" s="14"/>
      <c r="BV913" s="11"/>
      <c r="BW913" s="11"/>
      <c r="BX913" s="11"/>
      <c r="BY913" s="11"/>
      <c r="BZ913" s="11"/>
    </row>
    <row r="914" ht="15.75" customHeight="1">
      <c r="BT914" s="14"/>
      <c r="BU914" s="14"/>
      <c r="BV914" s="11"/>
      <c r="BW914" s="11"/>
      <c r="BX914" s="11"/>
      <c r="BY914" s="11"/>
      <c r="BZ914" s="11"/>
    </row>
    <row r="915" ht="15.75" customHeight="1">
      <c r="BT915" s="14"/>
      <c r="BU915" s="14"/>
      <c r="BV915" s="11"/>
      <c r="BW915" s="11"/>
      <c r="BX915" s="11"/>
      <c r="BY915" s="11"/>
      <c r="BZ915" s="11"/>
    </row>
    <row r="916" ht="15.75" customHeight="1">
      <c r="BT916" s="14"/>
      <c r="BU916" s="14"/>
      <c r="BV916" s="11"/>
      <c r="BW916" s="11"/>
      <c r="BX916" s="11"/>
      <c r="BY916" s="11"/>
      <c r="BZ916" s="11"/>
    </row>
    <row r="917" ht="15.75" customHeight="1">
      <c r="BT917" s="14"/>
      <c r="BU917" s="14"/>
      <c r="BV917" s="11"/>
      <c r="BW917" s="11"/>
      <c r="BX917" s="11"/>
      <c r="BY917" s="11"/>
      <c r="BZ917" s="11"/>
    </row>
    <row r="918" ht="15.75" customHeight="1">
      <c r="BT918" s="14"/>
      <c r="BU918" s="14"/>
      <c r="BV918" s="11"/>
      <c r="BW918" s="11"/>
      <c r="BX918" s="11"/>
      <c r="BY918" s="11"/>
      <c r="BZ918" s="11"/>
    </row>
    <row r="919" ht="15.75" customHeight="1">
      <c r="BT919" s="14"/>
      <c r="BU919" s="14"/>
      <c r="BV919" s="11"/>
      <c r="BW919" s="11"/>
      <c r="BX919" s="11"/>
      <c r="BY919" s="11"/>
      <c r="BZ919" s="11"/>
    </row>
    <row r="920" ht="15.75" customHeight="1">
      <c r="BT920" s="14"/>
      <c r="BU920" s="14"/>
      <c r="BV920" s="11"/>
      <c r="BW920" s="11"/>
      <c r="BX920" s="11"/>
      <c r="BY920" s="11"/>
      <c r="BZ920" s="11"/>
    </row>
    <row r="921" ht="15.75" customHeight="1">
      <c r="BT921" s="14"/>
      <c r="BU921" s="14"/>
      <c r="BV921" s="11"/>
      <c r="BW921" s="11"/>
      <c r="BX921" s="11"/>
      <c r="BY921" s="11"/>
      <c r="BZ921" s="11"/>
    </row>
    <row r="922" ht="15.75" customHeight="1">
      <c r="BT922" s="14"/>
      <c r="BU922" s="14"/>
      <c r="BV922" s="11"/>
      <c r="BW922" s="11"/>
      <c r="BX922" s="11"/>
      <c r="BY922" s="11"/>
      <c r="BZ922" s="11"/>
    </row>
    <row r="923" ht="15.75" customHeight="1">
      <c r="BT923" s="14"/>
      <c r="BU923" s="14"/>
      <c r="BV923" s="11"/>
      <c r="BW923" s="11"/>
      <c r="BX923" s="11"/>
      <c r="BY923" s="11"/>
      <c r="BZ923" s="11"/>
    </row>
    <row r="924" ht="15.75" customHeight="1">
      <c r="BT924" s="14"/>
      <c r="BU924" s="14"/>
      <c r="BV924" s="11"/>
      <c r="BW924" s="11"/>
      <c r="BX924" s="11"/>
      <c r="BY924" s="11"/>
      <c r="BZ924" s="11"/>
    </row>
    <row r="925" ht="15.75" customHeight="1">
      <c r="BT925" s="14"/>
      <c r="BU925" s="14"/>
      <c r="BV925" s="11"/>
      <c r="BW925" s="11"/>
      <c r="BX925" s="11"/>
      <c r="BY925" s="11"/>
      <c r="BZ925" s="11"/>
    </row>
    <row r="926" ht="15.75" customHeight="1">
      <c r="BT926" s="14"/>
      <c r="BU926" s="14"/>
      <c r="BV926" s="11"/>
      <c r="BW926" s="11"/>
      <c r="BX926" s="11"/>
      <c r="BY926" s="11"/>
      <c r="BZ926" s="11"/>
    </row>
    <row r="927" ht="15.75" customHeight="1">
      <c r="BT927" s="14"/>
      <c r="BU927" s="14"/>
      <c r="BV927" s="11"/>
      <c r="BW927" s="11"/>
      <c r="BX927" s="11"/>
      <c r="BY927" s="11"/>
      <c r="BZ927" s="11"/>
    </row>
    <row r="928" ht="15.75" customHeight="1">
      <c r="BT928" s="14"/>
      <c r="BU928" s="14"/>
      <c r="BV928" s="11"/>
      <c r="BW928" s="11"/>
      <c r="BX928" s="11"/>
      <c r="BY928" s="11"/>
      <c r="BZ928" s="11"/>
    </row>
    <row r="929" ht="15.75" customHeight="1">
      <c r="BT929" s="14"/>
      <c r="BU929" s="14"/>
      <c r="BV929" s="11"/>
      <c r="BW929" s="11"/>
      <c r="BX929" s="11"/>
      <c r="BY929" s="11"/>
      <c r="BZ929" s="11"/>
    </row>
    <row r="930" ht="15.75" customHeight="1">
      <c r="BT930" s="14"/>
      <c r="BU930" s="14"/>
      <c r="BV930" s="11"/>
      <c r="BW930" s="11"/>
      <c r="BX930" s="11"/>
      <c r="BY930" s="11"/>
      <c r="BZ930" s="11"/>
    </row>
    <row r="931" ht="15.75" customHeight="1">
      <c r="BT931" s="14"/>
      <c r="BU931" s="14"/>
      <c r="BV931" s="11"/>
      <c r="BW931" s="11"/>
      <c r="BX931" s="11"/>
      <c r="BY931" s="11"/>
      <c r="BZ931" s="11"/>
    </row>
    <row r="932" ht="15.75" customHeight="1">
      <c r="BT932" s="14"/>
      <c r="BU932" s="14"/>
      <c r="BV932" s="11"/>
      <c r="BW932" s="11"/>
      <c r="BX932" s="11"/>
      <c r="BY932" s="11"/>
      <c r="BZ932" s="11"/>
    </row>
    <row r="933" ht="15.75" customHeight="1">
      <c r="BT933" s="14"/>
      <c r="BU933" s="14"/>
      <c r="BV933" s="11"/>
      <c r="BW933" s="11"/>
      <c r="BX933" s="11"/>
      <c r="BY933" s="11"/>
      <c r="BZ933" s="11"/>
    </row>
    <row r="934" ht="15.75" customHeight="1">
      <c r="BT934" s="14"/>
      <c r="BU934" s="14"/>
      <c r="BV934" s="11"/>
      <c r="BW934" s="11"/>
      <c r="BX934" s="11"/>
      <c r="BY934" s="11"/>
      <c r="BZ934" s="11"/>
    </row>
    <row r="935" ht="15.75" customHeight="1">
      <c r="BT935" s="14"/>
      <c r="BU935" s="14"/>
      <c r="BV935" s="11"/>
      <c r="BW935" s="11"/>
      <c r="BX935" s="11"/>
      <c r="BY935" s="11"/>
      <c r="BZ935" s="11"/>
    </row>
    <row r="936" ht="15.75" customHeight="1">
      <c r="BT936" s="14"/>
      <c r="BU936" s="14"/>
      <c r="BV936" s="11"/>
      <c r="BW936" s="11"/>
      <c r="BX936" s="11"/>
      <c r="BY936" s="11"/>
      <c r="BZ936" s="11"/>
    </row>
    <row r="937" ht="15.75" customHeight="1">
      <c r="BT937" s="14"/>
      <c r="BU937" s="14"/>
      <c r="BV937" s="11"/>
      <c r="BW937" s="11"/>
      <c r="BX937" s="11"/>
      <c r="BY937" s="11"/>
      <c r="BZ937" s="11"/>
    </row>
    <row r="938" ht="15.75" customHeight="1">
      <c r="BT938" s="14"/>
      <c r="BU938" s="14"/>
      <c r="BV938" s="11"/>
      <c r="BW938" s="11"/>
      <c r="BX938" s="11"/>
      <c r="BY938" s="11"/>
      <c r="BZ938" s="11"/>
    </row>
    <row r="939" ht="15.75" customHeight="1">
      <c r="BT939" s="14"/>
      <c r="BU939" s="14"/>
      <c r="BV939" s="11"/>
      <c r="BW939" s="11"/>
      <c r="BX939" s="11"/>
      <c r="BY939" s="11"/>
      <c r="BZ939" s="11"/>
    </row>
    <row r="940" ht="15.75" customHeight="1">
      <c r="BT940" s="14"/>
      <c r="BU940" s="14"/>
      <c r="BV940" s="11"/>
      <c r="BW940" s="11"/>
      <c r="BX940" s="11"/>
      <c r="BY940" s="11"/>
      <c r="BZ940" s="11"/>
    </row>
    <row r="941" ht="15.75" customHeight="1">
      <c r="BT941" s="14"/>
      <c r="BU941" s="14"/>
      <c r="BV941" s="11"/>
      <c r="BW941" s="11"/>
      <c r="BX941" s="11"/>
      <c r="BY941" s="11"/>
      <c r="BZ941" s="11"/>
    </row>
    <row r="942" ht="15.75" customHeight="1">
      <c r="BT942" s="14"/>
      <c r="BU942" s="14"/>
      <c r="BV942" s="11"/>
      <c r="BW942" s="11"/>
      <c r="BX942" s="11"/>
      <c r="BY942" s="11"/>
      <c r="BZ942" s="11"/>
    </row>
    <row r="943" ht="15.75" customHeight="1">
      <c r="BT943" s="14"/>
      <c r="BU943" s="14"/>
      <c r="BV943" s="11"/>
      <c r="BW943" s="11"/>
      <c r="BX943" s="11"/>
      <c r="BY943" s="11"/>
      <c r="BZ943" s="11"/>
    </row>
    <row r="944" ht="15.75" customHeight="1">
      <c r="BT944" s="14"/>
      <c r="BU944" s="14"/>
      <c r="BV944" s="11"/>
      <c r="BW944" s="11"/>
      <c r="BX944" s="11"/>
      <c r="BY944" s="11"/>
      <c r="BZ944" s="11"/>
    </row>
    <row r="945" ht="15.75" customHeight="1">
      <c r="BT945" s="14"/>
      <c r="BU945" s="14"/>
      <c r="BV945" s="11"/>
      <c r="BW945" s="11"/>
      <c r="BX945" s="11"/>
      <c r="BY945" s="11"/>
      <c r="BZ945" s="11"/>
    </row>
    <row r="946" ht="15.75" customHeight="1">
      <c r="BT946" s="14"/>
      <c r="BU946" s="14"/>
      <c r="BV946" s="11"/>
      <c r="BW946" s="11"/>
      <c r="BX946" s="11"/>
      <c r="BY946" s="11"/>
      <c r="BZ946" s="11"/>
    </row>
    <row r="947" ht="15.75" customHeight="1">
      <c r="BT947" s="14"/>
      <c r="BU947" s="14"/>
      <c r="BV947" s="11"/>
      <c r="BW947" s="11"/>
      <c r="BX947" s="11"/>
      <c r="BY947" s="11"/>
      <c r="BZ947" s="11"/>
    </row>
    <row r="948" ht="15.75" customHeight="1">
      <c r="BT948" s="14"/>
      <c r="BU948" s="14"/>
      <c r="BV948" s="11"/>
      <c r="BW948" s="11"/>
      <c r="BX948" s="11"/>
      <c r="BY948" s="11"/>
      <c r="BZ948" s="11"/>
    </row>
    <row r="949" ht="15.75" customHeight="1">
      <c r="BT949" s="14"/>
      <c r="BU949" s="14"/>
      <c r="BV949" s="11"/>
      <c r="BW949" s="11"/>
      <c r="BX949" s="11"/>
      <c r="BY949" s="11"/>
      <c r="BZ949" s="11"/>
    </row>
    <row r="950" ht="15.75" customHeight="1">
      <c r="BT950" s="14"/>
      <c r="BU950" s="14"/>
      <c r="BV950" s="11"/>
      <c r="BW950" s="11"/>
      <c r="BX950" s="11"/>
      <c r="BY950" s="11"/>
      <c r="BZ950" s="11"/>
    </row>
    <row r="951" ht="15.75" customHeight="1">
      <c r="BT951" s="14"/>
      <c r="BU951" s="14"/>
      <c r="BV951" s="11"/>
      <c r="BW951" s="11"/>
      <c r="BX951" s="11"/>
      <c r="BY951" s="11"/>
      <c r="BZ951" s="11"/>
    </row>
    <row r="952" ht="15.75" customHeight="1">
      <c r="BT952" s="14"/>
      <c r="BU952" s="14"/>
      <c r="BV952" s="11"/>
      <c r="BW952" s="11"/>
      <c r="BX952" s="11"/>
      <c r="BY952" s="11"/>
      <c r="BZ952" s="11"/>
    </row>
    <row r="953" ht="15.75" customHeight="1">
      <c r="BT953" s="14"/>
      <c r="BU953" s="14"/>
      <c r="BV953" s="11"/>
      <c r="BW953" s="11"/>
      <c r="BX953" s="11"/>
      <c r="BY953" s="11"/>
      <c r="BZ953" s="11"/>
    </row>
    <row r="954" ht="15.75" customHeight="1">
      <c r="BT954" s="14"/>
      <c r="BU954" s="14"/>
      <c r="BV954" s="11"/>
      <c r="BW954" s="11"/>
      <c r="BX954" s="11"/>
      <c r="BY954" s="11"/>
      <c r="BZ954" s="11"/>
    </row>
    <row r="955" ht="15.75" customHeight="1">
      <c r="BT955" s="14"/>
      <c r="BU955" s="14"/>
      <c r="BV955" s="11"/>
      <c r="BW955" s="11"/>
      <c r="BX955" s="11"/>
      <c r="BY955" s="11"/>
      <c r="BZ955" s="11"/>
    </row>
    <row r="956" ht="15.75" customHeight="1">
      <c r="BT956" s="14"/>
      <c r="BU956" s="14"/>
      <c r="BV956" s="11"/>
      <c r="BW956" s="11"/>
      <c r="BX956" s="11"/>
      <c r="BY956" s="11"/>
      <c r="BZ956" s="11"/>
    </row>
    <row r="957" ht="15.75" customHeight="1">
      <c r="BT957" s="14"/>
      <c r="BU957" s="14"/>
      <c r="BV957" s="11"/>
      <c r="BW957" s="11"/>
      <c r="BX957" s="11"/>
      <c r="BY957" s="11"/>
      <c r="BZ957" s="11"/>
    </row>
    <row r="958" ht="15.75" customHeight="1">
      <c r="BT958" s="14"/>
      <c r="BU958" s="14"/>
      <c r="BV958" s="11"/>
      <c r="BW958" s="11"/>
      <c r="BX958" s="11"/>
      <c r="BY958" s="11"/>
      <c r="BZ958" s="11"/>
    </row>
    <row r="959" ht="15.75" customHeight="1">
      <c r="BT959" s="14"/>
      <c r="BU959" s="14"/>
      <c r="BV959" s="11"/>
      <c r="BW959" s="11"/>
      <c r="BX959" s="11"/>
      <c r="BY959" s="11"/>
      <c r="BZ959" s="11"/>
    </row>
    <row r="960" ht="15.75" customHeight="1">
      <c r="BT960" s="14"/>
      <c r="BU960" s="14"/>
      <c r="BV960" s="11"/>
      <c r="BW960" s="11"/>
      <c r="BX960" s="11"/>
      <c r="BY960" s="11"/>
      <c r="BZ960" s="11"/>
    </row>
    <row r="961" ht="15.75" customHeight="1">
      <c r="BT961" s="14"/>
      <c r="BU961" s="14"/>
      <c r="BV961" s="11"/>
      <c r="BW961" s="11"/>
      <c r="BX961" s="11"/>
      <c r="BY961" s="11"/>
      <c r="BZ961" s="11"/>
    </row>
    <row r="962" ht="15.75" customHeight="1">
      <c r="BT962" s="14"/>
      <c r="BU962" s="14"/>
      <c r="BV962" s="11"/>
      <c r="BW962" s="11"/>
      <c r="BX962" s="11"/>
      <c r="BY962" s="11"/>
      <c r="BZ962" s="11"/>
    </row>
    <row r="963" ht="15.75" customHeight="1">
      <c r="BT963" s="14"/>
      <c r="BU963" s="14"/>
      <c r="BV963" s="11"/>
      <c r="BW963" s="11"/>
      <c r="BX963" s="11"/>
      <c r="BY963" s="11"/>
      <c r="BZ963" s="11"/>
    </row>
    <row r="964" ht="15.75" customHeight="1">
      <c r="BT964" s="14"/>
      <c r="BU964" s="14"/>
      <c r="BV964" s="11"/>
      <c r="BW964" s="11"/>
      <c r="BX964" s="11"/>
      <c r="BY964" s="11"/>
      <c r="BZ964" s="11"/>
    </row>
    <row r="965" ht="15.75" customHeight="1">
      <c r="BT965" s="14"/>
      <c r="BU965" s="14"/>
      <c r="BV965" s="11"/>
      <c r="BW965" s="11"/>
      <c r="BX965" s="11"/>
      <c r="BY965" s="11"/>
      <c r="BZ965" s="11"/>
    </row>
    <row r="966" ht="15.75" customHeight="1">
      <c r="BT966" s="14"/>
      <c r="BU966" s="14"/>
      <c r="BV966" s="11"/>
      <c r="BW966" s="11"/>
      <c r="BX966" s="11"/>
      <c r="BY966" s="11"/>
      <c r="BZ966" s="11"/>
    </row>
    <row r="967" ht="15.75" customHeight="1">
      <c r="BT967" s="14"/>
      <c r="BU967" s="14"/>
      <c r="BV967" s="11"/>
      <c r="BW967" s="11"/>
      <c r="BX967" s="11"/>
      <c r="BY967" s="11"/>
      <c r="BZ967" s="11"/>
    </row>
    <row r="968" ht="15.75" customHeight="1">
      <c r="BT968" s="14"/>
      <c r="BU968" s="14"/>
      <c r="BV968" s="11"/>
      <c r="BW968" s="11"/>
      <c r="BX968" s="11"/>
      <c r="BY968" s="11"/>
      <c r="BZ968" s="11"/>
    </row>
    <row r="969" ht="15.75" customHeight="1">
      <c r="BT969" s="14"/>
      <c r="BU969" s="14"/>
      <c r="BV969" s="11"/>
      <c r="BW969" s="11"/>
      <c r="BX969" s="11"/>
      <c r="BY969" s="11"/>
      <c r="BZ969" s="11"/>
    </row>
    <row r="970" ht="15.75" customHeight="1">
      <c r="BT970" s="14"/>
      <c r="BU970" s="14"/>
      <c r="BV970" s="11"/>
      <c r="BW970" s="11"/>
      <c r="BX970" s="11"/>
      <c r="BY970" s="11"/>
      <c r="BZ970" s="11"/>
    </row>
    <row r="971" ht="15.75" customHeight="1">
      <c r="BT971" s="14"/>
      <c r="BU971" s="14"/>
      <c r="BV971" s="11"/>
      <c r="BW971" s="11"/>
      <c r="BX971" s="11"/>
      <c r="BY971" s="11"/>
      <c r="BZ971" s="11"/>
    </row>
    <row r="972" ht="15.75" customHeight="1">
      <c r="BT972" s="14"/>
      <c r="BU972" s="14"/>
      <c r="BV972" s="11"/>
      <c r="BW972" s="11"/>
      <c r="BX972" s="11"/>
      <c r="BY972" s="11"/>
      <c r="BZ972" s="11"/>
    </row>
    <row r="973" ht="15.75" customHeight="1">
      <c r="BT973" s="14"/>
      <c r="BU973" s="14"/>
      <c r="BV973" s="11"/>
      <c r="BW973" s="11"/>
      <c r="BX973" s="11"/>
      <c r="BY973" s="11"/>
      <c r="BZ973" s="11"/>
    </row>
    <row r="974" ht="15.75" customHeight="1">
      <c r="BT974" s="14"/>
      <c r="BU974" s="14"/>
      <c r="BV974" s="11"/>
      <c r="BW974" s="11"/>
      <c r="BX974" s="11"/>
      <c r="BY974" s="11"/>
      <c r="BZ974" s="11"/>
    </row>
    <row r="975" ht="15.75" customHeight="1">
      <c r="BT975" s="14"/>
      <c r="BU975" s="14"/>
      <c r="BV975" s="11"/>
      <c r="BW975" s="11"/>
      <c r="BX975" s="11"/>
      <c r="BY975" s="11"/>
      <c r="BZ975" s="11"/>
    </row>
    <row r="976" ht="15.75" customHeight="1">
      <c r="BT976" s="14"/>
      <c r="BU976" s="14"/>
      <c r="BV976" s="11"/>
      <c r="BW976" s="11"/>
      <c r="BX976" s="11"/>
      <c r="BY976" s="11"/>
      <c r="BZ976" s="11"/>
    </row>
    <row r="977" ht="15.75" customHeight="1">
      <c r="BT977" s="14"/>
      <c r="BU977" s="14"/>
      <c r="BV977" s="11"/>
      <c r="BW977" s="11"/>
      <c r="BX977" s="11"/>
      <c r="BY977" s="11"/>
      <c r="BZ977" s="11"/>
    </row>
    <row r="978" ht="15.75" customHeight="1">
      <c r="BT978" s="14"/>
      <c r="BU978" s="14"/>
      <c r="BV978" s="11"/>
      <c r="BW978" s="11"/>
      <c r="BX978" s="11"/>
      <c r="BY978" s="11"/>
      <c r="BZ978" s="11"/>
    </row>
    <row r="979" ht="15.75" customHeight="1">
      <c r="BT979" s="14"/>
      <c r="BU979" s="14"/>
      <c r="BV979" s="11"/>
      <c r="BW979" s="11"/>
      <c r="BX979" s="11"/>
      <c r="BY979" s="11"/>
      <c r="BZ979" s="11"/>
    </row>
    <row r="980" ht="15.75" customHeight="1">
      <c r="BT980" s="14"/>
      <c r="BU980" s="14"/>
      <c r="BV980" s="11"/>
      <c r="BW980" s="11"/>
      <c r="BX980" s="11"/>
      <c r="BY980" s="11"/>
      <c r="BZ980" s="11"/>
    </row>
    <row r="981" ht="15.75" customHeight="1">
      <c r="BT981" s="14"/>
      <c r="BU981" s="14"/>
      <c r="BV981" s="11"/>
      <c r="BW981" s="11"/>
      <c r="BX981" s="11"/>
      <c r="BY981" s="11"/>
      <c r="BZ981" s="11"/>
    </row>
    <row r="982" ht="15.75" customHeight="1">
      <c r="BT982" s="14"/>
      <c r="BU982" s="14"/>
      <c r="BV982" s="11"/>
      <c r="BW982" s="11"/>
      <c r="BX982" s="11"/>
      <c r="BY982" s="11"/>
      <c r="BZ982" s="11"/>
    </row>
    <row r="983" ht="15.75" customHeight="1">
      <c r="BT983" s="14"/>
      <c r="BU983" s="14"/>
      <c r="BV983" s="11"/>
      <c r="BW983" s="11"/>
      <c r="BX983" s="11"/>
      <c r="BY983" s="11"/>
      <c r="BZ983" s="11"/>
    </row>
    <row r="984" ht="15.75" customHeight="1">
      <c r="BT984" s="14"/>
      <c r="BU984" s="14"/>
      <c r="BV984" s="11"/>
      <c r="BW984" s="11"/>
      <c r="BX984" s="11"/>
      <c r="BY984" s="11"/>
      <c r="BZ984" s="11"/>
    </row>
    <row r="985" ht="15.75" customHeight="1">
      <c r="BT985" s="14"/>
      <c r="BU985" s="14"/>
      <c r="BV985" s="11"/>
      <c r="BW985" s="11"/>
      <c r="BX985" s="11"/>
      <c r="BY985" s="11"/>
      <c r="BZ985" s="11"/>
    </row>
    <row r="986" ht="15.75" customHeight="1">
      <c r="BT986" s="14"/>
      <c r="BU986" s="14"/>
      <c r="BV986" s="11"/>
      <c r="BW986" s="11"/>
      <c r="BX986" s="11"/>
      <c r="BY986" s="11"/>
      <c r="BZ986" s="11"/>
    </row>
    <row r="987" ht="15.75" customHeight="1">
      <c r="BT987" s="14"/>
      <c r="BU987" s="14"/>
      <c r="BV987" s="11"/>
      <c r="BW987" s="11"/>
      <c r="BX987" s="11"/>
      <c r="BY987" s="11"/>
      <c r="BZ987" s="11"/>
    </row>
    <row r="988" ht="15.75" customHeight="1">
      <c r="BT988" s="14"/>
      <c r="BU988" s="14"/>
      <c r="BV988" s="11"/>
      <c r="BW988" s="11"/>
      <c r="BX988" s="11"/>
      <c r="BY988" s="11"/>
      <c r="BZ988" s="11"/>
    </row>
    <row r="989" ht="15.75" customHeight="1">
      <c r="BT989" s="14"/>
      <c r="BU989" s="14"/>
      <c r="BV989" s="11"/>
      <c r="BW989" s="11"/>
      <c r="BX989" s="11"/>
      <c r="BY989" s="11"/>
      <c r="BZ989" s="11"/>
    </row>
    <row r="990" ht="15.75" customHeight="1">
      <c r="BT990" s="14"/>
      <c r="BU990" s="14"/>
      <c r="BV990" s="11"/>
      <c r="BW990" s="11"/>
      <c r="BX990" s="11"/>
      <c r="BY990" s="11"/>
      <c r="BZ990" s="11"/>
    </row>
    <row r="991" ht="15.75" customHeight="1">
      <c r="BT991" s="14"/>
      <c r="BU991" s="14"/>
      <c r="BV991" s="11"/>
      <c r="BW991" s="11"/>
      <c r="BX991" s="11"/>
      <c r="BY991" s="11"/>
      <c r="BZ991" s="11"/>
    </row>
    <row r="992" ht="15.75" customHeight="1">
      <c r="BT992" s="14"/>
      <c r="BU992" s="14"/>
      <c r="BV992" s="11"/>
      <c r="BW992" s="11"/>
      <c r="BX992" s="11"/>
      <c r="BY992" s="11"/>
      <c r="BZ992" s="11"/>
    </row>
    <row r="993" ht="15.75" customHeight="1">
      <c r="BT993" s="14"/>
      <c r="BU993" s="14"/>
      <c r="BV993" s="11"/>
      <c r="BW993" s="11"/>
      <c r="BX993" s="11"/>
      <c r="BY993" s="11"/>
      <c r="BZ993" s="11"/>
    </row>
    <row r="994" ht="15.75" customHeight="1">
      <c r="BT994" s="14"/>
      <c r="BU994" s="14"/>
      <c r="BV994" s="11"/>
      <c r="BW994" s="11"/>
      <c r="BX994" s="11"/>
      <c r="BY994" s="11"/>
      <c r="BZ994" s="11"/>
    </row>
    <row r="995" ht="15.75" customHeight="1">
      <c r="BT995" s="14"/>
      <c r="BU995" s="14"/>
      <c r="BV995" s="11"/>
      <c r="BW995" s="11"/>
      <c r="BX995" s="11"/>
      <c r="BY995" s="11"/>
      <c r="BZ995" s="11"/>
    </row>
    <row r="996" ht="15.75" customHeight="1">
      <c r="BT996" s="14"/>
      <c r="BU996" s="14"/>
      <c r="BV996" s="11"/>
      <c r="BW996" s="11"/>
      <c r="BX996" s="11"/>
      <c r="BY996" s="11"/>
      <c r="BZ996" s="11"/>
    </row>
    <row r="997" ht="15.75" customHeight="1">
      <c r="BT997" s="14"/>
      <c r="BU997" s="14"/>
      <c r="BV997" s="11"/>
      <c r="BW997" s="11"/>
      <c r="BX997" s="11"/>
      <c r="BY997" s="11"/>
      <c r="BZ997" s="11"/>
    </row>
    <row r="998" ht="15.75" customHeight="1">
      <c r="BT998" s="14"/>
      <c r="BU998" s="14"/>
      <c r="BV998" s="11"/>
      <c r="BW998" s="11"/>
      <c r="BX998" s="11"/>
      <c r="BY998" s="11"/>
      <c r="BZ998" s="11"/>
    </row>
    <row r="999" ht="15.75" customHeight="1">
      <c r="BT999" s="14"/>
      <c r="BU999" s="14"/>
      <c r="BV999" s="11"/>
      <c r="BW999" s="11"/>
      <c r="BX999" s="11"/>
      <c r="BY999" s="11"/>
      <c r="BZ999" s="11"/>
    </row>
    <row r="1000" ht="15.75" customHeight="1">
      <c r="BT1000" s="14"/>
      <c r="BU1000" s="14"/>
      <c r="BV1000" s="11"/>
      <c r="BW1000" s="11"/>
      <c r="BX1000" s="11"/>
      <c r="BY1000" s="11"/>
      <c r="BZ1000" s="11"/>
    </row>
  </sheetData>
  <mergeCells count="431">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U3"/>
    <mergeCell ref="AO5:AS5"/>
    <mergeCell ref="AT5:AX5"/>
    <mergeCell ref="AY5:BC5"/>
    <mergeCell ref="BD5:BH5"/>
    <mergeCell ref="B6:G6"/>
    <mergeCell ref="H6:AE6"/>
    <mergeCell ref="T8:U8"/>
    <mergeCell ref="V8:Y8"/>
    <mergeCell ref="B7:G7"/>
    <mergeCell ref="H7:AE7"/>
    <mergeCell ref="B8:G8"/>
    <mergeCell ref="H8:I8"/>
    <mergeCell ref="J8:M8"/>
    <mergeCell ref="N8:O8"/>
    <mergeCell ref="P8:S8"/>
    <mergeCell ref="X14:AA14"/>
    <mergeCell ref="AC14:AF14"/>
    <mergeCell ref="AR14:AU14"/>
    <mergeCell ref="AW14:AZ14"/>
    <mergeCell ref="AR17:AU17"/>
    <mergeCell ref="AW17:AZ17"/>
    <mergeCell ref="BB17:BE17"/>
    <mergeCell ref="BG17:BJ17"/>
    <mergeCell ref="BL17:BO17"/>
    <mergeCell ref="BB14:BE14"/>
    <mergeCell ref="BG14:BJ14"/>
    <mergeCell ref="Z8:AA8"/>
    <mergeCell ref="AB8:AE8"/>
    <mergeCell ref="C11:BO12"/>
    <mergeCell ref="D14:G14"/>
    <mergeCell ref="I14:L14"/>
    <mergeCell ref="N14:Q14"/>
    <mergeCell ref="S14:V14"/>
    <mergeCell ref="BL14:BO14"/>
    <mergeCell ref="X16:AA16"/>
    <mergeCell ref="AC16:AF16"/>
    <mergeCell ref="AH16:AK16"/>
    <mergeCell ref="AM16:AP16"/>
    <mergeCell ref="AR16:AU16"/>
    <mergeCell ref="AW16:AZ16"/>
    <mergeCell ref="BB16:BE16"/>
    <mergeCell ref="BG16:BJ16"/>
    <mergeCell ref="BL16:BO16"/>
    <mergeCell ref="I16:L16"/>
    <mergeCell ref="I17:L17"/>
    <mergeCell ref="S16:V16"/>
    <mergeCell ref="S17:V17"/>
    <mergeCell ref="X17:AA17"/>
    <mergeCell ref="AC17:AF17"/>
    <mergeCell ref="AH17:AK17"/>
    <mergeCell ref="AM17:AP17"/>
    <mergeCell ref="D17:G17"/>
    <mergeCell ref="D18:G18"/>
    <mergeCell ref="N17:Q17"/>
    <mergeCell ref="N18:Q18"/>
    <mergeCell ref="N19:Q19"/>
    <mergeCell ref="AC18:AF18"/>
    <mergeCell ref="AH18:AK18"/>
    <mergeCell ref="AR18:AU18"/>
    <mergeCell ref="AW18:AZ18"/>
    <mergeCell ref="BB18:BE18"/>
    <mergeCell ref="BG18:BJ18"/>
    <mergeCell ref="BL18:BO18"/>
    <mergeCell ref="B18:B19"/>
    <mergeCell ref="D19:G19"/>
    <mergeCell ref="I19:L19"/>
    <mergeCell ref="AR19:AU19"/>
    <mergeCell ref="AW19:AZ19"/>
    <mergeCell ref="BB19:BE19"/>
    <mergeCell ref="BG19:BJ19"/>
    <mergeCell ref="BL19:BO19"/>
    <mergeCell ref="AW23:AZ23"/>
    <mergeCell ref="BB23:BE23"/>
    <mergeCell ref="N23:Q23"/>
    <mergeCell ref="S23:V23"/>
    <mergeCell ref="X23:AA23"/>
    <mergeCell ref="AC23:AF23"/>
    <mergeCell ref="AH23:AK23"/>
    <mergeCell ref="AM23:AP23"/>
    <mergeCell ref="AR23:AU23"/>
    <mergeCell ref="AH14:AK14"/>
    <mergeCell ref="AM14:AP14"/>
    <mergeCell ref="B16:B17"/>
    <mergeCell ref="D16:G16"/>
    <mergeCell ref="N16:Q16"/>
    <mergeCell ref="I18:L18"/>
    <mergeCell ref="AM18:AP18"/>
    <mergeCell ref="S18:V18"/>
    <mergeCell ref="X18:AA18"/>
    <mergeCell ref="S19:V19"/>
    <mergeCell ref="X19:AA19"/>
    <mergeCell ref="AC19:AF19"/>
    <mergeCell ref="AH19:AK19"/>
    <mergeCell ref="AM19:AP19"/>
    <mergeCell ref="AH20:AK20"/>
    <mergeCell ref="AM20:AP20"/>
    <mergeCell ref="AR20:AU20"/>
    <mergeCell ref="AW20:AZ20"/>
    <mergeCell ref="BB20:BE20"/>
    <mergeCell ref="BG20:BJ20"/>
    <mergeCell ref="BL20:BO20"/>
    <mergeCell ref="BG21:BJ21"/>
    <mergeCell ref="BL21:BO21"/>
    <mergeCell ref="BG23:BJ23"/>
    <mergeCell ref="BL23:BO23"/>
    <mergeCell ref="AC20:AF20"/>
    <mergeCell ref="AC21:AF21"/>
    <mergeCell ref="AH21:AK21"/>
    <mergeCell ref="AM21:AP21"/>
    <mergeCell ref="AR21:AU21"/>
    <mergeCell ref="AW21:AZ21"/>
    <mergeCell ref="BB21:BE21"/>
    <mergeCell ref="AM22:AP22"/>
    <mergeCell ref="AR22:AU22"/>
    <mergeCell ref="AW22:AZ22"/>
    <mergeCell ref="BB22:BE22"/>
    <mergeCell ref="BG22:BJ22"/>
    <mergeCell ref="BL22:BO22"/>
    <mergeCell ref="I20:L20"/>
    <mergeCell ref="I21:L21"/>
    <mergeCell ref="B22:B23"/>
    <mergeCell ref="D22:G22"/>
    <mergeCell ref="I22:L22"/>
    <mergeCell ref="D23:G23"/>
    <mergeCell ref="I23:L23"/>
    <mergeCell ref="AR33:AU33"/>
    <mergeCell ref="AW33:AZ33"/>
    <mergeCell ref="I33:L33"/>
    <mergeCell ref="N33:Q33"/>
    <mergeCell ref="S33:V33"/>
    <mergeCell ref="X33:AA33"/>
    <mergeCell ref="AC33:AF33"/>
    <mergeCell ref="AH33:AK33"/>
    <mergeCell ref="AM33:AP33"/>
    <mergeCell ref="AR34:AU34"/>
    <mergeCell ref="AW34:AZ34"/>
    <mergeCell ref="D34:G34"/>
    <mergeCell ref="I34:L34"/>
    <mergeCell ref="S34:V34"/>
    <mergeCell ref="X34:AA34"/>
    <mergeCell ref="AC34:AF34"/>
    <mergeCell ref="AH34:AK34"/>
    <mergeCell ref="AM34:AP34"/>
    <mergeCell ref="N50:Q50"/>
    <mergeCell ref="S50:V50"/>
    <mergeCell ref="X50:AA50"/>
    <mergeCell ref="AC50:AF50"/>
    <mergeCell ref="AH50:AK50"/>
    <mergeCell ref="N40:Q40"/>
    <mergeCell ref="N41:Q41"/>
    <mergeCell ref="N48:Q48"/>
    <mergeCell ref="S48:V48"/>
    <mergeCell ref="X48:AA48"/>
    <mergeCell ref="AC48:AF48"/>
    <mergeCell ref="AH48:AK48"/>
    <mergeCell ref="S53:V53"/>
    <mergeCell ref="S54:V54"/>
    <mergeCell ref="AC53:AF53"/>
    <mergeCell ref="AC54:AF54"/>
    <mergeCell ref="N52:Q52"/>
    <mergeCell ref="D53:G53"/>
    <mergeCell ref="N53:Q53"/>
    <mergeCell ref="X53:AA53"/>
    <mergeCell ref="D54:G54"/>
    <mergeCell ref="N54:Q54"/>
    <mergeCell ref="X54:AA54"/>
    <mergeCell ref="I53:L53"/>
    <mergeCell ref="I54:L54"/>
    <mergeCell ref="S55:V55"/>
    <mergeCell ref="X55:AA55"/>
    <mergeCell ref="AR54:AU54"/>
    <mergeCell ref="AR55:AU55"/>
    <mergeCell ref="AH53:AK53"/>
    <mergeCell ref="AM53:AP53"/>
    <mergeCell ref="AR53:AU53"/>
    <mergeCell ref="AM54:AP54"/>
    <mergeCell ref="N55:Q55"/>
    <mergeCell ref="AC55:AF55"/>
    <mergeCell ref="AM55:AP55"/>
    <mergeCell ref="X56:AA56"/>
    <mergeCell ref="X57:AA57"/>
    <mergeCell ref="S58:V58"/>
    <mergeCell ref="X58:AA58"/>
    <mergeCell ref="AC58:AF58"/>
    <mergeCell ref="AH58:AK58"/>
    <mergeCell ref="AM58:AP58"/>
    <mergeCell ref="AR58:AU58"/>
    <mergeCell ref="D55:G55"/>
    <mergeCell ref="D56:G56"/>
    <mergeCell ref="S56:V56"/>
    <mergeCell ref="AC56:AF56"/>
    <mergeCell ref="D57:G57"/>
    <mergeCell ref="I57:L57"/>
    <mergeCell ref="S57:V57"/>
    <mergeCell ref="AC57:AF57"/>
    <mergeCell ref="N58:Q58"/>
    <mergeCell ref="N59:Q59"/>
    <mergeCell ref="S59:V59"/>
    <mergeCell ref="X59:AA59"/>
    <mergeCell ref="AC59:AF59"/>
    <mergeCell ref="AH59:AK59"/>
    <mergeCell ref="AM59:AP59"/>
    <mergeCell ref="AR59:AU59"/>
    <mergeCell ref="N56:Q56"/>
    <mergeCell ref="N57:Q57"/>
    <mergeCell ref="B58:B59"/>
    <mergeCell ref="D58:G58"/>
    <mergeCell ref="I58:L58"/>
    <mergeCell ref="D59:G59"/>
    <mergeCell ref="I59:L59"/>
    <mergeCell ref="I24:L24"/>
    <mergeCell ref="I25:L25"/>
    <mergeCell ref="D31:G31"/>
    <mergeCell ref="I31:L31"/>
    <mergeCell ref="N31:Q31"/>
    <mergeCell ref="D33:G33"/>
    <mergeCell ref="N34:Q34"/>
    <mergeCell ref="I37:L37"/>
    <mergeCell ref="I38:L38"/>
    <mergeCell ref="I55:L55"/>
    <mergeCell ref="I56:L56"/>
    <mergeCell ref="D35:G35"/>
    <mergeCell ref="I35:L35"/>
    <mergeCell ref="N35:Q35"/>
    <mergeCell ref="D37:G37"/>
    <mergeCell ref="N37:Q37"/>
    <mergeCell ref="D38:G38"/>
    <mergeCell ref="N38:Q38"/>
    <mergeCell ref="D39:G39"/>
    <mergeCell ref="I39:L39"/>
    <mergeCell ref="N39:Q39"/>
    <mergeCell ref="D40:G40"/>
    <mergeCell ref="I40:L40"/>
    <mergeCell ref="D41:G41"/>
    <mergeCell ref="D42:G42"/>
    <mergeCell ref="N42:Q42"/>
    <mergeCell ref="AM48:AP48"/>
    <mergeCell ref="AR48:AU48"/>
    <mergeCell ref="AM50:AP50"/>
    <mergeCell ref="AR50:AU50"/>
    <mergeCell ref="AH54:AK54"/>
    <mergeCell ref="AH55:AK55"/>
    <mergeCell ref="AH56:AK56"/>
    <mergeCell ref="AM56:AP56"/>
    <mergeCell ref="AR56:AU56"/>
    <mergeCell ref="AH57:AK57"/>
    <mergeCell ref="AM57:AP57"/>
    <mergeCell ref="AR57:AU57"/>
    <mergeCell ref="B37:B38"/>
    <mergeCell ref="B39:B40"/>
    <mergeCell ref="B41:B42"/>
    <mergeCell ref="B50:B51"/>
    <mergeCell ref="B52:B53"/>
    <mergeCell ref="B54:B55"/>
    <mergeCell ref="B56:B57"/>
    <mergeCell ref="BG25:BJ25"/>
    <mergeCell ref="BL25:BO25"/>
    <mergeCell ref="C28:BO29"/>
    <mergeCell ref="BB31:BE31"/>
    <mergeCell ref="BG31:BJ31"/>
    <mergeCell ref="S24:V24"/>
    <mergeCell ref="S25:V25"/>
    <mergeCell ref="S31:V31"/>
    <mergeCell ref="X31:AA31"/>
    <mergeCell ref="AC31:AF31"/>
    <mergeCell ref="AH31:AK31"/>
    <mergeCell ref="AM31:AP31"/>
    <mergeCell ref="S20:V20"/>
    <mergeCell ref="S21:V21"/>
    <mergeCell ref="N22:Q22"/>
    <mergeCell ref="S22:V22"/>
    <mergeCell ref="X22:AA22"/>
    <mergeCell ref="AC22:AF22"/>
    <mergeCell ref="AH22:AK22"/>
    <mergeCell ref="B20:B21"/>
    <mergeCell ref="D20:G20"/>
    <mergeCell ref="N20:Q20"/>
    <mergeCell ref="X20:AA20"/>
    <mergeCell ref="D21:G21"/>
    <mergeCell ref="N21:Q21"/>
    <mergeCell ref="X21:AA21"/>
    <mergeCell ref="AH24:AK24"/>
    <mergeCell ref="AM24:AP24"/>
    <mergeCell ref="AR24:AU24"/>
    <mergeCell ref="AW24:AZ24"/>
    <mergeCell ref="BB24:BE24"/>
    <mergeCell ref="BG24:BJ24"/>
    <mergeCell ref="BL24:BO24"/>
    <mergeCell ref="B24:B25"/>
    <mergeCell ref="D24:G24"/>
    <mergeCell ref="N24:Q24"/>
    <mergeCell ref="X24:AA24"/>
    <mergeCell ref="D25:G25"/>
    <mergeCell ref="N25:Q25"/>
    <mergeCell ref="X25:AA25"/>
    <mergeCell ref="AC24:AF24"/>
    <mergeCell ref="AC25:AF25"/>
    <mergeCell ref="AH25:AK25"/>
    <mergeCell ref="AM25:AP25"/>
    <mergeCell ref="AR25:AU25"/>
    <mergeCell ref="AW25:AZ25"/>
    <mergeCell ref="BB25:BE25"/>
    <mergeCell ref="BB34:BE34"/>
    <mergeCell ref="BB35:BE35"/>
    <mergeCell ref="AR31:AU31"/>
    <mergeCell ref="AW31:AZ31"/>
    <mergeCell ref="BB33:BE33"/>
    <mergeCell ref="BG33:BJ33"/>
    <mergeCell ref="BG34:BJ34"/>
    <mergeCell ref="AR35:AU35"/>
    <mergeCell ref="AW35:AZ35"/>
    <mergeCell ref="BG35:BJ35"/>
    <mergeCell ref="D36:G36"/>
    <mergeCell ref="I36:L36"/>
    <mergeCell ref="AM35:AP35"/>
    <mergeCell ref="AM36:AP36"/>
    <mergeCell ref="AR36:AU36"/>
    <mergeCell ref="AW36:AZ36"/>
    <mergeCell ref="BB36:BE36"/>
    <mergeCell ref="BG36:BJ36"/>
    <mergeCell ref="B33:B34"/>
    <mergeCell ref="B35:B36"/>
    <mergeCell ref="X35:AA35"/>
    <mergeCell ref="AH35:AK35"/>
    <mergeCell ref="N36:Q36"/>
    <mergeCell ref="X36:AA36"/>
    <mergeCell ref="AH36:AK36"/>
    <mergeCell ref="BB37:BE37"/>
    <mergeCell ref="BG37:BJ37"/>
    <mergeCell ref="AC35:AF35"/>
    <mergeCell ref="AC36:AF36"/>
    <mergeCell ref="AC37:AF37"/>
    <mergeCell ref="AH37:AK37"/>
    <mergeCell ref="AM37:AP37"/>
    <mergeCell ref="AR37:AU37"/>
    <mergeCell ref="AW37:AZ37"/>
    <mergeCell ref="AH38:AK38"/>
    <mergeCell ref="AM38:AP38"/>
    <mergeCell ref="AR38:AU38"/>
    <mergeCell ref="AW38:AZ38"/>
    <mergeCell ref="BB38:BE38"/>
    <mergeCell ref="BG38:BJ38"/>
    <mergeCell ref="X38:AA38"/>
    <mergeCell ref="X39:AA39"/>
    <mergeCell ref="AH39:AK39"/>
    <mergeCell ref="AM39:AP39"/>
    <mergeCell ref="AR39:AU39"/>
    <mergeCell ref="AW39:AZ39"/>
    <mergeCell ref="BB39:BE39"/>
    <mergeCell ref="BG39:BJ39"/>
    <mergeCell ref="AR41:AU41"/>
    <mergeCell ref="AR42:AU42"/>
    <mergeCell ref="S41:V41"/>
    <mergeCell ref="AC41:AF41"/>
    <mergeCell ref="AM41:AP41"/>
    <mergeCell ref="AW41:AZ41"/>
    <mergeCell ref="S42:V42"/>
    <mergeCell ref="AC42:AF42"/>
    <mergeCell ref="AM42:AP42"/>
    <mergeCell ref="AW40:AZ40"/>
    <mergeCell ref="BB40:BE40"/>
    <mergeCell ref="BG40:BJ40"/>
    <mergeCell ref="S39:V39"/>
    <mergeCell ref="S40:V40"/>
    <mergeCell ref="X40:AA40"/>
    <mergeCell ref="AC40:AF40"/>
    <mergeCell ref="AH40:AK40"/>
    <mergeCell ref="AM40:AP40"/>
    <mergeCell ref="AR40:AU40"/>
    <mergeCell ref="S35:V35"/>
    <mergeCell ref="S36:V36"/>
    <mergeCell ref="S37:V37"/>
    <mergeCell ref="X37:AA37"/>
    <mergeCell ref="S38:V38"/>
    <mergeCell ref="AC38:AF38"/>
    <mergeCell ref="AC39:AF39"/>
    <mergeCell ref="BB41:BE41"/>
    <mergeCell ref="BG41:BJ41"/>
    <mergeCell ref="BB42:BE42"/>
    <mergeCell ref="BG42:BJ42"/>
    <mergeCell ref="X41:AA41"/>
    <mergeCell ref="X42:AA42"/>
    <mergeCell ref="AH41:AK41"/>
    <mergeCell ref="AH42:AK42"/>
    <mergeCell ref="AW42:AZ42"/>
    <mergeCell ref="C45:BO46"/>
    <mergeCell ref="D52:G52"/>
    <mergeCell ref="I52:L52"/>
    <mergeCell ref="I41:L41"/>
    <mergeCell ref="I42:L42"/>
    <mergeCell ref="D48:G48"/>
    <mergeCell ref="I48:L48"/>
    <mergeCell ref="D50:G50"/>
    <mergeCell ref="I50:L50"/>
    <mergeCell ref="D51:G51"/>
    <mergeCell ref="I51:L51"/>
    <mergeCell ref="S51:V51"/>
    <mergeCell ref="X51:AA51"/>
    <mergeCell ref="AC51:AF51"/>
    <mergeCell ref="AH51:AK51"/>
    <mergeCell ref="AM51:AP51"/>
    <mergeCell ref="AR51:AU51"/>
    <mergeCell ref="N51:Q51"/>
    <mergeCell ref="S52:V52"/>
    <mergeCell ref="X52:AA52"/>
    <mergeCell ref="AC52:AF52"/>
    <mergeCell ref="AH52:AK52"/>
    <mergeCell ref="AM52:AP52"/>
    <mergeCell ref="AR52:AU52"/>
  </mergeCells>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0" priority="1" operator="equal">
      <formula>1</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1" priority="2" operator="equal">
      <formula>2</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2" priority="3" operator="equal">
      <formula>3</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3" priority="4" operator="equal">
      <formula>4</formula>
    </cfRule>
  </conditionalFormatting>
  <conditionalFormatting sqref="D26">
    <cfRule type="expression" dxfId="0" priority="5">
      <formula>D27=1</formula>
    </cfRule>
  </conditionalFormatting>
  <conditionalFormatting sqref="D26">
    <cfRule type="expression" dxfId="1" priority="6">
      <formula>D27=2</formula>
    </cfRule>
  </conditionalFormatting>
  <conditionalFormatting sqref="D26">
    <cfRule type="expression" dxfId="2" priority="7">
      <formula>D27=3</formula>
    </cfRule>
  </conditionalFormatting>
  <conditionalFormatting sqref="D26">
    <cfRule type="expression" dxfId="3" priority="8">
      <formula>D27=4</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0" priority="9">
      <formula>D27=1</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1" priority="10">
      <formula>D27=2</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2" priority="11">
      <formula>D27=3</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3" priority="12">
      <formula>D27=4</formula>
    </cfRule>
  </conditionalFormatting>
  <conditionalFormatting sqref="D27:G27 D44:G44 D61:G61 I27:L27 I44:L44 I61:L61 N27:Q27 N44:Q44 N61:Q61 S27:V27 S44:V44 S61:V61 X27:AA27 X44:AA44 X61:AA61 AC27:AF27 AC44:AF44 AC61:AF61 AH27:AK27 AH44:AK44 AH61:AK61 AM27:AP27 AM44:AP44 AM61:AP61 AR27:AU27 AR44:AU44 AR61:AU61 AW27:AZ27 AW44:AZ44 BB27:BE27 BB44:BE44 BG27:BJ27 BG44:BJ44 BL27:BO27">
    <cfRule type="cellIs" dxfId="4" priority="13" operator="between">
      <formula>1</formula>
      <formula>4</formula>
    </cfRule>
  </conditionalFormatting>
  <conditionalFormatting sqref="AO6:AS6">
    <cfRule type="expression" dxfId="4" priority="14">
      <formula>$BQ$24=0</formula>
    </cfRule>
  </conditionalFormatting>
  <conditionalFormatting sqref="AO7:AS7">
    <cfRule type="expression" dxfId="4" priority="15">
      <formula>$BR$24=0</formula>
    </cfRule>
  </conditionalFormatting>
  <conditionalFormatting sqref="AO8:AS8">
    <cfRule type="expression" dxfId="4" priority="16">
      <formula>$BS$24=0</formula>
    </cfRule>
  </conditionalFormatting>
  <conditionalFormatting sqref="AO9:AS9">
    <cfRule type="expression" dxfId="4" priority="17">
      <formula>$BT$24=0</formula>
    </cfRule>
  </conditionalFormatting>
  <printOptions horizontalCentered="1"/>
  <pageMargins bottom="0.75" footer="0.0" header="0.0" left="0.25" right="0.25"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EA0000"/>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2" width="8.86"/>
  </cols>
  <sheetData>
    <row r="1">
      <c r="A1" s="24" t="s">
        <v>20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30"/>
      <c r="BQ1" s="11"/>
      <c r="BR1" s="11"/>
      <c r="BS1" s="11"/>
      <c r="BT1" s="11"/>
      <c r="BU1" s="11"/>
      <c r="BV1" s="11"/>
      <c r="BW1" s="11"/>
      <c r="BX1" s="11"/>
      <c r="BY1" s="11"/>
      <c r="BZ1" s="11"/>
      <c r="CA1" s="11"/>
      <c r="CB1" s="11"/>
      <c r="CC1" s="11"/>
      <c r="CD1" s="11"/>
    </row>
    <row r="2">
      <c r="A2" s="4"/>
      <c r="BP2" s="30"/>
      <c r="BQ2" s="11"/>
      <c r="BR2" s="11"/>
      <c r="BS2" s="11"/>
      <c r="BT2" s="11"/>
      <c r="BU2" s="11"/>
      <c r="BV2" s="11"/>
      <c r="BW2" s="11"/>
      <c r="BX2" s="11"/>
      <c r="BY2" s="11"/>
      <c r="BZ2" s="11"/>
      <c r="CA2" s="11"/>
      <c r="CB2" s="11"/>
      <c r="CC2" s="11"/>
      <c r="CD2" s="11"/>
    </row>
    <row r="3">
      <c r="A3" s="4"/>
      <c r="BP3" s="30"/>
      <c r="BQ3" s="11"/>
      <c r="BR3" s="11"/>
      <c r="BS3" s="11"/>
      <c r="BT3" s="11"/>
      <c r="BU3" s="11"/>
      <c r="BV3" s="11"/>
      <c r="BW3" s="11"/>
      <c r="BX3" s="11"/>
      <c r="BY3" s="11"/>
      <c r="BZ3" s="11"/>
      <c r="CA3" s="11"/>
      <c r="CB3" s="11"/>
      <c r="CC3" s="11"/>
      <c r="CD3" s="11"/>
    </row>
    <row r="4">
      <c r="BP4" s="34"/>
      <c r="BQ4" s="11"/>
      <c r="BR4" s="11"/>
      <c r="BS4" s="11"/>
      <c r="BT4" s="11"/>
      <c r="BU4" s="11"/>
      <c r="BV4" s="11"/>
      <c r="BW4" s="11"/>
      <c r="BX4" s="11"/>
      <c r="BY4" s="11"/>
      <c r="BZ4" s="11"/>
      <c r="CA4" s="11"/>
      <c r="CB4" s="11"/>
      <c r="CC4" s="11"/>
      <c r="CD4" s="11"/>
    </row>
    <row r="5" ht="19.5" customHeight="1">
      <c r="AK5" s="35" t="s">
        <v>10</v>
      </c>
      <c r="AL5" s="16"/>
      <c r="AM5" s="16"/>
      <c r="AN5" s="17"/>
      <c r="AO5" s="35" t="s">
        <v>12</v>
      </c>
      <c r="AP5" s="16"/>
      <c r="AQ5" s="16"/>
      <c r="AR5" s="16"/>
      <c r="AS5" s="17"/>
      <c r="AT5" s="35" t="s">
        <v>14</v>
      </c>
      <c r="AU5" s="16"/>
      <c r="AV5" s="16"/>
      <c r="AW5" s="16"/>
      <c r="AX5" s="17"/>
      <c r="AY5" s="35" t="s">
        <v>15</v>
      </c>
      <c r="AZ5" s="16"/>
      <c r="BA5" s="16"/>
      <c r="BB5" s="16"/>
      <c r="BC5" s="17"/>
      <c r="BD5" s="35" t="s">
        <v>16</v>
      </c>
      <c r="BE5" s="16"/>
      <c r="BF5" s="16"/>
      <c r="BG5" s="16"/>
      <c r="BH5" s="17"/>
      <c r="BP5" s="34"/>
      <c r="BQ5" s="11"/>
      <c r="BR5" s="11"/>
      <c r="BS5" s="11"/>
      <c r="BT5" s="11"/>
      <c r="BU5" s="11"/>
      <c r="BV5" s="11"/>
      <c r="BW5" s="11"/>
      <c r="BX5" s="11"/>
      <c r="BY5" s="11"/>
      <c r="BZ5" s="11"/>
      <c r="CA5" s="11"/>
      <c r="CB5" s="11"/>
      <c r="CC5" s="11"/>
      <c r="CD5" s="11"/>
    </row>
    <row r="6" ht="19.5" customHeight="1">
      <c r="B6" s="38" t="s">
        <v>17</v>
      </c>
      <c r="C6" s="16"/>
      <c r="D6" s="16"/>
      <c r="E6" s="16"/>
      <c r="F6" s="16"/>
      <c r="G6" s="17"/>
      <c r="H6" s="29" t="str">
        <f>'Milestones Grid'!$H$6</f>
        <v>TEST NAME- GOLF</v>
      </c>
      <c r="I6" s="16"/>
      <c r="J6" s="16"/>
      <c r="K6" s="16"/>
      <c r="L6" s="16"/>
      <c r="M6" s="16"/>
      <c r="N6" s="16"/>
      <c r="O6" s="16"/>
      <c r="P6" s="16"/>
      <c r="Q6" s="16"/>
      <c r="R6" s="16"/>
      <c r="S6" s="16"/>
      <c r="T6" s="16"/>
      <c r="U6" s="16"/>
      <c r="V6" s="16"/>
      <c r="W6" s="16"/>
      <c r="X6" s="16"/>
      <c r="Y6" s="16"/>
      <c r="Z6" s="16"/>
      <c r="AA6" s="16"/>
      <c r="AB6" s="16"/>
      <c r="AC6" s="16"/>
      <c r="AD6" s="16"/>
      <c r="AE6" s="17"/>
      <c r="AK6" s="40" t="s">
        <v>19</v>
      </c>
      <c r="AL6" s="16"/>
      <c r="AM6" s="16"/>
      <c r="AN6" s="17"/>
      <c r="AO6" s="42">
        <f>SUM(D14:E21,N14:O21,X14:Y21,AH14:AI21,AR14:AS21,BB14:BC21,D29:E36,N29:O36,X29:Y36,AH29:AI36,AR29:AS36,BB29:BC36,D44:E51,N44:O51,X44:Y51,AH44:AI51,AR44:AS51,BB44:BC51,D59:E66,N59:O66,X59:Y66,AH59:AI66,AR59:AS66,BB59:BC66)</f>
        <v>0</v>
      </c>
      <c r="AP6" s="16"/>
      <c r="AQ6" s="16"/>
      <c r="AR6" s="16"/>
      <c r="AS6" s="17"/>
      <c r="AT6" s="31"/>
      <c r="AU6" s="16"/>
      <c r="AV6" s="16"/>
      <c r="AW6" s="16"/>
      <c r="AX6" s="17"/>
      <c r="AY6" s="25"/>
      <c r="AZ6" s="16"/>
      <c r="BA6" s="16"/>
      <c r="BB6" s="16"/>
      <c r="BC6" s="17"/>
      <c r="BD6" s="32"/>
      <c r="BE6" s="16"/>
      <c r="BF6" s="16"/>
      <c r="BG6" s="16"/>
      <c r="BH6" s="17"/>
      <c r="BI6" s="14">
        <f>IF('Transition Grid'!$BI$6&gt;0,1,"")</f>
        <v>1</v>
      </c>
      <c r="BP6" s="34"/>
      <c r="BQ6" s="11"/>
      <c r="BR6" s="11"/>
      <c r="BS6" s="11"/>
      <c r="BT6" s="11"/>
      <c r="BU6" s="11"/>
      <c r="BV6" s="11"/>
      <c r="BW6" s="11"/>
      <c r="BX6" s="11"/>
      <c r="BY6" s="11"/>
      <c r="BZ6" s="11"/>
      <c r="CA6" s="11"/>
      <c r="CB6" s="11"/>
      <c r="CC6" s="11"/>
      <c r="CD6" s="11"/>
    </row>
    <row r="7" ht="19.5" customHeight="1">
      <c r="B7" s="38" t="s">
        <v>22</v>
      </c>
      <c r="C7" s="16"/>
      <c r="D7" s="16"/>
      <c r="E7" s="16"/>
      <c r="F7" s="16"/>
      <c r="G7" s="17"/>
      <c r="H7" s="41">
        <f>'Milestones Grid'!$H$7</f>
        <v>45108</v>
      </c>
      <c r="I7" s="16"/>
      <c r="J7" s="16"/>
      <c r="K7" s="16"/>
      <c r="L7" s="16"/>
      <c r="M7" s="16"/>
      <c r="N7" s="16"/>
      <c r="O7" s="16"/>
      <c r="P7" s="16"/>
      <c r="Q7" s="16"/>
      <c r="R7" s="16"/>
      <c r="S7" s="16"/>
      <c r="T7" s="16"/>
      <c r="U7" s="16"/>
      <c r="V7" s="16"/>
      <c r="W7" s="16"/>
      <c r="X7" s="16"/>
      <c r="Y7" s="16"/>
      <c r="Z7" s="16"/>
      <c r="AA7" s="16"/>
      <c r="AB7" s="16"/>
      <c r="AC7" s="16"/>
      <c r="AD7" s="16"/>
      <c r="AE7" s="17"/>
      <c r="AK7" s="40" t="s">
        <v>23</v>
      </c>
      <c r="AL7" s="16"/>
      <c r="AM7" s="16"/>
      <c r="AN7" s="17"/>
      <c r="AO7" s="42">
        <f>SUM(F14:G21,P14:Q21,Z14:AA21,AJ14:AK21,AT14:AU21,BD14:BE21,F29:G36,P29:Q36,Z29:AA36,AJ29:AK36,AT29:AU36,BD29:BE36,F44:G51,P44:Q51,Z44:AA51,AJ44:AK51,AT44:AU51,BD44:BE51,F59:G66,P59:Q66,Z59:AA66,AJ59:AK66,AT59:AU66,BD59:BE66)/2</f>
        <v>0</v>
      </c>
      <c r="AP7" s="16"/>
      <c r="AQ7" s="16"/>
      <c r="AR7" s="16"/>
      <c r="AS7" s="17"/>
      <c r="AT7" s="31"/>
      <c r="AU7" s="16"/>
      <c r="AV7" s="16"/>
      <c r="AW7" s="16"/>
      <c r="AX7" s="17"/>
      <c r="AY7" s="33"/>
      <c r="AZ7" s="16"/>
      <c r="BA7" s="16"/>
      <c r="BB7" s="16"/>
      <c r="BC7" s="17"/>
      <c r="BD7" s="32"/>
      <c r="BE7" s="16"/>
      <c r="BF7" s="16"/>
      <c r="BG7" s="16"/>
      <c r="BH7" s="17"/>
      <c r="BI7" s="14" t="str">
        <f>IF('Transition Grid'!$BJ$6&gt;0,1,"")</f>
        <v/>
      </c>
      <c r="BP7" s="34"/>
      <c r="BQ7" s="11"/>
      <c r="BR7" s="11"/>
      <c r="BS7" s="11"/>
      <c r="BT7" s="11"/>
      <c r="BU7" s="11"/>
      <c r="BV7" s="11"/>
      <c r="BW7" s="11"/>
      <c r="BX7" s="11"/>
      <c r="BY7" s="11"/>
      <c r="BZ7" s="11"/>
      <c r="CA7" s="11"/>
      <c r="CB7" s="11"/>
      <c r="CC7" s="11"/>
      <c r="CD7" s="11"/>
    </row>
    <row r="8" ht="19.5" customHeight="1">
      <c r="B8" s="38" t="s">
        <v>24</v>
      </c>
      <c r="C8" s="16"/>
      <c r="D8" s="16"/>
      <c r="E8" s="16"/>
      <c r="F8" s="16"/>
      <c r="G8" s="17"/>
      <c r="H8" s="52">
        <v>1.0</v>
      </c>
      <c r="I8" s="17"/>
      <c r="J8" s="39" t="str">
        <f>IF(OR(ISBLANK($H$7),ISBLANK($AT$6)),"",INT(YEARFRAC($H$7,$AT$6))&amp;" y, "&amp;INT((YEARFRAC($H$7,$AT$6)-INT(YEARFRAC($H$7,$AT$6)))*12)&amp;" m")</f>
        <v/>
      </c>
      <c r="K8" s="16"/>
      <c r="L8" s="16"/>
      <c r="M8" s="17"/>
      <c r="N8" s="52">
        <v>2.0</v>
      </c>
      <c r="O8" s="17"/>
      <c r="P8" s="39" t="str">
        <f>IF(OR(ISBLANK($H$7),ISBLANK($AT$7)),"",INT(YEARFRAC($H$7,$AT$7))&amp;" y, "&amp;INT((YEARFRAC($H$7,$AT$7)-INT(YEARFRAC($H$7,$AT$7)))*12)&amp;" m")</f>
        <v/>
      </c>
      <c r="Q8" s="16"/>
      <c r="R8" s="16"/>
      <c r="S8" s="17"/>
      <c r="T8" s="52">
        <v>3.0</v>
      </c>
      <c r="U8" s="17"/>
      <c r="V8" s="39" t="str">
        <f>IF(OR(ISBLANK($H$7),ISBLANK($AT$8)),"",INT(YEARFRAC($H$7,$AT$8))&amp;" y, "&amp;INT((YEARFRAC($H$7,$AT$8)-INT(YEARFRAC($H$7,$AT$8)))*12)&amp;" m")</f>
        <v/>
      </c>
      <c r="W8" s="16"/>
      <c r="X8" s="16"/>
      <c r="Y8" s="17"/>
      <c r="Z8" s="52">
        <v>4.0</v>
      </c>
      <c r="AA8" s="17"/>
      <c r="AB8" s="39" t="str">
        <f>IF(OR(ISBLANK($H$7),ISBLANK($AT$9)),"",INT(YEARFRAC($H$7,$AT$9))&amp;" y, "&amp;INT((YEARFRAC($H$7,$AT$9)-INT(YEARFRAC($H$7,$AT$9)))*12)&amp;" m")</f>
        <v/>
      </c>
      <c r="AC8" s="16"/>
      <c r="AD8" s="16"/>
      <c r="AE8" s="17"/>
      <c r="AK8" s="40" t="s">
        <v>30</v>
      </c>
      <c r="AL8" s="16"/>
      <c r="AM8" s="16"/>
      <c r="AN8" s="17"/>
      <c r="AO8" s="42">
        <f>SUM(H14:I21,R14:S21,AB14:AC21,AL14:AM21,AV14:AW21,BF14:BG21,H29:I36,R29:S36,AB29:AC36,AL29:AM36,AV29:AW36,BF29:BG36,H44:I51,R44:S51,AB44:AC51,AL44:AM51,AV44:AW51,BF44:BG51,H59:I66,R59:S66,AB59:AC66,AL59:AM66,AV59:AW66,BF59:BG66)/3</f>
        <v>0</v>
      </c>
      <c r="AP8" s="16"/>
      <c r="AQ8" s="16"/>
      <c r="AR8" s="16"/>
      <c r="AS8" s="17"/>
      <c r="AT8" s="31"/>
      <c r="AU8" s="16"/>
      <c r="AV8" s="16"/>
      <c r="AW8" s="16"/>
      <c r="AX8" s="17"/>
      <c r="AY8" s="43"/>
      <c r="AZ8" s="16"/>
      <c r="BA8" s="16"/>
      <c r="BB8" s="16"/>
      <c r="BC8" s="17"/>
      <c r="BD8" s="32"/>
      <c r="BE8" s="16"/>
      <c r="BF8" s="16"/>
      <c r="BG8" s="16"/>
      <c r="BH8" s="17"/>
      <c r="BI8" s="14" t="str">
        <f>IF('Transition Grid'!$BK$6&gt;0,1,"")</f>
        <v/>
      </c>
      <c r="BP8" s="34"/>
      <c r="BQ8" s="11"/>
      <c r="BR8" s="11"/>
      <c r="BS8" s="11"/>
      <c r="BT8" s="11"/>
      <c r="BU8" s="11"/>
      <c r="BV8" s="11"/>
      <c r="BW8" s="11"/>
      <c r="BX8" s="11"/>
      <c r="BY8" s="11"/>
      <c r="BZ8" s="11"/>
      <c r="CA8" s="11"/>
      <c r="CB8" s="11"/>
      <c r="CC8" s="11"/>
      <c r="CD8" s="11"/>
    </row>
    <row r="9" ht="19.5" customHeight="1">
      <c r="AK9" s="40" t="s">
        <v>32</v>
      </c>
      <c r="AL9" s="16"/>
      <c r="AM9" s="16"/>
      <c r="AN9" s="17"/>
      <c r="AO9" s="42">
        <f>SUM(J14:K21,T14:U21,AD14:AE21,AN14:AO21,AX14:AY21,BH14:BI21,J29:K36,T29:U36,AD29:AE36,AN29:AO36,AX29:AY36,BH29:BI36,J44:K51,T44:U51,AD44:AE51,AN44:AO51,AX44:AY51,BH44:BI51,J59:K66,T59:U66,AD59:AE66,AN59:AO66,AX59:AY66,BH59:BI66)/4</f>
        <v>0</v>
      </c>
      <c r="AP9" s="16"/>
      <c r="AQ9" s="16"/>
      <c r="AR9" s="16"/>
      <c r="AS9" s="17"/>
      <c r="AT9" s="31"/>
      <c r="AU9" s="16"/>
      <c r="AV9" s="16"/>
      <c r="AW9" s="16"/>
      <c r="AX9" s="17"/>
      <c r="AY9" s="45"/>
      <c r="AZ9" s="16"/>
      <c r="BA9" s="16"/>
      <c r="BB9" s="16"/>
      <c r="BC9" s="17"/>
      <c r="BD9" s="32"/>
      <c r="BE9" s="16"/>
      <c r="BF9" s="16"/>
      <c r="BG9" s="16"/>
      <c r="BH9" s="17"/>
      <c r="BI9" s="14" t="str">
        <f>IF('Transition Grid'!$BL$6&gt;0,1,"")</f>
        <v/>
      </c>
      <c r="BP9" s="34"/>
      <c r="BQ9" s="11"/>
      <c r="BR9" s="11"/>
      <c r="BS9" s="11"/>
      <c r="BT9" s="11"/>
      <c r="BU9" s="11"/>
      <c r="BV9" s="11"/>
      <c r="BW9" s="11"/>
      <c r="BX9" s="11"/>
      <c r="BY9" s="11"/>
      <c r="BZ9" s="11"/>
      <c r="CA9" s="11"/>
      <c r="CB9" s="11"/>
      <c r="CC9" s="11"/>
      <c r="CD9" s="11"/>
    </row>
    <row r="10">
      <c r="N10" s="14">
        <f>SUM(D13,N13)</f>
        <v>0</v>
      </c>
      <c r="O10" s="14">
        <f>SUM(F13,P13)</f>
        <v>0</v>
      </c>
      <c r="P10" s="14">
        <f>SUM(H13,R13)</f>
        <v>0</v>
      </c>
      <c r="Q10" s="14">
        <f>SUM(J13,T13)</f>
        <v>0</v>
      </c>
      <c r="BP10" s="34"/>
      <c r="BQ10" s="11"/>
      <c r="BR10" s="11"/>
      <c r="BS10" s="11"/>
      <c r="BT10" s="11"/>
      <c r="BU10" s="11"/>
      <c r="BV10" s="11"/>
      <c r="BW10" s="11"/>
      <c r="BX10" s="11"/>
      <c r="BY10" s="11"/>
      <c r="BZ10" s="11"/>
      <c r="CA10" s="11"/>
      <c r="CB10" s="11"/>
      <c r="CC10" s="11"/>
      <c r="CD10" s="11"/>
    </row>
    <row r="11">
      <c r="F11" s="51"/>
      <c r="G11" s="64"/>
      <c r="H11" s="64"/>
      <c r="I11" s="64"/>
      <c r="J11" s="64"/>
      <c r="K11" s="64"/>
      <c r="L11" s="64"/>
      <c r="M11" s="64"/>
      <c r="BP11" s="34"/>
      <c r="BQ11" s="11"/>
      <c r="BR11" s="11"/>
      <c r="BS11" s="11"/>
      <c r="BT11" s="11"/>
      <c r="BU11" s="11"/>
      <c r="BV11" s="11"/>
      <c r="BW11" s="11"/>
      <c r="BX11" s="11"/>
      <c r="BY11" s="11"/>
      <c r="BZ11" s="11"/>
      <c r="CA11" s="11"/>
      <c r="CB11" s="11"/>
      <c r="CC11" s="11"/>
      <c r="CD11" s="11"/>
    </row>
    <row r="12">
      <c r="F12" s="64"/>
      <c r="G12" s="64"/>
      <c r="H12" s="64"/>
      <c r="I12" s="64"/>
      <c r="J12" s="64"/>
      <c r="K12" s="64"/>
      <c r="L12" s="64"/>
      <c r="M12" s="64"/>
      <c r="BP12" s="34"/>
      <c r="BQ12" s="11"/>
      <c r="BR12" s="11"/>
      <c r="BS12" s="11"/>
      <c r="BT12" s="11"/>
      <c r="BU12" s="11"/>
      <c r="BV12" s="11"/>
      <c r="BW12" s="11"/>
      <c r="BX12" s="11"/>
      <c r="BY12" s="11"/>
      <c r="BZ12" s="11"/>
      <c r="CA12" s="11"/>
      <c r="CB12" s="11"/>
      <c r="CC12" s="11"/>
      <c r="CD12" s="11"/>
    </row>
    <row r="13">
      <c r="D13" s="14">
        <f>SUM(D14:E21)</f>
        <v>0</v>
      </c>
      <c r="E13" s="14"/>
      <c r="F13" s="65">
        <f>SUM(F14:G21)/2</f>
        <v>0</v>
      </c>
      <c r="G13" s="65"/>
      <c r="H13" s="65">
        <f>SUM(H14:I21)/3</f>
        <v>0</v>
      </c>
      <c r="I13" s="65"/>
      <c r="J13" s="65">
        <f>SUM(J14:K21)/4</f>
        <v>0</v>
      </c>
      <c r="K13" s="65"/>
      <c r="L13" s="14">
        <f>IF(OR(J13&gt;0,$AO$9&gt;0),J13,IF(OR(H13&gt;0,$AO$8&gt;0),H13,IF(OR(F13&gt;0,$AO$7&gt;0),F13,IF(OR(D13&gt;0,$AO$6&gt;0),D13,0))))</f>
        <v>0</v>
      </c>
      <c r="M13" s="65"/>
      <c r="N13" s="14">
        <f>SUM(N14:O21)</f>
        <v>0</v>
      </c>
      <c r="O13" s="14"/>
      <c r="P13" s="14">
        <f>SUM(P14:Q21)/2</f>
        <v>0</v>
      </c>
      <c r="Q13" s="14"/>
      <c r="R13" s="14">
        <f>SUM(R14:S21)/3</f>
        <v>0</v>
      </c>
      <c r="S13" s="14"/>
      <c r="T13" s="14">
        <f>SUM(T14:U21)/4</f>
        <v>0</v>
      </c>
      <c r="U13" s="14"/>
      <c r="V13" s="14">
        <f>IF(OR(T13&gt;0,$AO$9&gt;0),T13,IF(OR(R13&gt;0,$AO$8&gt;0),R13,IF(OR(P13&gt;0,$AO$7&gt;0),P13,IF(OR(N13&gt;0,$AO$6&gt;0),N13,0))))</f>
        <v>0</v>
      </c>
      <c r="W13" s="14"/>
      <c r="X13" s="14">
        <f>SUM(X14:Y21)</f>
        <v>0</v>
      </c>
      <c r="Y13" s="14"/>
      <c r="Z13" s="14">
        <f>SUM(Z14:AA21)/2</f>
        <v>0</v>
      </c>
      <c r="AA13" s="14"/>
      <c r="AB13" s="14">
        <f>SUM(AB14:AC21)/3</f>
        <v>0</v>
      </c>
      <c r="AC13" s="14"/>
      <c r="AD13" s="14">
        <f>SUM(AD14:AE21)/4</f>
        <v>0</v>
      </c>
      <c r="AE13" s="14"/>
      <c r="AF13" s="14">
        <f>IF(OR(AD13&gt;0,$AO$9&gt;0),AD13,IF(OR(AB13&gt;0,$AO$8&gt;0),AB13,IF(OR(Z13&gt;0,$AO$7&gt;0),Z13,IF(OR(X13&gt;0,$AO$6&gt;0),X13,0))))</f>
        <v>0</v>
      </c>
      <c r="AG13" s="14"/>
      <c r="AH13" s="14">
        <f>SUM(AH14:AI21)</f>
        <v>0</v>
      </c>
      <c r="AI13" s="14"/>
      <c r="AJ13" s="14">
        <f>SUM(AJ14:AK21)/2</f>
        <v>0</v>
      </c>
      <c r="AK13" s="14"/>
      <c r="AL13" s="14">
        <f>SUM(AL14:AM21)/3</f>
        <v>0</v>
      </c>
      <c r="AM13" s="14"/>
      <c r="AN13" s="14">
        <f>SUM(AN14:AO21)/4</f>
        <v>0</v>
      </c>
      <c r="AO13" s="14"/>
      <c r="AP13" s="14">
        <f>IF(OR(AN13&gt;0,$AO$9&gt;0),AN13,IF(OR(AL13&gt;0,$AO$8&gt;0),AL13,IF(OR(AJ13&gt;0,$AO$7&gt;0),AJ13,IF(OR(AH13&gt;0,$AO$6&gt;0),AH13,0))))</f>
        <v>0</v>
      </c>
      <c r="AQ13" s="14"/>
      <c r="AR13" s="14">
        <f>SUM(AR14:AS21)</f>
        <v>0</v>
      </c>
      <c r="AS13" s="14"/>
      <c r="AT13" s="14">
        <f>SUM(AT14:AU21)/2</f>
        <v>0</v>
      </c>
      <c r="AU13" s="14"/>
      <c r="AV13" s="14">
        <f>SUM(AV14:AW21)/3</f>
        <v>0</v>
      </c>
      <c r="AW13" s="14"/>
      <c r="AX13" s="14">
        <f>SUM(AX14:AY21)/4</f>
        <v>0</v>
      </c>
      <c r="AY13" s="14"/>
      <c r="AZ13" s="14">
        <f>IF(OR(AX13&gt;0,$AO$9&gt;0),AX13,IF(OR(AV13&gt;0,$AO$8&gt;0),AV13,IF(OR(AT13&gt;0,$AO$7&gt;0),AT13,IF(OR(AR13&gt;0,$AO$6&gt;0),AR13,0))))</f>
        <v>0</v>
      </c>
      <c r="BA13" s="14"/>
      <c r="BB13" s="14">
        <f>SUM(BB14:BC21)</f>
        <v>0</v>
      </c>
      <c r="BC13" s="14"/>
      <c r="BD13" s="14">
        <f>SUM(BD14:BE21)/2</f>
        <v>0</v>
      </c>
      <c r="BE13" s="14"/>
      <c r="BF13" s="14">
        <f>SUM(BF14:BG21)/3</f>
        <v>0</v>
      </c>
      <c r="BG13" s="14"/>
      <c r="BH13" s="14">
        <f>SUM(BH14:BI21)/4</f>
        <v>0</v>
      </c>
      <c r="BI13" s="14"/>
      <c r="BJ13" s="14">
        <f>IF(OR(BH13&gt;0,$AO$9&gt;0),BH13,IF(OR(BF13&gt;0,$AO$8&gt;0),BF13,IF(OR(BD13&gt;0,$AO$7&gt;0),BD13,IF(OR(BB13&gt;0,$AO$6&gt;0),BB13,0))))</f>
        <v>0</v>
      </c>
      <c r="BK13" s="14"/>
      <c r="BL13" s="14">
        <f>SUM(L13,V13,AF13,AP13,AZ13,BJ13,L28,V28,AF28,AP28,AZ28,BJ28,L43,V43,AF43,AP43,AZ43,BJ43,L58,V58,AF58,AP58,AZ58,BJ58)</f>
        <v>0</v>
      </c>
      <c r="BP13" s="34"/>
      <c r="BQ13" s="11"/>
      <c r="BR13" s="11"/>
      <c r="BS13" s="11"/>
      <c r="BT13" s="11"/>
      <c r="BU13" s="11"/>
      <c r="BV13" s="11"/>
      <c r="BW13" s="11"/>
      <c r="BX13" s="11"/>
      <c r="BY13" s="11"/>
      <c r="BZ13" s="11"/>
      <c r="CA13" s="11"/>
      <c r="CB13" s="11"/>
      <c r="CC13" s="11"/>
      <c r="CD13" s="11"/>
    </row>
    <row r="14" ht="12.0" customHeight="1">
      <c r="B14" s="54">
        <v>4.0</v>
      </c>
      <c r="C14" s="55"/>
      <c r="D14" s="56"/>
      <c r="E14" s="57"/>
      <c r="F14" s="56"/>
      <c r="G14" s="57"/>
      <c r="H14" s="56"/>
      <c r="I14" s="57"/>
      <c r="J14" s="56"/>
      <c r="K14" s="57"/>
      <c r="L14" s="58"/>
      <c r="M14" s="59"/>
      <c r="N14" s="56"/>
      <c r="O14" s="57"/>
      <c r="P14" s="56"/>
      <c r="Q14" s="57"/>
      <c r="R14" s="56"/>
      <c r="S14" s="57"/>
      <c r="T14" s="56"/>
      <c r="U14" s="57"/>
      <c r="V14" s="58"/>
      <c r="W14" s="59"/>
      <c r="X14" s="56"/>
      <c r="Y14" s="57"/>
      <c r="Z14" s="56"/>
      <c r="AA14" s="57"/>
      <c r="AB14" s="56"/>
      <c r="AC14" s="57"/>
      <c r="AD14" s="56"/>
      <c r="AE14" s="57"/>
      <c r="AF14" s="58"/>
      <c r="AG14" s="59"/>
      <c r="AH14" s="56"/>
      <c r="AI14" s="57"/>
      <c r="AJ14" s="56"/>
      <c r="AK14" s="57"/>
      <c r="AL14" s="56"/>
      <c r="AM14" s="57"/>
      <c r="AN14" s="56"/>
      <c r="AO14" s="57"/>
      <c r="AP14" s="58"/>
      <c r="AQ14" s="59"/>
      <c r="AR14" s="56"/>
      <c r="AS14" s="57"/>
      <c r="AT14" s="56"/>
      <c r="AU14" s="57"/>
      <c r="AV14" s="56"/>
      <c r="AW14" s="57"/>
      <c r="AX14" s="56"/>
      <c r="AY14" s="57"/>
      <c r="AZ14" s="58"/>
      <c r="BA14" s="59"/>
      <c r="BB14" s="56"/>
      <c r="BC14" s="57"/>
      <c r="BD14" s="56"/>
      <c r="BE14" s="57"/>
      <c r="BF14" s="56"/>
      <c r="BG14" s="57"/>
      <c r="BH14" s="56"/>
      <c r="BI14" s="57"/>
      <c r="BP14" s="34"/>
      <c r="BQ14" s="11"/>
      <c r="BR14" s="11"/>
      <c r="BS14" s="11"/>
      <c r="BT14" s="11"/>
      <c r="BU14" s="11"/>
      <c r="BV14" s="11"/>
      <c r="BW14" s="11"/>
      <c r="BX14" s="11"/>
      <c r="BY14" s="11"/>
      <c r="BZ14" s="11"/>
      <c r="CA14" s="11"/>
      <c r="CB14" s="11"/>
      <c r="CC14" s="11"/>
      <c r="CD14" s="11"/>
    </row>
    <row r="15" ht="12.0" customHeight="1">
      <c r="B15" s="73"/>
      <c r="C15" s="74"/>
      <c r="D15" s="75"/>
      <c r="E15" s="76"/>
      <c r="F15" s="75"/>
      <c r="G15" s="76"/>
      <c r="H15" s="75"/>
      <c r="I15" s="76"/>
      <c r="J15" s="75"/>
      <c r="K15" s="76"/>
      <c r="L15" s="77"/>
      <c r="M15" s="59"/>
      <c r="N15" s="75"/>
      <c r="O15" s="76"/>
      <c r="P15" s="75"/>
      <c r="Q15" s="76"/>
      <c r="R15" s="75"/>
      <c r="S15" s="76"/>
      <c r="T15" s="75"/>
      <c r="U15" s="76"/>
      <c r="V15" s="77"/>
      <c r="W15" s="59"/>
      <c r="X15" s="75"/>
      <c r="Y15" s="76"/>
      <c r="Z15" s="75"/>
      <c r="AA15" s="76"/>
      <c r="AB15" s="75"/>
      <c r="AC15" s="76"/>
      <c r="AD15" s="75"/>
      <c r="AE15" s="76"/>
      <c r="AF15" s="77"/>
      <c r="AG15" s="59"/>
      <c r="AH15" s="75"/>
      <c r="AI15" s="76"/>
      <c r="AJ15" s="75"/>
      <c r="AK15" s="76"/>
      <c r="AL15" s="75"/>
      <c r="AM15" s="76"/>
      <c r="AN15" s="75"/>
      <c r="AO15" s="76"/>
      <c r="AP15" s="77"/>
      <c r="AQ15" s="59"/>
      <c r="AR15" s="75"/>
      <c r="AS15" s="76"/>
      <c r="AT15" s="75"/>
      <c r="AU15" s="76"/>
      <c r="AV15" s="75"/>
      <c r="AW15" s="76"/>
      <c r="AX15" s="75"/>
      <c r="AY15" s="76"/>
      <c r="AZ15" s="77"/>
      <c r="BA15" s="59"/>
      <c r="BB15" s="75"/>
      <c r="BC15" s="76"/>
      <c r="BD15" s="75"/>
      <c r="BE15" s="76"/>
      <c r="BF15" s="75"/>
      <c r="BG15" s="76"/>
      <c r="BH15" s="75"/>
      <c r="BI15" s="76"/>
      <c r="BP15" s="34"/>
      <c r="BQ15" s="11"/>
      <c r="BR15" s="11"/>
      <c r="BS15" s="11"/>
      <c r="BT15" s="11"/>
      <c r="BU15" s="11"/>
      <c r="BV15" s="11"/>
      <c r="BW15" s="11"/>
      <c r="BX15" s="11"/>
      <c r="BY15" s="11"/>
      <c r="BZ15" s="11"/>
      <c r="CA15" s="11"/>
      <c r="CB15" s="11"/>
      <c r="CC15" s="11"/>
      <c r="CD15" s="11"/>
    </row>
    <row r="16" ht="12.0" customHeight="1">
      <c r="B16" s="54">
        <v>3.0</v>
      </c>
      <c r="C16" s="55"/>
      <c r="D16" s="56"/>
      <c r="E16" s="57"/>
      <c r="F16" s="56"/>
      <c r="G16" s="57"/>
      <c r="H16" s="56"/>
      <c r="I16" s="57"/>
      <c r="J16" s="56"/>
      <c r="K16" s="57"/>
      <c r="L16" s="58"/>
      <c r="M16" s="59"/>
      <c r="N16" s="56"/>
      <c r="O16" s="57"/>
      <c r="P16" s="56"/>
      <c r="Q16" s="57"/>
      <c r="R16" s="56"/>
      <c r="S16" s="57"/>
      <c r="T16" s="56"/>
      <c r="U16" s="57"/>
      <c r="V16" s="58"/>
      <c r="W16" s="59"/>
      <c r="X16" s="56"/>
      <c r="Y16" s="57"/>
      <c r="Z16" s="56"/>
      <c r="AA16" s="57"/>
      <c r="AB16" s="56"/>
      <c r="AC16" s="57"/>
      <c r="AD16" s="56"/>
      <c r="AE16" s="57"/>
      <c r="AF16" s="58"/>
      <c r="AG16" s="59"/>
      <c r="AH16" s="56"/>
      <c r="AI16" s="57"/>
      <c r="AJ16" s="56"/>
      <c r="AK16" s="57"/>
      <c r="AL16" s="56"/>
      <c r="AM16" s="57"/>
      <c r="AN16" s="56"/>
      <c r="AO16" s="57"/>
      <c r="AP16" s="58"/>
      <c r="AQ16" s="59"/>
      <c r="AR16" s="56"/>
      <c r="AS16" s="57"/>
      <c r="AT16" s="56"/>
      <c r="AU16" s="57"/>
      <c r="AV16" s="56"/>
      <c r="AW16" s="57"/>
      <c r="AX16" s="56"/>
      <c r="AY16" s="57"/>
      <c r="AZ16" s="58"/>
      <c r="BA16" s="59"/>
      <c r="BB16" s="56"/>
      <c r="BC16" s="57"/>
      <c r="BD16" s="56"/>
      <c r="BE16" s="57"/>
      <c r="BF16" s="56"/>
      <c r="BG16" s="57"/>
      <c r="BH16" s="56"/>
      <c r="BI16" s="57"/>
      <c r="BP16" s="34"/>
      <c r="BQ16" s="11"/>
      <c r="BR16" s="11"/>
      <c r="BS16" s="11"/>
      <c r="BT16" s="11"/>
      <c r="BU16" s="11"/>
      <c r="BV16" s="11"/>
      <c r="BW16" s="11"/>
      <c r="BX16" s="11"/>
      <c r="BY16" s="11"/>
      <c r="BZ16" s="11"/>
      <c r="CA16" s="11"/>
      <c r="CB16" s="11"/>
      <c r="CC16" s="11"/>
      <c r="CD16" s="11"/>
    </row>
    <row r="17" ht="12.0" customHeight="1">
      <c r="B17" s="73"/>
      <c r="C17" s="74"/>
      <c r="D17" s="75"/>
      <c r="E17" s="76"/>
      <c r="F17" s="75"/>
      <c r="G17" s="76"/>
      <c r="H17" s="75"/>
      <c r="I17" s="76"/>
      <c r="J17" s="75"/>
      <c r="K17" s="76"/>
      <c r="L17" s="77"/>
      <c r="M17" s="59"/>
      <c r="N17" s="75"/>
      <c r="O17" s="76"/>
      <c r="P17" s="75"/>
      <c r="Q17" s="76"/>
      <c r="R17" s="75"/>
      <c r="S17" s="76"/>
      <c r="T17" s="75"/>
      <c r="U17" s="76"/>
      <c r="V17" s="77"/>
      <c r="W17" s="59"/>
      <c r="X17" s="75"/>
      <c r="Y17" s="76"/>
      <c r="Z17" s="75"/>
      <c r="AA17" s="76"/>
      <c r="AB17" s="75"/>
      <c r="AC17" s="76"/>
      <c r="AD17" s="75"/>
      <c r="AE17" s="76"/>
      <c r="AF17" s="77"/>
      <c r="AG17" s="59"/>
      <c r="AH17" s="75"/>
      <c r="AI17" s="76"/>
      <c r="AJ17" s="75"/>
      <c r="AK17" s="76"/>
      <c r="AL17" s="75"/>
      <c r="AM17" s="76"/>
      <c r="AN17" s="75"/>
      <c r="AO17" s="76"/>
      <c r="AP17" s="77"/>
      <c r="AQ17" s="59"/>
      <c r="AR17" s="75"/>
      <c r="AS17" s="76"/>
      <c r="AT17" s="75"/>
      <c r="AU17" s="76"/>
      <c r="AV17" s="75"/>
      <c r="AW17" s="76"/>
      <c r="AX17" s="75"/>
      <c r="AY17" s="76"/>
      <c r="AZ17" s="77"/>
      <c r="BA17" s="59"/>
      <c r="BB17" s="75"/>
      <c r="BC17" s="76"/>
      <c r="BD17" s="75"/>
      <c r="BE17" s="76"/>
      <c r="BF17" s="75"/>
      <c r="BG17" s="76"/>
      <c r="BH17" s="75"/>
      <c r="BI17" s="76"/>
      <c r="BP17" s="34"/>
      <c r="BQ17" s="11"/>
      <c r="BR17" s="11"/>
      <c r="BS17" s="11"/>
      <c r="BT17" s="11"/>
      <c r="BU17" s="11"/>
      <c r="BV17" s="11"/>
      <c r="BW17" s="11"/>
      <c r="BX17" s="11"/>
      <c r="BY17" s="11"/>
      <c r="BZ17" s="11"/>
      <c r="CA17" s="11"/>
      <c r="CB17" s="11"/>
      <c r="CC17" s="11"/>
      <c r="CD17" s="11"/>
    </row>
    <row r="18" ht="12.0" customHeight="1">
      <c r="B18" s="54">
        <v>2.0</v>
      </c>
      <c r="C18" s="55"/>
      <c r="D18" s="56"/>
      <c r="E18" s="57"/>
      <c r="F18" s="56"/>
      <c r="G18" s="57"/>
      <c r="H18" s="56"/>
      <c r="I18" s="57"/>
      <c r="J18" s="56"/>
      <c r="K18" s="57"/>
      <c r="L18" s="58"/>
      <c r="M18" s="59"/>
      <c r="N18" s="56"/>
      <c r="O18" s="57"/>
      <c r="P18" s="56"/>
      <c r="Q18" s="57"/>
      <c r="R18" s="56"/>
      <c r="S18" s="57"/>
      <c r="T18" s="56"/>
      <c r="U18" s="57"/>
      <c r="V18" s="58"/>
      <c r="W18" s="59"/>
      <c r="X18" s="56"/>
      <c r="Y18" s="57"/>
      <c r="Z18" s="56"/>
      <c r="AA18" s="57"/>
      <c r="AB18" s="56"/>
      <c r="AC18" s="57"/>
      <c r="AD18" s="56"/>
      <c r="AE18" s="57"/>
      <c r="AF18" s="58"/>
      <c r="AG18" s="59"/>
      <c r="AH18" s="56"/>
      <c r="AI18" s="57"/>
      <c r="AJ18" s="56"/>
      <c r="AK18" s="57"/>
      <c r="AL18" s="56"/>
      <c r="AM18" s="57"/>
      <c r="AN18" s="56"/>
      <c r="AO18" s="57"/>
      <c r="AP18" s="58"/>
      <c r="AQ18" s="59"/>
      <c r="AR18" s="56"/>
      <c r="AS18" s="57"/>
      <c r="AT18" s="56"/>
      <c r="AU18" s="57"/>
      <c r="AV18" s="56"/>
      <c r="AW18" s="57"/>
      <c r="AX18" s="56"/>
      <c r="AY18" s="57"/>
      <c r="AZ18" s="58"/>
      <c r="BA18" s="59"/>
      <c r="BB18" s="56"/>
      <c r="BC18" s="57"/>
      <c r="BD18" s="56"/>
      <c r="BE18" s="57"/>
      <c r="BF18" s="56"/>
      <c r="BG18" s="57"/>
      <c r="BH18" s="56"/>
      <c r="BI18" s="57"/>
      <c r="BP18" s="34"/>
      <c r="BQ18" s="11"/>
      <c r="BR18" s="11"/>
      <c r="BS18" s="11"/>
      <c r="BT18" s="11"/>
      <c r="BU18" s="11"/>
      <c r="BV18" s="11"/>
      <c r="BW18" s="11"/>
      <c r="BX18" s="11"/>
      <c r="BY18" s="11"/>
      <c r="BZ18" s="11"/>
      <c r="CA18" s="11"/>
      <c r="CB18" s="11"/>
      <c r="CC18" s="11"/>
      <c r="CD18" s="11"/>
    </row>
    <row r="19" ht="12.0" customHeight="1">
      <c r="B19" s="73"/>
      <c r="C19" s="74"/>
      <c r="D19" s="75"/>
      <c r="E19" s="76"/>
      <c r="F19" s="75"/>
      <c r="G19" s="76"/>
      <c r="H19" s="75"/>
      <c r="I19" s="76"/>
      <c r="J19" s="75"/>
      <c r="K19" s="76"/>
      <c r="L19" s="77"/>
      <c r="M19" s="59"/>
      <c r="N19" s="75"/>
      <c r="O19" s="76"/>
      <c r="P19" s="75"/>
      <c r="Q19" s="76"/>
      <c r="R19" s="75"/>
      <c r="S19" s="76"/>
      <c r="T19" s="75"/>
      <c r="U19" s="76"/>
      <c r="V19" s="77"/>
      <c r="W19" s="59"/>
      <c r="X19" s="75"/>
      <c r="Y19" s="76"/>
      <c r="Z19" s="75"/>
      <c r="AA19" s="76"/>
      <c r="AB19" s="75"/>
      <c r="AC19" s="76"/>
      <c r="AD19" s="75"/>
      <c r="AE19" s="76"/>
      <c r="AF19" s="77"/>
      <c r="AG19" s="59"/>
      <c r="AH19" s="75"/>
      <c r="AI19" s="76"/>
      <c r="AJ19" s="75"/>
      <c r="AK19" s="76"/>
      <c r="AL19" s="75"/>
      <c r="AM19" s="76"/>
      <c r="AN19" s="75"/>
      <c r="AO19" s="76"/>
      <c r="AP19" s="77"/>
      <c r="AQ19" s="59"/>
      <c r="AR19" s="75"/>
      <c r="AS19" s="76"/>
      <c r="AT19" s="75"/>
      <c r="AU19" s="76"/>
      <c r="AV19" s="75"/>
      <c r="AW19" s="76"/>
      <c r="AX19" s="75"/>
      <c r="AY19" s="76"/>
      <c r="AZ19" s="77"/>
      <c r="BA19" s="59"/>
      <c r="BB19" s="75"/>
      <c r="BC19" s="76"/>
      <c r="BD19" s="75"/>
      <c r="BE19" s="76"/>
      <c r="BF19" s="75"/>
      <c r="BG19" s="76"/>
      <c r="BH19" s="75"/>
      <c r="BI19" s="76"/>
      <c r="BP19" s="34"/>
      <c r="BQ19" s="11"/>
      <c r="BR19" s="11"/>
      <c r="BS19" s="11"/>
      <c r="BT19" s="11"/>
      <c r="BU19" s="11"/>
      <c r="BV19" s="11"/>
      <c r="BW19" s="11"/>
      <c r="BX19" s="11"/>
      <c r="BY19" s="11"/>
      <c r="BZ19" s="11"/>
      <c r="CA19" s="11"/>
      <c r="CB19" s="11"/>
      <c r="CC19" s="11"/>
      <c r="CD19" s="11"/>
    </row>
    <row r="20" ht="12.0" customHeight="1">
      <c r="B20" s="54">
        <v>1.0</v>
      </c>
      <c r="C20" s="55"/>
      <c r="D20" s="56"/>
      <c r="E20" s="57"/>
      <c r="F20" s="56"/>
      <c r="G20" s="57"/>
      <c r="H20" s="56"/>
      <c r="I20" s="57"/>
      <c r="J20" s="56"/>
      <c r="K20" s="57"/>
      <c r="L20" s="58"/>
      <c r="M20" s="59"/>
      <c r="N20" s="56"/>
      <c r="O20" s="57"/>
      <c r="P20" s="56"/>
      <c r="Q20" s="57"/>
      <c r="R20" s="56"/>
      <c r="S20" s="57"/>
      <c r="T20" s="56"/>
      <c r="U20" s="57"/>
      <c r="V20" s="58"/>
      <c r="W20" s="59"/>
      <c r="X20" s="56"/>
      <c r="Y20" s="57"/>
      <c r="Z20" s="56"/>
      <c r="AA20" s="57"/>
      <c r="AB20" s="56"/>
      <c r="AC20" s="57"/>
      <c r="AD20" s="56"/>
      <c r="AE20" s="57"/>
      <c r="AF20" s="58"/>
      <c r="AG20" s="59"/>
      <c r="AH20" s="56"/>
      <c r="AI20" s="57"/>
      <c r="AJ20" s="56"/>
      <c r="AK20" s="57"/>
      <c r="AL20" s="56"/>
      <c r="AM20" s="57"/>
      <c r="AN20" s="56"/>
      <c r="AO20" s="57"/>
      <c r="AP20" s="58"/>
      <c r="AQ20" s="59"/>
      <c r="AR20" s="56"/>
      <c r="AS20" s="57"/>
      <c r="AT20" s="56"/>
      <c r="AU20" s="57"/>
      <c r="AV20" s="56"/>
      <c r="AW20" s="57"/>
      <c r="AX20" s="56"/>
      <c r="AY20" s="57"/>
      <c r="AZ20" s="58"/>
      <c r="BA20" s="59"/>
      <c r="BB20" s="56"/>
      <c r="BC20" s="57"/>
      <c r="BD20" s="56"/>
      <c r="BE20" s="57"/>
      <c r="BF20" s="56"/>
      <c r="BG20" s="57"/>
      <c r="BH20" s="56"/>
      <c r="BI20" s="57"/>
      <c r="BP20" s="34"/>
      <c r="BQ20" s="11"/>
      <c r="BR20" s="11"/>
      <c r="BS20" s="11"/>
      <c r="BT20" s="11"/>
      <c r="BU20" s="11"/>
      <c r="BV20" s="11"/>
      <c r="BW20" s="11"/>
      <c r="BX20" s="11"/>
      <c r="BY20" s="11"/>
      <c r="BZ20" s="11"/>
      <c r="CA20" s="11"/>
      <c r="CB20" s="11"/>
      <c r="CC20" s="11"/>
      <c r="CD20" s="11"/>
    </row>
    <row r="21" ht="12.0" customHeight="1">
      <c r="B21" s="73"/>
      <c r="C21" s="87"/>
      <c r="D21" s="88"/>
      <c r="E21" s="89"/>
      <c r="F21" s="88"/>
      <c r="G21" s="89"/>
      <c r="H21" s="88"/>
      <c r="I21" s="89"/>
      <c r="J21" s="88"/>
      <c r="K21" s="89"/>
      <c r="L21" s="88"/>
      <c r="M21" s="89"/>
      <c r="N21" s="88"/>
      <c r="O21" s="89"/>
      <c r="P21" s="88"/>
      <c r="Q21" s="89"/>
      <c r="R21" s="88"/>
      <c r="S21" s="89"/>
      <c r="T21" s="88"/>
      <c r="U21" s="89"/>
      <c r="V21" s="88"/>
      <c r="W21" s="89"/>
      <c r="X21" s="88"/>
      <c r="Y21" s="89"/>
      <c r="Z21" s="88"/>
      <c r="AA21" s="89"/>
      <c r="AB21" s="88"/>
      <c r="AC21" s="89"/>
      <c r="AD21" s="88"/>
      <c r="AE21" s="89"/>
      <c r="AF21" s="88"/>
      <c r="AG21" s="89"/>
      <c r="AH21" s="88"/>
      <c r="AI21" s="89"/>
      <c r="AJ21" s="88"/>
      <c r="AK21" s="89"/>
      <c r="AL21" s="88"/>
      <c r="AM21" s="89"/>
      <c r="AN21" s="88"/>
      <c r="AO21" s="89"/>
      <c r="AP21" s="88"/>
      <c r="AQ21" s="89"/>
      <c r="AR21" s="88"/>
      <c r="AS21" s="89"/>
      <c r="AT21" s="88"/>
      <c r="AU21" s="89"/>
      <c r="AV21" s="88"/>
      <c r="AW21" s="89"/>
      <c r="AX21" s="88"/>
      <c r="AY21" s="89"/>
      <c r="AZ21" s="88"/>
      <c r="BA21" s="89"/>
      <c r="BB21" s="88"/>
      <c r="BC21" s="89"/>
      <c r="BD21" s="88"/>
      <c r="BE21" s="89"/>
      <c r="BF21" s="88"/>
      <c r="BG21" s="89"/>
      <c r="BH21" s="88"/>
      <c r="BI21" s="89"/>
      <c r="BP21" s="34"/>
      <c r="BQ21" s="11"/>
      <c r="BR21" s="11"/>
      <c r="BS21" s="11"/>
      <c r="BT21" s="11"/>
      <c r="BU21" s="11"/>
      <c r="BV21" s="11"/>
      <c r="BW21" s="11"/>
      <c r="BX21" s="11"/>
      <c r="BY21" s="11"/>
      <c r="BZ21" s="11"/>
      <c r="CA21" s="11"/>
      <c r="CB21" s="11"/>
      <c r="CC21" s="11"/>
      <c r="CD21" s="11"/>
    </row>
    <row r="22" ht="12.0" customHeight="1">
      <c r="D22" s="90">
        <v>1.0</v>
      </c>
      <c r="E22" s="91"/>
      <c r="F22" s="90">
        <v>2.0</v>
      </c>
      <c r="G22" s="91"/>
      <c r="H22" s="90">
        <v>3.0</v>
      </c>
      <c r="I22" s="91"/>
      <c r="J22" s="90">
        <v>4.0</v>
      </c>
      <c r="K22" s="91"/>
      <c r="N22" s="90">
        <v>1.0</v>
      </c>
      <c r="O22" s="91"/>
      <c r="P22" s="90">
        <v>2.0</v>
      </c>
      <c r="Q22" s="91"/>
      <c r="R22" s="90">
        <v>3.0</v>
      </c>
      <c r="S22" s="91"/>
      <c r="T22" s="90">
        <v>4.0</v>
      </c>
      <c r="U22" s="91"/>
      <c r="X22" s="90">
        <v>1.0</v>
      </c>
      <c r="Y22" s="91"/>
      <c r="Z22" s="90">
        <v>2.0</v>
      </c>
      <c r="AA22" s="91"/>
      <c r="AB22" s="90">
        <v>3.0</v>
      </c>
      <c r="AC22" s="91"/>
      <c r="AD22" s="90">
        <v>4.0</v>
      </c>
      <c r="AE22" s="91"/>
      <c r="AH22" s="90">
        <v>1.0</v>
      </c>
      <c r="AI22" s="91"/>
      <c r="AJ22" s="90">
        <v>2.0</v>
      </c>
      <c r="AK22" s="91"/>
      <c r="AL22" s="90">
        <v>3.0</v>
      </c>
      <c r="AM22" s="91"/>
      <c r="AN22" s="90">
        <v>4.0</v>
      </c>
      <c r="AO22" s="91"/>
      <c r="AR22" s="90">
        <v>1.0</v>
      </c>
      <c r="AS22" s="91"/>
      <c r="AT22" s="90">
        <v>2.0</v>
      </c>
      <c r="AU22" s="91"/>
      <c r="AV22" s="90">
        <v>3.0</v>
      </c>
      <c r="AW22" s="91"/>
      <c r="AX22" s="90">
        <v>4.0</v>
      </c>
      <c r="AY22" s="91"/>
      <c r="BB22" s="90">
        <v>1.0</v>
      </c>
      <c r="BC22" s="91"/>
      <c r="BD22" s="90">
        <v>2.0</v>
      </c>
      <c r="BE22" s="91"/>
      <c r="BF22" s="90">
        <v>3.0</v>
      </c>
      <c r="BG22" s="91"/>
      <c r="BH22" s="90">
        <v>4.0</v>
      </c>
      <c r="BI22" s="91"/>
      <c r="BP22" s="34"/>
      <c r="BQ22" s="11"/>
      <c r="BR22" s="11"/>
      <c r="BS22" s="11"/>
      <c r="BT22" s="11"/>
      <c r="BU22" s="11"/>
      <c r="BV22" s="11"/>
      <c r="BW22" s="11"/>
      <c r="BX22" s="11"/>
      <c r="BY22" s="11"/>
      <c r="BZ22" s="11"/>
      <c r="CA22" s="11"/>
      <c r="CB22" s="11"/>
      <c r="CC22" s="11"/>
      <c r="CD22" s="11"/>
    </row>
    <row r="23" ht="12.0" customHeight="1">
      <c r="BP23" s="34"/>
      <c r="BQ23" s="11"/>
      <c r="BR23" s="11"/>
      <c r="BS23" s="11"/>
      <c r="BT23" s="11"/>
      <c r="BU23" s="11"/>
      <c r="BV23" s="11"/>
      <c r="BW23" s="11"/>
      <c r="BX23" s="11"/>
      <c r="BY23" s="11"/>
      <c r="BZ23" s="11"/>
      <c r="CA23" s="11"/>
      <c r="CB23" s="11"/>
      <c r="CC23" s="11"/>
      <c r="CD23" s="11"/>
    </row>
    <row r="24" ht="12.0" customHeight="1">
      <c r="BP24" s="34"/>
      <c r="BQ24" s="11"/>
      <c r="BR24" s="11"/>
      <c r="BS24" s="11"/>
      <c r="BT24" s="11"/>
      <c r="BU24" s="11"/>
      <c r="BV24" s="11"/>
      <c r="BW24" s="11"/>
      <c r="BX24" s="11"/>
      <c r="BY24" s="11"/>
      <c r="BZ24" s="11"/>
      <c r="CA24" s="11"/>
      <c r="CB24" s="11"/>
      <c r="CC24" s="11"/>
      <c r="CD24" s="11"/>
    </row>
    <row r="25" ht="12.0" customHeight="1">
      <c r="BP25" s="34"/>
      <c r="BQ25" s="11"/>
      <c r="BR25" s="11"/>
      <c r="BS25" s="11"/>
      <c r="BT25" s="11"/>
      <c r="BU25" s="11"/>
      <c r="BV25" s="11"/>
      <c r="BW25" s="11"/>
      <c r="BX25" s="11"/>
      <c r="BY25" s="11"/>
      <c r="BZ25" s="11"/>
      <c r="CA25" s="11"/>
      <c r="CB25" s="11"/>
      <c r="CC25" s="11"/>
      <c r="CD25" s="11"/>
    </row>
    <row r="26" ht="12.0" customHeight="1">
      <c r="BP26" s="34"/>
      <c r="BQ26" s="11"/>
      <c r="BR26" s="11"/>
      <c r="BS26" s="11"/>
      <c r="BT26" s="11"/>
      <c r="BU26" s="11"/>
      <c r="BV26" s="11"/>
      <c r="BW26" s="11"/>
      <c r="BX26" s="11"/>
      <c r="BY26" s="11"/>
      <c r="BZ26" s="11"/>
      <c r="CA26" s="11"/>
      <c r="CB26" s="11"/>
      <c r="CC26" s="11"/>
      <c r="CD26" s="11"/>
    </row>
    <row r="27" ht="12.0" customHeight="1">
      <c r="BP27" s="34"/>
      <c r="BQ27" s="11"/>
      <c r="BR27" s="11"/>
      <c r="BS27" s="11"/>
      <c r="BT27" s="11"/>
      <c r="BU27" s="11"/>
      <c r="BV27" s="11"/>
      <c r="BW27" s="11"/>
      <c r="BX27" s="11"/>
      <c r="BY27" s="11"/>
      <c r="BZ27" s="11"/>
      <c r="CA27" s="11"/>
      <c r="CB27" s="11"/>
      <c r="CC27" s="11"/>
      <c r="CD27" s="11"/>
    </row>
    <row r="28" ht="12.0" customHeight="1">
      <c r="D28" s="14">
        <f>SUM(D29:E36)</f>
        <v>0</v>
      </c>
      <c r="E28" s="14"/>
      <c r="F28" s="14">
        <f>SUM(F29:G36)/2</f>
        <v>0</v>
      </c>
      <c r="G28" s="14"/>
      <c r="H28" s="14">
        <f>SUM(H29:I36)/3</f>
        <v>0</v>
      </c>
      <c r="I28" s="14"/>
      <c r="J28" s="14">
        <f>SUM(J29:K36)/4</f>
        <v>0</v>
      </c>
      <c r="K28" s="14"/>
      <c r="L28" s="14">
        <f>IF(OR(J28&gt;0,$AO$9&gt;0),J28,IF(OR(H28&gt;0,$AO$8&gt;0),H28,IF(OR(F28&gt;0,$AO$7&gt;0),F28,IF(OR(D28&gt;0,$AO$6&gt;0),D28,0))))</f>
        <v>0</v>
      </c>
      <c r="M28" s="14"/>
      <c r="N28" s="14">
        <f>SUM(N29:O36)</f>
        <v>0</v>
      </c>
      <c r="O28" s="14"/>
      <c r="P28" s="14">
        <f>SUM(P29:Q36)/2</f>
        <v>0</v>
      </c>
      <c r="Q28" s="14"/>
      <c r="R28" s="14">
        <f>SUM(R29:S36)/3</f>
        <v>0</v>
      </c>
      <c r="S28" s="14"/>
      <c r="T28" s="14">
        <f>SUM(T29:U36)/4</f>
        <v>0</v>
      </c>
      <c r="U28" s="14"/>
      <c r="V28" s="14">
        <f>IF(OR(T28&gt;0,$AO$9&gt;0),T28,IF(OR(R28&gt;0,$AO$8&gt;0),R28,IF(OR(P28&gt;0,$AO$7&gt;0),P28,IF(OR(N28&gt;0,$AO$6&gt;0),N28,0))))</f>
        <v>0</v>
      </c>
      <c r="W28" s="14"/>
      <c r="X28" s="14">
        <f>SUM(X29:Y36)</f>
        <v>0</v>
      </c>
      <c r="Y28" s="14"/>
      <c r="Z28" s="14">
        <f>SUM(Z29:AA36)/2</f>
        <v>0</v>
      </c>
      <c r="AA28" s="14"/>
      <c r="AB28" s="14">
        <f>SUM(AB29:AC36)/3</f>
        <v>0</v>
      </c>
      <c r="AC28" s="14"/>
      <c r="AD28" s="14">
        <f>SUM(AD29:AE36)/4</f>
        <v>0</v>
      </c>
      <c r="AE28" s="14"/>
      <c r="AF28" s="14">
        <f>IF(OR(AD28&gt;0,$AO$9&gt;0),AD28,IF(OR(AB28&gt;0,$AO$8&gt;0),AB28,IF(OR(Z28&gt;0,$AO$7&gt;0),Z28,IF(OR(X28&gt;0,$AO$6&gt;0),X28,0))))</f>
        <v>0</v>
      </c>
      <c r="AG28" s="14"/>
      <c r="AH28" s="14">
        <f>SUM(AH29:AI36)</f>
        <v>0</v>
      </c>
      <c r="AI28" s="14"/>
      <c r="AJ28" s="14">
        <f>SUM(AJ29:AK36)/2</f>
        <v>0</v>
      </c>
      <c r="AK28" s="14"/>
      <c r="AL28" s="14">
        <f>SUM(AL29:AM36)/3</f>
        <v>0</v>
      </c>
      <c r="AM28" s="14"/>
      <c r="AN28" s="14">
        <f>SUM(AN29:AO36)/4</f>
        <v>0</v>
      </c>
      <c r="AO28" s="14"/>
      <c r="AP28" s="14">
        <f>IF(OR(AN28&gt;0,$AO$9&gt;0),AN28,IF(OR(AL28&gt;0,$AO$8&gt;0),AL28,IF(OR(AJ28&gt;0,$AO$7&gt;0),AJ28,IF(OR(AH28&gt;0,$AO$6&gt;0),AH28,0))))</f>
        <v>0</v>
      </c>
      <c r="AQ28" s="14"/>
      <c r="AR28" s="14">
        <f>SUM(AR29:AS36)</f>
        <v>0</v>
      </c>
      <c r="AS28" s="14"/>
      <c r="AT28" s="14">
        <f>SUM(AT29:AU36)/2</f>
        <v>0</v>
      </c>
      <c r="AU28" s="14"/>
      <c r="AV28" s="14">
        <f>SUM(AV29:AW36)/3</f>
        <v>0</v>
      </c>
      <c r="AW28" s="14"/>
      <c r="AX28" s="14">
        <f>SUM(AX29:AY36)/4</f>
        <v>0</v>
      </c>
      <c r="AY28" s="14"/>
      <c r="AZ28" s="14">
        <f>IF(OR(AX28&gt;0,$AO$9&gt;0),AX28,IF(OR(AV28&gt;0,$AO$8&gt;0),AV28,IF(OR(AT28&gt;0,$AO$7&gt;0),AT28,IF(OR(AR28&gt;0,$AO$6&gt;0),AR28,0))))</f>
        <v>0</v>
      </c>
      <c r="BA28" s="14"/>
      <c r="BB28" s="14">
        <f>SUM(BB29:BC36)</f>
        <v>0</v>
      </c>
      <c r="BC28" s="14"/>
      <c r="BD28" s="14">
        <f>SUM(BD29:BE36)/2</f>
        <v>0</v>
      </c>
      <c r="BE28" s="14"/>
      <c r="BF28" s="14">
        <f>SUM(BF29:BG36)/3</f>
        <v>0</v>
      </c>
      <c r="BG28" s="14"/>
      <c r="BH28" s="14">
        <f>SUM(BH29:BI36)/4</f>
        <v>0</v>
      </c>
      <c r="BI28" s="14"/>
      <c r="BJ28" s="14">
        <f>IF(OR(BH28&gt;0,$AO$9&gt;0),BH28,IF(OR(BF28&gt;0,$AO$8&gt;0),BF28,IF(OR(BD28&gt;0,$AO$7&gt;0),BD28,IF(OR(BB28&gt;0,$AO$6&gt;0),BB28,0))))</f>
        <v>0</v>
      </c>
      <c r="BP28" s="34"/>
      <c r="BQ28" s="11"/>
      <c r="BR28" s="11"/>
      <c r="BS28" s="11"/>
      <c r="BT28" s="11"/>
      <c r="BU28" s="11"/>
      <c r="BV28" s="11"/>
      <c r="BW28" s="11"/>
      <c r="BX28" s="11"/>
      <c r="BY28" s="11"/>
      <c r="BZ28" s="11"/>
      <c r="CA28" s="11"/>
      <c r="CB28" s="11"/>
      <c r="CC28" s="11"/>
      <c r="CD28" s="11"/>
    </row>
    <row r="29" ht="12.0" customHeight="1">
      <c r="B29" s="54">
        <v>4.0</v>
      </c>
      <c r="C29" s="55"/>
      <c r="D29" s="56"/>
      <c r="E29" s="57"/>
      <c r="F29" s="56"/>
      <c r="G29" s="57"/>
      <c r="H29" s="56"/>
      <c r="I29" s="57"/>
      <c r="J29" s="56"/>
      <c r="K29" s="57"/>
      <c r="L29" s="58"/>
      <c r="M29" s="59"/>
      <c r="N29" s="56"/>
      <c r="O29" s="57"/>
      <c r="P29" s="56"/>
      <c r="Q29" s="57"/>
      <c r="R29" s="56"/>
      <c r="S29" s="57"/>
      <c r="T29" s="56"/>
      <c r="U29" s="57"/>
      <c r="V29" s="58"/>
      <c r="W29" s="59"/>
      <c r="X29" s="56"/>
      <c r="Y29" s="57"/>
      <c r="Z29" s="56"/>
      <c r="AA29" s="57"/>
      <c r="AB29" s="56"/>
      <c r="AC29" s="57"/>
      <c r="AD29" s="56"/>
      <c r="AE29" s="57"/>
      <c r="AF29" s="58"/>
      <c r="AG29" s="59"/>
      <c r="AH29" s="56"/>
      <c r="AI29" s="57"/>
      <c r="AJ29" s="56"/>
      <c r="AK29" s="57"/>
      <c r="AL29" s="56"/>
      <c r="AM29" s="57"/>
      <c r="AN29" s="56"/>
      <c r="AO29" s="57"/>
      <c r="AP29" s="58"/>
      <c r="AQ29" s="59"/>
      <c r="AR29" s="56"/>
      <c r="AS29" s="57"/>
      <c r="AT29" s="56"/>
      <c r="AU29" s="57"/>
      <c r="AV29" s="56"/>
      <c r="AW29" s="57"/>
      <c r="AX29" s="56"/>
      <c r="AY29" s="57"/>
      <c r="AZ29" s="58"/>
      <c r="BA29" s="59"/>
      <c r="BB29" s="56"/>
      <c r="BC29" s="57"/>
      <c r="BD29" s="56"/>
      <c r="BE29" s="57"/>
      <c r="BF29" s="56"/>
      <c r="BG29" s="57"/>
      <c r="BH29" s="56"/>
      <c r="BI29" s="57"/>
      <c r="BP29" s="34"/>
      <c r="BQ29" s="11"/>
      <c r="BR29" s="11"/>
      <c r="BS29" s="11"/>
      <c r="BT29" s="11"/>
      <c r="BU29" s="11"/>
      <c r="BV29" s="11"/>
      <c r="BW29" s="11"/>
      <c r="BX29" s="11"/>
      <c r="BY29" s="11"/>
      <c r="BZ29" s="11"/>
      <c r="CA29" s="11"/>
      <c r="CB29" s="11"/>
      <c r="CC29" s="11"/>
      <c r="CD29" s="11"/>
    </row>
    <row r="30" ht="12.0" customHeight="1">
      <c r="B30" s="73"/>
      <c r="C30" s="74"/>
      <c r="D30" s="75"/>
      <c r="E30" s="76"/>
      <c r="F30" s="75"/>
      <c r="G30" s="76"/>
      <c r="H30" s="75"/>
      <c r="I30" s="76"/>
      <c r="J30" s="75"/>
      <c r="K30" s="76"/>
      <c r="L30" s="77"/>
      <c r="M30" s="59"/>
      <c r="N30" s="75"/>
      <c r="O30" s="76"/>
      <c r="P30" s="75"/>
      <c r="Q30" s="76"/>
      <c r="R30" s="75"/>
      <c r="S30" s="76"/>
      <c r="T30" s="75"/>
      <c r="U30" s="76"/>
      <c r="V30" s="77"/>
      <c r="W30" s="59"/>
      <c r="X30" s="75"/>
      <c r="Y30" s="76"/>
      <c r="Z30" s="75"/>
      <c r="AA30" s="76"/>
      <c r="AB30" s="75"/>
      <c r="AC30" s="76"/>
      <c r="AD30" s="75"/>
      <c r="AE30" s="76"/>
      <c r="AF30" s="77"/>
      <c r="AG30" s="59"/>
      <c r="AH30" s="75"/>
      <c r="AI30" s="76"/>
      <c r="AJ30" s="75"/>
      <c r="AK30" s="76"/>
      <c r="AL30" s="75"/>
      <c r="AM30" s="76"/>
      <c r="AN30" s="75"/>
      <c r="AO30" s="76"/>
      <c r="AP30" s="77"/>
      <c r="AQ30" s="59"/>
      <c r="AR30" s="75"/>
      <c r="AS30" s="76"/>
      <c r="AT30" s="75"/>
      <c r="AU30" s="76"/>
      <c r="AV30" s="75"/>
      <c r="AW30" s="76"/>
      <c r="AX30" s="75"/>
      <c r="AY30" s="76"/>
      <c r="AZ30" s="77"/>
      <c r="BA30" s="59"/>
      <c r="BB30" s="75"/>
      <c r="BC30" s="76"/>
      <c r="BD30" s="75"/>
      <c r="BE30" s="76"/>
      <c r="BF30" s="75"/>
      <c r="BG30" s="76"/>
      <c r="BH30" s="75"/>
      <c r="BI30" s="76"/>
      <c r="BP30" s="34"/>
      <c r="BQ30" s="11"/>
      <c r="BR30" s="11"/>
      <c r="BS30" s="11"/>
      <c r="BT30" s="11"/>
      <c r="BU30" s="11"/>
      <c r="BV30" s="11"/>
      <c r="BW30" s="11"/>
      <c r="BX30" s="11"/>
      <c r="BY30" s="11"/>
      <c r="BZ30" s="11"/>
      <c r="CA30" s="11"/>
      <c r="CB30" s="11"/>
      <c r="CC30" s="11"/>
      <c r="CD30" s="11"/>
    </row>
    <row r="31" ht="12.0" customHeight="1">
      <c r="B31" s="54">
        <v>3.0</v>
      </c>
      <c r="C31" s="55"/>
      <c r="D31" s="56"/>
      <c r="E31" s="57"/>
      <c r="F31" s="56"/>
      <c r="G31" s="57"/>
      <c r="H31" s="56"/>
      <c r="I31" s="57"/>
      <c r="J31" s="56"/>
      <c r="K31" s="57"/>
      <c r="L31" s="58"/>
      <c r="M31" s="59"/>
      <c r="N31" s="56"/>
      <c r="O31" s="57"/>
      <c r="P31" s="56"/>
      <c r="Q31" s="57"/>
      <c r="R31" s="56"/>
      <c r="S31" s="57"/>
      <c r="T31" s="56"/>
      <c r="U31" s="57"/>
      <c r="V31" s="58"/>
      <c r="W31" s="59"/>
      <c r="X31" s="56"/>
      <c r="Y31" s="57"/>
      <c r="Z31" s="56"/>
      <c r="AA31" s="57"/>
      <c r="AB31" s="56"/>
      <c r="AC31" s="57"/>
      <c r="AD31" s="56"/>
      <c r="AE31" s="57"/>
      <c r="AF31" s="58"/>
      <c r="AG31" s="59"/>
      <c r="AH31" s="56"/>
      <c r="AI31" s="57"/>
      <c r="AJ31" s="56"/>
      <c r="AK31" s="57"/>
      <c r="AL31" s="56"/>
      <c r="AM31" s="57"/>
      <c r="AN31" s="56"/>
      <c r="AO31" s="57"/>
      <c r="AP31" s="58"/>
      <c r="AQ31" s="59"/>
      <c r="AR31" s="56"/>
      <c r="AS31" s="57"/>
      <c r="AT31" s="56"/>
      <c r="AU31" s="57"/>
      <c r="AV31" s="56"/>
      <c r="AW31" s="57"/>
      <c r="AX31" s="56"/>
      <c r="AY31" s="57"/>
      <c r="AZ31" s="58"/>
      <c r="BA31" s="59"/>
      <c r="BB31" s="56"/>
      <c r="BC31" s="57"/>
      <c r="BD31" s="56"/>
      <c r="BE31" s="57"/>
      <c r="BF31" s="56"/>
      <c r="BG31" s="57"/>
      <c r="BH31" s="56"/>
      <c r="BI31" s="57"/>
      <c r="BP31" s="34"/>
      <c r="BQ31" s="11"/>
      <c r="BR31" s="11"/>
      <c r="BS31" s="11"/>
      <c r="BT31" s="11"/>
      <c r="BU31" s="11"/>
      <c r="BV31" s="11"/>
      <c r="BW31" s="11"/>
      <c r="BX31" s="11"/>
      <c r="BY31" s="11"/>
      <c r="BZ31" s="11"/>
      <c r="CA31" s="11"/>
      <c r="CB31" s="11"/>
      <c r="CC31" s="11"/>
      <c r="CD31" s="11"/>
    </row>
    <row r="32" ht="12.0" customHeight="1">
      <c r="B32" s="73"/>
      <c r="C32" s="74"/>
      <c r="D32" s="75"/>
      <c r="E32" s="76"/>
      <c r="F32" s="75"/>
      <c r="G32" s="76"/>
      <c r="H32" s="75"/>
      <c r="I32" s="76"/>
      <c r="J32" s="75"/>
      <c r="K32" s="76"/>
      <c r="L32" s="77"/>
      <c r="M32" s="59"/>
      <c r="N32" s="75"/>
      <c r="O32" s="76"/>
      <c r="P32" s="75"/>
      <c r="Q32" s="76"/>
      <c r="R32" s="75"/>
      <c r="S32" s="76"/>
      <c r="T32" s="75"/>
      <c r="U32" s="76"/>
      <c r="V32" s="77"/>
      <c r="W32" s="59"/>
      <c r="X32" s="75"/>
      <c r="Y32" s="76"/>
      <c r="Z32" s="75"/>
      <c r="AA32" s="76"/>
      <c r="AB32" s="75"/>
      <c r="AC32" s="76"/>
      <c r="AD32" s="75"/>
      <c r="AE32" s="76"/>
      <c r="AF32" s="77"/>
      <c r="AG32" s="59"/>
      <c r="AH32" s="75"/>
      <c r="AI32" s="76"/>
      <c r="AJ32" s="75"/>
      <c r="AK32" s="76"/>
      <c r="AL32" s="75"/>
      <c r="AM32" s="76"/>
      <c r="AN32" s="75"/>
      <c r="AO32" s="76"/>
      <c r="AP32" s="77"/>
      <c r="AQ32" s="59"/>
      <c r="AR32" s="75"/>
      <c r="AS32" s="76"/>
      <c r="AT32" s="75"/>
      <c r="AU32" s="76"/>
      <c r="AV32" s="75"/>
      <c r="AW32" s="76"/>
      <c r="AX32" s="75"/>
      <c r="AY32" s="76"/>
      <c r="AZ32" s="77"/>
      <c r="BA32" s="59"/>
      <c r="BB32" s="75"/>
      <c r="BC32" s="76"/>
      <c r="BD32" s="75"/>
      <c r="BE32" s="76"/>
      <c r="BF32" s="75"/>
      <c r="BG32" s="76"/>
      <c r="BH32" s="75"/>
      <c r="BI32" s="76"/>
      <c r="BP32" s="34"/>
      <c r="BQ32" s="11"/>
      <c r="BR32" s="11"/>
      <c r="BS32" s="11"/>
      <c r="BT32" s="11"/>
      <c r="BU32" s="11"/>
      <c r="BV32" s="11"/>
      <c r="BW32" s="11"/>
      <c r="BX32" s="11"/>
      <c r="BY32" s="11"/>
      <c r="BZ32" s="11"/>
      <c r="CA32" s="11"/>
      <c r="CB32" s="11"/>
      <c r="CC32" s="11"/>
      <c r="CD32" s="11"/>
    </row>
    <row r="33" ht="12.0" customHeight="1">
      <c r="B33" s="54">
        <v>2.0</v>
      </c>
      <c r="C33" s="55"/>
      <c r="D33" s="56"/>
      <c r="E33" s="57"/>
      <c r="F33" s="56"/>
      <c r="G33" s="57"/>
      <c r="H33" s="56"/>
      <c r="I33" s="57"/>
      <c r="J33" s="56"/>
      <c r="K33" s="57"/>
      <c r="L33" s="58"/>
      <c r="M33" s="59"/>
      <c r="N33" s="56"/>
      <c r="O33" s="57"/>
      <c r="P33" s="56"/>
      <c r="Q33" s="57"/>
      <c r="R33" s="56"/>
      <c r="S33" s="57"/>
      <c r="T33" s="56"/>
      <c r="U33" s="57"/>
      <c r="V33" s="58"/>
      <c r="W33" s="59"/>
      <c r="X33" s="56"/>
      <c r="Y33" s="57"/>
      <c r="Z33" s="56"/>
      <c r="AA33" s="57"/>
      <c r="AB33" s="56"/>
      <c r="AC33" s="57"/>
      <c r="AD33" s="56"/>
      <c r="AE33" s="57"/>
      <c r="AF33" s="58"/>
      <c r="AG33" s="59"/>
      <c r="AH33" s="56"/>
      <c r="AI33" s="57"/>
      <c r="AJ33" s="56"/>
      <c r="AK33" s="57"/>
      <c r="AL33" s="56"/>
      <c r="AM33" s="57"/>
      <c r="AN33" s="56"/>
      <c r="AO33" s="57"/>
      <c r="AP33" s="58"/>
      <c r="AQ33" s="59"/>
      <c r="AR33" s="56"/>
      <c r="AS33" s="57"/>
      <c r="AT33" s="56"/>
      <c r="AU33" s="57"/>
      <c r="AV33" s="56"/>
      <c r="AW33" s="57"/>
      <c r="AX33" s="56"/>
      <c r="AY33" s="57"/>
      <c r="AZ33" s="58"/>
      <c r="BA33" s="59"/>
      <c r="BB33" s="56"/>
      <c r="BC33" s="57"/>
      <c r="BD33" s="56"/>
      <c r="BE33" s="57"/>
      <c r="BF33" s="56"/>
      <c r="BG33" s="57"/>
      <c r="BH33" s="56"/>
      <c r="BI33" s="57"/>
      <c r="BP33" s="34"/>
      <c r="BQ33" s="11"/>
      <c r="BR33" s="11"/>
      <c r="BS33" s="11"/>
      <c r="BT33" s="11"/>
      <c r="BU33" s="11"/>
      <c r="BV33" s="11"/>
      <c r="BW33" s="11"/>
      <c r="BX33" s="11"/>
      <c r="BY33" s="11"/>
      <c r="BZ33" s="11"/>
      <c r="CA33" s="11"/>
      <c r="CB33" s="11"/>
      <c r="CC33" s="11"/>
      <c r="CD33" s="11"/>
    </row>
    <row r="34" ht="12.0" customHeight="1">
      <c r="B34" s="73"/>
      <c r="C34" s="74"/>
      <c r="D34" s="75"/>
      <c r="E34" s="76"/>
      <c r="F34" s="75"/>
      <c r="G34" s="76"/>
      <c r="H34" s="75"/>
      <c r="I34" s="76"/>
      <c r="J34" s="75"/>
      <c r="K34" s="76"/>
      <c r="L34" s="77"/>
      <c r="M34" s="59"/>
      <c r="N34" s="75"/>
      <c r="O34" s="76"/>
      <c r="P34" s="75"/>
      <c r="Q34" s="76"/>
      <c r="R34" s="75"/>
      <c r="S34" s="76"/>
      <c r="T34" s="75"/>
      <c r="U34" s="76"/>
      <c r="V34" s="77"/>
      <c r="W34" s="59"/>
      <c r="X34" s="75"/>
      <c r="Y34" s="76"/>
      <c r="Z34" s="75"/>
      <c r="AA34" s="76"/>
      <c r="AB34" s="75"/>
      <c r="AC34" s="76"/>
      <c r="AD34" s="75"/>
      <c r="AE34" s="76"/>
      <c r="AF34" s="77"/>
      <c r="AG34" s="59"/>
      <c r="AH34" s="75"/>
      <c r="AI34" s="76"/>
      <c r="AJ34" s="75"/>
      <c r="AK34" s="76"/>
      <c r="AL34" s="75"/>
      <c r="AM34" s="76"/>
      <c r="AN34" s="75"/>
      <c r="AO34" s="76"/>
      <c r="AP34" s="77"/>
      <c r="AQ34" s="59"/>
      <c r="AR34" s="75"/>
      <c r="AS34" s="76"/>
      <c r="AT34" s="75"/>
      <c r="AU34" s="76"/>
      <c r="AV34" s="75"/>
      <c r="AW34" s="76"/>
      <c r="AX34" s="75"/>
      <c r="AY34" s="76"/>
      <c r="AZ34" s="77"/>
      <c r="BA34" s="59"/>
      <c r="BB34" s="75"/>
      <c r="BC34" s="76"/>
      <c r="BD34" s="75"/>
      <c r="BE34" s="76"/>
      <c r="BF34" s="75"/>
      <c r="BG34" s="76"/>
      <c r="BH34" s="75"/>
      <c r="BI34" s="76"/>
      <c r="BP34" s="34"/>
      <c r="BQ34" s="11"/>
      <c r="BR34" s="11"/>
      <c r="BS34" s="11"/>
      <c r="BT34" s="11"/>
      <c r="BU34" s="11"/>
      <c r="BV34" s="11"/>
      <c r="BW34" s="11"/>
      <c r="BX34" s="11"/>
      <c r="BY34" s="11"/>
      <c r="BZ34" s="11"/>
      <c r="CA34" s="11"/>
      <c r="CB34" s="11"/>
      <c r="CC34" s="11"/>
      <c r="CD34" s="11"/>
    </row>
    <row r="35" ht="12.0" customHeight="1">
      <c r="B35" s="54">
        <v>1.0</v>
      </c>
      <c r="C35" s="55"/>
      <c r="D35" s="56"/>
      <c r="E35" s="57"/>
      <c r="F35" s="56"/>
      <c r="G35" s="57"/>
      <c r="H35" s="56"/>
      <c r="I35" s="57"/>
      <c r="J35" s="56"/>
      <c r="K35" s="57"/>
      <c r="L35" s="58"/>
      <c r="M35" s="59"/>
      <c r="N35" s="56"/>
      <c r="O35" s="57"/>
      <c r="P35" s="56"/>
      <c r="Q35" s="57"/>
      <c r="R35" s="56"/>
      <c r="S35" s="57"/>
      <c r="T35" s="56"/>
      <c r="U35" s="57"/>
      <c r="V35" s="58"/>
      <c r="W35" s="59"/>
      <c r="X35" s="56"/>
      <c r="Y35" s="57"/>
      <c r="Z35" s="56"/>
      <c r="AA35" s="57"/>
      <c r="AB35" s="56"/>
      <c r="AC35" s="57"/>
      <c r="AD35" s="56"/>
      <c r="AE35" s="57"/>
      <c r="AF35" s="58"/>
      <c r="AG35" s="59"/>
      <c r="AH35" s="56"/>
      <c r="AI35" s="57"/>
      <c r="AJ35" s="56"/>
      <c r="AK35" s="57"/>
      <c r="AL35" s="56"/>
      <c r="AM35" s="57"/>
      <c r="AN35" s="56"/>
      <c r="AO35" s="57"/>
      <c r="AP35" s="58"/>
      <c r="AQ35" s="59"/>
      <c r="AR35" s="56"/>
      <c r="AS35" s="57"/>
      <c r="AT35" s="56"/>
      <c r="AU35" s="57"/>
      <c r="AV35" s="56"/>
      <c r="AW35" s="57"/>
      <c r="AX35" s="56"/>
      <c r="AY35" s="57"/>
      <c r="AZ35" s="58"/>
      <c r="BA35" s="59"/>
      <c r="BB35" s="56"/>
      <c r="BC35" s="57"/>
      <c r="BD35" s="56"/>
      <c r="BE35" s="57"/>
      <c r="BF35" s="56"/>
      <c r="BG35" s="57"/>
      <c r="BH35" s="56"/>
      <c r="BI35" s="57"/>
      <c r="BP35" s="34"/>
      <c r="BQ35" s="11"/>
      <c r="BR35" s="11"/>
      <c r="BS35" s="11"/>
      <c r="BT35" s="11"/>
      <c r="BU35" s="11"/>
      <c r="BV35" s="11"/>
      <c r="BW35" s="11"/>
      <c r="BX35" s="11"/>
      <c r="BY35" s="11"/>
      <c r="BZ35" s="11"/>
      <c r="CA35" s="11"/>
      <c r="CB35" s="11"/>
      <c r="CC35" s="11"/>
      <c r="CD35" s="11"/>
    </row>
    <row r="36" ht="12.0" customHeight="1">
      <c r="B36" s="73"/>
      <c r="C36" s="87"/>
      <c r="D36" s="88"/>
      <c r="E36" s="89"/>
      <c r="F36" s="88"/>
      <c r="G36" s="89"/>
      <c r="H36" s="88"/>
      <c r="I36" s="89"/>
      <c r="J36" s="88"/>
      <c r="K36" s="89"/>
      <c r="L36" s="88"/>
      <c r="M36" s="89"/>
      <c r="N36" s="88"/>
      <c r="O36" s="89"/>
      <c r="P36" s="88"/>
      <c r="Q36" s="89"/>
      <c r="R36" s="88"/>
      <c r="S36" s="89"/>
      <c r="T36" s="88"/>
      <c r="U36" s="89"/>
      <c r="V36" s="88"/>
      <c r="W36" s="89"/>
      <c r="X36" s="88"/>
      <c r="Y36" s="89"/>
      <c r="Z36" s="88"/>
      <c r="AA36" s="89"/>
      <c r="AB36" s="88"/>
      <c r="AC36" s="89"/>
      <c r="AD36" s="88"/>
      <c r="AE36" s="89"/>
      <c r="AF36" s="88"/>
      <c r="AG36" s="89"/>
      <c r="AH36" s="88"/>
      <c r="AI36" s="89"/>
      <c r="AJ36" s="88"/>
      <c r="AK36" s="89"/>
      <c r="AL36" s="88"/>
      <c r="AM36" s="89"/>
      <c r="AN36" s="88"/>
      <c r="AO36" s="89"/>
      <c r="AP36" s="88"/>
      <c r="AQ36" s="89"/>
      <c r="AR36" s="88"/>
      <c r="AS36" s="89"/>
      <c r="AT36" s="88"/>
      <c r="AU36" s="89"/>
      <c r="AV36" s="88"/>
      <c r="AW36" s="89"/>
      <c r="AX36" s="88"/>
      <c r="AY36" s="89"/>
      <c r="AZ36" s="88"/>
      <c r="BA36" s="89"/>
      <c r="BB36" s="88"/>
      <c r="BC36" s="89"/>
      <c r="BD36" s="88"/>
      <c r="BE36" s="89"/>
      <c r="BF36" s="88"/>
      <c r="BG36" s="89"/>
      <c r="BH36" s="88"/>
      <c r="BI36" s="89"/>
      <c r="BP36" s="34"/>
      <c r="BQ36" s="11"/>
      <c r="BR36" s="11"/>
      <c r="BS36" s="11"/>
      <c r="BT36" s="11"/>
      <c r="BU36" s="11"/>
      <c r="BV36" s="11"/>
      <c r="BW36" s="11"/>
      <c r="BX36" s="11"/>
      <c r="BY36" s="11"/>
      <c r="BZ36" s="11"/>
      <c r="CA36" s="11"/>
      <c r="CB36" s="11"/>
      <c r="CC36" s="11"/>
      <c r="CD36" s="11"/>
    </row>
    <row r="37" ht="12.0" customHeight="1">
      <c r="D37" s="90">
        <v>1.0</v>
      </c>
      <c r="E37" s="91"/>
      <c r="F37" s="90">
        <v>2.0</v>
      </c>
      <c r="G37" s="91"/>
      <c r="H37" s="90">
        <v>3.0</v>
      </c>
      <c r="I37" s="91"/>
      <c r="J37" s="90">
        <v>4.0</v>
      </c>
      <c r="K37" s="91"/>
      <c r="N37" s="90">
        <v>1.0</v>
      </c>
      <c r="O37" s="91"/>
      <c r="P37" s="90">
        <v>2.0</v>
      </c>
      <c r="Q37" s="91"/>
      <c r="R37" s="90">
        <v>3.0</v>
      </c>
      <c r="S37" s="91"/>
      <c r="T37" s="90">
        <v>4.0</v>
      </c>
      <c r="U37" s="91"/>
      <c r="X37" s="90">
        <v>1.0</v>
      </c>
      <c r="Y37" s="91"/>
      <c r="Z37" s="90">
        <v>2.0</v>
      </c>
      <c r="AA37" s="91"/>
      <c r="AB37" s="90">
        <v>3.0</v>
      </c>
      <c r="AC37" s="91"/>
      <c r="AD37" s="90">
        <v>4.0</v>
      </c>
      <c r="AE37" s="91"/>
      <c r="AH37" s="90">
        <v>1.0</v>
      </c>
      <c r="AI37" s="91"/>
      <c r="AJ37" s="90">
        <v>2.0</v>
      </c>
      <c r="AK37" s="91"/>
      <c r="AL37" s="90">
        <v>3.0</v>
      </c>
      <c r="AM37" s="91"/>
      <c r="AN37" s="90">
        <v>4.0</v>
      </c>
      <c r="AO37" s="91"/>
      <c r="AR37" s="90">
        <v>1.0</v>
      </c>
      <c r="AS37" s="91"/>
      <c r="AT37" s="90">
        <v>2.0</v>
      </c>
      <c r="AU37" s="91"/>
      <c r="AV37" s="90">
        <v>3.0</v>
      </c>
      <c r="AW37" s="91"/>
      <c r="AX37" s="90">
        <v>4.0</v>
      </c>
      <c r="AY37" s="91"/>
      <c r="BB37" s="90">
        <v>1.0</v>
      </c>
      <c r="BC37" s="91"/>
      <c r="BD37" s="90">
        <v>2.0</v>
      </c>
      <c r="BE37" s="91"/>
      <c r="BF37" s="90">
        <v>3.0</v>
      </c>
      <c r="BG37" s="91"/>
      <c r="BH37" s="90">
        <v>4.0</v>
      </c>
      <c r="BI37" s="91"/>
      <c r="BP37" s="34"/>
      <c r="BQ37" s="11"/>
      <c r="BR37" s="11"/>
      <c r="BS37" s="11"/>
      <c r="BT37" s="11"/>
      <c r="BU37" s="11"/>
      <c r="BV37" s="11"/>
      <c r="BW37" s="11"/>
      <c r="BX37" s="11"/>
      <c r="BY37" s="11"/>
      <c r="BZ37" s="11"/>
      <c r="CA37" s="11"/>
      <c r="CB37" s="11"/>
      <c r="CC37" s="11"/>
      <c r="CD37" s="11"/>
    </row>
    <row r="38" ht="12.0" customHeight="1">
      <c r="BP38" s="34"/>
      <c r="BQ38" s="11"/>
      <c r="BR38" s="11"/>
      <c r="BS38" s="11"/>
      <c r="BT38" s="11"/>
      <c r="BU38" s="11"/>
      <c r="BV38" s="11"/>
      <c r="BW38" s="11"/>
      <c r="BX38" s="11"/>
      <c r="BY38" s="11"/>
      <c r="BZ38" s="11"/>
      <c r="CA38" s="11"/>
      <c r="CB38" s="11"/>
      <c r="CC38" s="11"/>
      <c r="CD38" s="11"/>
    </row>
    <row r="39" ht="12.0" customHeight="1">
      <c r="BP39" s="34"/>
      <c r="BQ39" s="11"/>
      <c r="BR39" s="11"/>
      <c r="BS39" s="11"/>
      <c r="BT39" s="11"/>
      <c r="BU39" s="11"/>
      <c r="BV39" s="11"/>
      <c r="BW39" s="11"/>
      <c r="BX39" s="11"/>
      <c r="BY39" s="11"/>
      <c r="BZ39" s="11"/>
      <c r="CA39" s="11"/>
      <c r="CB39" s="11"/>
      <c r="CC39" s="11"/>
      <c r="CD39" s="11"/>
    </row>
    <row r="40" ht="12.0" customHeight="1">
      <c r="BP40" s="34"/>
      <c r="BQ40" s="11"/>
      <c r="BR40" s="11"/>
      <c r="BS40" s="11"/>
      <c r="BT40" s="11"/>
      <c r="BU40" s="11"/>
      <c r="BV40" s="11"/>
      <c r="BW40" s="11"/>
      <c r="BX40" s="11"/>
      <c r="BY40" s="11"/>
      <c r="BZ40" s="11"/>
      <c r="CA40" s="11"/>
      <c r="CB40" s="11"/>
      <c r="CC40" s="11"/>
      <c r="CD40" s="11"/>
    </row>
    <row r="41" ht="12.0" customHeight="1">
      <c r="BP41" s="34"/>
      <c r="BQ41" s="11"/>
      <c r="BR41" s="11"/>
      <c r="BS41" s="11"/>
      <c r="BT41" s="11"/>
      <c r="BU41" s="11"/>
      <c r="BV41" s="11"/>
      <c r="BW41" s="11"/>
      <c r="BX41" s="11"/>
      <c r="BY41" s="11"/>
      <c r="BZ41" s="11"/>
      <c r="CA41" s="11"/>
      <c r="CB41" s="11"/>
      <c r="CC41" s="11"/>
      <c r="CD41" s="11"/>
    </row>
    <row r="42" ht="12.0" customHeight="1">
      <c r="BP42" s="34"/>
      <c r="BQ42" s="11"/>
      <c r="BR42" s="11"/>
      <c r="BS42" s="11"/>
      <c r="BT42" s="11"/>
      <c r="BU42" s="11"/>
      <c r="BV42" s="11"/>
      <c r="BW42" s="11"/>
      <c r="BX42" s="11"/>
      <c r="BY42" s="11"/>
      <c r="BZ42" s="11"/>
      <c r="CA42" s="11"/>
      <c r="CB42" s="11"/>
      <c r="CC42" s="11"/>
      <c r="CD42" s="11"/>
    </row>
    <row r="43" ht="12.0" customHeight="1">
      <c r="D43" s="14">
        <f>SUM(D44:E51)</f>
        <v>0</v>
      </c>
      <c r="E43" s="14"/>
      <c r="F43" s="14">
        <f>SUM(F44:G51)/2</f>
        <v>0</v>
      </c>
      <c r="G43" s="14"/>
      <c r="H43" s="14">
        <f>SUM(H44:I51)/3</f>
        <v>0</v>
      </c>
      <c r="I43" s="14"/>
      <c r="J43" s="14">
        <f>SUM(J44:K51)/4</f>
        <v>0</v>
      </c>
      <c r="K43" s="14"/>
      <c r="L43" s="14">
        <f>IF(OR(J43&gt;0,$AO$9&gt;0),J43,IF(OR(H43&gt;0,$AO$8&gt;0),H43,IF(OR(F43&gt;0,$AO$7&gt;0),F43,IF(OR(D43&gt;0,$AO$6&gt;0),D43,0))))</f>
        <v>0</v>
      </c>
      <c r="M43" s="14"/>
      <c r="N43" s="14">
        <f>SUM(N44:O51)</f>
        <v>0</v>
      </c>
      <c r="O43" s="14"/>
      <c r="P43" s="14">
        <f>SUM(P44:Q51)/2</f>
        <v>0</v>
      </c>
      <c r="Q43" s="14"/>
      <c r="R43" s="14">
        <f>SUM(R44:S51)/3</f>
        <v>0</v>
      </c>
      <c r="S43" s="14"/>
      <c r="T43" s="14">
        <f>SUM(T44:U51)/4</f>
        <v>0</v>
      </c>
      <c r="U43" s="14"/>
      <c r="V43" s="14">
        <f>IF(OR(T43&gt;0,$AO$9&gt;0),T43,IF(OR(R43&gt;0,$AO$8&gt;0),R43,IF(OR(P43&gt;0,$AO$7&gt;0),P43,IF(OR(N43&gt;0,$AO$6&gt;0),N43,0))))</f>
        <v>0</v>
      </c>
      <c r="W43" s="14"/>
      <c r="X43" s="14">
        <f>SUM(X44:Y51)</f>
        <v>0</v>
      </c>
      <c r="Y43" s="14"/>
      <c r="Z43" s="14">
        <f>SUM(Z44:AA51)/2</f>
        <v>0</v>
      </c>
      <c r="AA43" s="14"/>
      <c r="AB43" s="14">
        <f>SUM(AB44:AC51)/3</f>
        <v>0</v>
      </c>
      <c r="AC43" s="14"/>
      <c r="AD43" s="14">
        <f>SUM(AD44:AE51)/4</f>
        <v>0</v>
      </c>
      <c r="AE43" s="14"/>
      <c r="AF43" s="14">
        <f>IF(OR(AD43&gt;0,$AO$9&gt;0),AD43,IF(OR(AB43&gt;0,$AO$8&gt;0),AB43,IF(OR(Z43&gt;0,$AO$7&gt;0),Z43,IF(OR(X43&gt;0,$AO$6&gt;0),X43,0))))</f>
        <v>0</v>
      </c>
      <c r="AG43" s="14"/>
      <c r="AH43" s="14">
        <f>SUM(AH44:AI51)</f>
        <v>0</v>
      </c>
      <c r="AI43" s="14"/>
      <c r="AJ43" s="14">
        <f>SUM(AJ44:AK51)/2</f>
        <v>0</v>
      </c>
      <c r="AK43" s="14"/>
      <c r="AL43" s="14">
        <f>SUM(AL44:AM51)/3</f>
        <v>0</v>
      </c>
      <c r="AM43" s="14"/>
      <c r="AN43" s="14">
        <f>SUM(AN44:AO51)/4</f>
        <v>0</v>
      </c>
      <c r="AO43" s="14"/>
      <c r="AP43" s="14">
        <f>IF(OR(AN43&gt;0,$AO$9&gt;0),AN43,IF(OR(AL43&gt;0,$AO$8&gt;0),AL43,IF(OR(AJ43&gt;0,$AO$7&gt;0),AJ43,IF(OR(AH43&gt;0,$AO$6&gt;0),AH43,0))))</f>
        <v>0</v>
      </c>
      <c r="AQ43" s="14"/>
      <c r="AR43" s="14">
        <f>SUM(AR44:AS51)</f>
        <v>0</v>
      </c>
      <c r="AS43" s="14"/>
      <c r="AT43" s="14">
        <f>SUM(AT44:AU51)/2</f>
        <v>0</v>
      </c>
      <c r="AU43" s="14"/>
      <c r="AV43" s="14">
        <f>SUM(AV44:AW51)/3</f>
        <v>0</v>
      </c>
      <c r="AW43" s="14"/>
      <c r="AX43" s="14">
        <f>SUM(AX44:AY51)/4</f>
        <v>0</v>
      </c>
      <c r="AY43" s="14"/>
      <c r="AZ43" s="14">
        <f>IF(OR(AX43&gt;0,$AO$9&gt;0),AX43,IF(OR(AV43&gt;0,$AO$8&gt;0),AV43,IF(OR(AT43&gt;0,$AO$7&gt;0),AT43,IF(OR(AR43&gt;0,$AO$6&gt;0),AR43,0))))</f>
        <v>0</v>
      </c>
      <c r="BA43" s="14"/>
      <c r="BB43" s="14">
        <f>SUM(BB44:BC51)</f>
        <v>0</v>
      </c>
      <c r="BC43" s="14"/>
      <c r="BD43" s="14">
        <f>SUM(BD44:BE51)/2</f>
        <v>0</v>
      </c>
      <c r="BE43" s="14"/>
      <c r="BF43" s="14">
        <f>SUM(BF44:BG51)/3</f>
        <v>0</v>
      </c>
      <c r="BG43" s="14"/>
      <c r="BH43" s="14">
        <f>SUM(BH44:BI51)/4</f>
        <v>0</v>
      </c>
      <c r="BI43" s="14"/>
      <c r="BJ43" s="14">
        <f>IF(OR(BH43&gt;0,$AO$9&gt;0),BH43,IF(OR(BF43&gt;0,$AO$8&gt;0),BF43,IF(OR(BD43&gt;0,$AO$7&gt;0),BD43,IF(OR(BB43&gt;0,$AO$6&gt;0),BB43,0))))</f>
        <v>0</v>
      </c>
      <c r="BP43" s="34"/>
      <c r="BQ43" s="11"/>
      <c r="BR43" s="11"/>
      <c r="BS43" s="11"/>
      <c r="BT43" s="11"/>
      <c r="BU43" s="11"/>
      <c r="BV43" s="11"/>
      <c r="BW43" s="11"/>
      <c r="BX43" s="11"/>
      <c r="BY43" s="11"/>
      <c r="BZ43" s="11"/>
      <c r="CA43" s="11"/>
      <c r="CB43" s="11"/>
      <c r="CC43" s="11"/>
      <c r="CD43" s="11"/>
    </row>
    <row r="44" ht="12.0" customHeight="1">
      <c r="B44" s="54">
        <v>4.0</v>
      </c>
      <c r="C44" s="55"/>
      <c r="D44" s="56"/>
      <c r="E44" s="57"/>
      <c r="F44" s="56"/>
      <c r="G44" s="57"/>
      <c r="H44" s="56"/>
      <c r="I44" s="57"/>
      <c r="J44" s="56"/>
      <c r="K44" s="57"/>
      <c r="L44" s="58"/>
      <c r="M44" s="59"/>
      <c r="N44" s="56"/>
      <c r="O44" s="57"/>
      <c r="P44" s="56"/>
      <c r="Q44" s="57"/>
      <c r="R44" s="56"/>
      <c r="S44" s="57"/>
      <c r="T44" s="56"/>
      <c r="U44" s="57"/>
      <c r="V44" s="58"/>
      <c r="W44" s="59"/>
      <c r="X44" s="56"/>
      <c r="Y44" s="57"/>
      <c r="Z44" s="56"/>
      <c r="AA44" s="57"/>
      <c r="AB44" s="56"/>
      <c r="AC44" s="57"/>
      <c r="AD44" s="56"/>
      <c r="AE44" s="57"/>
      <c r="AF44" s="58"/>
      <c r="AG44" s="59"/>
      <c r="AH44" s="56"/>
      <c r="AI44" s="57"/>
      <c r="AJ44" s="56"/>
      <c r="AK44" s="57"/>
      <c r="AL44" s="56"/>
      <c r="AM44" s="57"/>
      <c r="AN44" s="56"/>
      <c r="AO44" s="57"/>
      <c r="AP44" s="58"/>
      <c r="AQ44" s="59"/>
      <c r="AR44" s="56"/>
      <c r="AS44" s="57"/>
      <c r="AT44" s="56"/>
      <c r="AU44" s="57"/>
      <c r="AV44" s="56"/>
      <c r="AW44" s="57"/>
      <c r="AX44" s="56"/>
      <c r="AY44" s="57"/>
      <c r="AZ44" s="58"/>
      <c r="BA44" s="59"/>
      <c r="BB44" s="56"/>
      <c r="BC44" s="57"/>
      <c r="BD44" s="56"/>
      <c r="BE44" s="57"/>
      <c r="BF44" s="56"/>
      <c r="BG44" s="57"/>
      <c r="BH44" s="56"/>
      <c r="BI44" s="57"/>
      <c r="BP44" s="34"/>
      <c r="BQ44" s="11"/>
      <c r="BR44" s="11"/>
      <c r="BS44" s="11"/>
      <c r="BT44" s="11"/>
      <c r="BU44" s="11"/>
      <c r="BV44" s="11"/>
      <c r="BW44" s="11"/>
      <c r="BX44" s="11"/>
      <c r="BY44" s="11"/>
      <c r="BZ44" s="11"/>
      <c r="CA44" s="11"/>
      <c r="CB44" s="11"/>
      <c r="CC44" s="11"/>
      <c r="CD44" s="11"/>
    </row>
    <row r="45" ht="12.0" customHeight="1">
      <c r="B45" s="73"/>
      <c r="C45" s="74"/>
      <c r="D45" s="75"/>
      <c r="E45" s="76"/>
      <c r="F45" s="75"/>
      <c r="G45" s="76"/>
      <c r="H45" s="75"/>
      <c r="I45" s="76"/>
      <c r="J45" s="75"/>
      <c r="K45" s="76"/>
      <c r="L45" s="77"/>
      <c r="M45" s="59"/>
      <c r="N45" s="75"/>
      <c r="O45" s="76"/>
      <c r="P45" s="75"/>
      <c r="Q45" s="76"/>
      <c r="R45" s="75"/>
      <c r="S45" s="76"/>
      <c r="T45" s="75"/>
      <c r="U45" s="76"/>
      <c r="V45" s="77"/>
      <c r="W45" s="59"/>
      <c r="X45" s="75"/>
      <c r="Y45" s="76"/>
      <c r="Z45" s="75"/>
      <c r="AA45" s="76"/>
      <c r="AB45" s="75"/>
      <c r="AC45" s="76"/>
      <c r="AD45" s="75"/>
      <c r="AE45" s="76"/>
      <c r="AF45" s="77"/>
      <c r="AG45" s="59"/>
      <c r="AH45" s="75"/>
      <c r="AI45" s="76"/>
      <c r="AJ45" s="75"/>
      <c r="AK45" s="76"/>
      <c r="AL45" s="75"/>
      <c r="AM45" s="76"/>
      <c r="AN45" s="75"/>
      <c r="AO45" s="76"/>
      <c r="AP45" s="77"/>
      <c r="AQ45" s="59"/>
      <c r="AR45" s="75"/>
      <c r="AS45" s="76"/>
      <c r="AT45" s="75"/>
      <c r="AU45" s="76"/>
      <c r="AV45" s="75"/>
      <c r="AW45" s="76"/>
      <c r="AX45" s="75"/>
      <c r="AY45" s="76"/>
      <c r="AZ45" s="77"/>
      <c r="BA45" s="59"/>
      <c r="BB45" s="75"/>
      <c r="BC45" s="76"/>
      <c r="BD45" s="75"/>
      <c r="BE45" s="76"/>
      <c r="BF45" s="75"/>
      <c r="BG45" s="76"/>
      <c r="BH45" s="75"/>
      <c r="BI45" s="76"/>
      <c r="BP45" s="34"/>
      <c r="BQ45" s="11"/>
      <c r="BR45" s="11"/>
      <c r="BS45" s="11"/>
      <c r="BT45" s="11"/>
      <c r="BU45" s="11"/>
      <c r="BV45" s="11"/>
      <c r="BW45" s="11"/>
      <c r="BX45" s="11"/>
      <c r="BY45" s="11"/>
      <c r="BZ45" s="11"/>
      <c r="CA45" s="11"/>
      <c r="CB45" s="11"/>
      <c r="CC45" s="11"/>
      <c r="CD45" s="11"/>
    </row>
    <row r="46" ht="12.0" customHeight="1">
      <c r="B46" s="54">
        <v>3.0</v>
      </c>
      <c r="C46" s="55"/>
      <c r="D46" s="56"/>
      <c r="E46" s="57"/>
      <c r="F46" s="56"/>
      <c r="G46" s="57"/>
      <c r="H46" s="56"/>
      <c r="I46" s="57"/>
      <c r="J46" s="56"/>
      <c r="K46" s="57"/>
      <c r="L46" s="58"/>
      <c r="M46" s="59"/>
      <c r="N46" s="56"/>
      <c r="O46" s="57"/>
      <c r="P46" s="56"/>
      <c r="Q46" s="57"/>
      <c r="R46" s="56"/>
      <c r="S46" s="57"/>
      <c r="T46" s="56"/>
      <c r="U46" s="57"/>
      <c r="V46" s="58"/>
      <c r="W46" s="59"/>
      <c r="X46" s="56"/>
      <c r="Y46" s="57"/>
      <c r="Z46" s="56"/>
      <c r="AA46" s="57"/>
      <c r="AB46" s="56"/>
      <c r="AC46" s="57"/>
      <c r="AD46" s="56"/>
      <c r="AE46" s="57"/>
      <c r="AF46" s="58"/>
      <c r="AG46" s="59"/>
      <c r="AH46" s="56"/>
      <c r="AI46" s="57"/>
      <c r="AJ46" s="56"/>
      <c r="AK46" s="57"/>
      <c r="AL46" s="56"/>
      <c r="AM46" s="57"/>
      <c r="AN46" s="56"/>
      <c r="AO46" s="57"/>
      <c r="AP46" s="58"/>
      <c r="AQ46" s="59"/>
      <c r="AR46" s="56"/>
      <c r="AS46" s="57"/>
      <c r="AT46" s="56"/>
      <c r="AU46" s="57"/>
      <c r="AV46" s="56"/>
      <c r="AW46" s="57"/>
      <c r="AX46" s="56"/>
      <c r="AY46" s="57"/>
      <c r="AZ46" s="58"/>
      <c r="BA46" s="59"/>
      <c r="BB46" s="56"/>
      <c r="BC46" s="57"/>
      <c r="BD46" s="56"/>
      <c r="BE46" s="57"/>
      <c r="BF46" s="56"/>
      <c r="BG46" s="57"/>
      <c r="BH46" s="56"/>
      <c r="BI46" s="57"/>
      <c r="BP46" s="34"/>
      <c r="BQ46" s="11"/>
      <c r="BR46" s="11"/>
      <c r="BS46" s="11"/>
      <c r="BT46" s="11"/>
      <c r="BU46" s="11"/>
      <c r="BV46" s="11"/>
      <c r="BW46" s="11"/>
      <c r="BX46" s="11"/>
      <c r="BY46" s="11"/>
      <c r="BZ46" s="11"/>
      <c r="CA46" s="11"/>
      <c r="CB46" s="11"/>
      <c r="CC46" s="11"/>
      <c r="CD46" s="11"/>
    </row>
    <row r="47" ht="12.0" customHeight="1">
      <c r="B47" s="73"/>
      <c r="C47" s="74"/>
      <c r="D47" s="75"/>
      <c r="E47" s="76"/>
      <c r="F47" s="75"/>
      <c r="G47" s="76"/>
      <c r="H47" s="75"/>
      <c r="I47" s="76"/>
      <c r="J47" s="75"/>
      <c r="K47" s="76"/>
      <c r="L47" s="77"/>
      <c r="M47" s="59"/>
      <c r="N47" s="75"/>
      <c r="O47" s="76"/>
      <c r="P47" s="75"/>
      <c r="Q47" s="76"/>
      <c r="R47" s="75"/>
      <c r="S47" s="76"/>
      <c r="T47" s="75"/>
      <c r="U47" s="76"/>
      <c r="V47" s="77"/>
      <c r="W47" s="59"/>
      <c r="X47" s="75"/>
      <c r="Y47" s="76"/>
      <c r="Z47" s="75"/>
      <c r="AA47" s="76"/>
      <c r="AB47" s="75"/>
      <c r="AC47" s="76"/>
      <c r="AD47" s="75"/>
      <c r="AE47" s="76"/>
      <c r="AF47" s="77"/>
      <c r="AG47" s="59"/>
      <c r="AH47" s="75"/>
      <c r="AI47" s="76"/>
      <c r="AJ47" s="75"/>
      <c r="AK47" s="76"/>
      <c r="AL47" s="75"/>
      <c r="AM47" s="76"/>
      <c r="AN47" s="75"/>
      <c r="AO47" s="76"/>
      <c r="AP47" s="77"/>
      <c r="AQ47" s="59"/>
      <c r="AR47" s="75"/>
      <c r="AS47" s="76"/>
      <c r="AT47" s="75"/>
      <c r="AU47" s="76"/>
      <c r="AV47" s="75"/>
      <c r="AW47" s="76"/>
      <c r="AX47" s="75"/>
      <c r="AY47" s="76"/>
      <c r="AZ47" s="77"/>
      <c r="BA47" s="59"/>
      <c r="BB47" s="75"/>
      <c r="BC47" s="76"/>
      <c r="BD47" s="75"/>
      <c r="BE47" s="76"/>
      <c r="BF47" s="75"/>
      <c r="BG47" s="76"/>
      <c r="BH47" s="75"/>
      <c r="BI47" s="76"/>
      <c r="BP47" s="34"/>
      <c r="BQ47" s="11"/>
      <c r="BR47" s="11"/>
      <c r="BS47" s="11"/>
      <c r="BT47" s="11"/>
      <c r="BU47" s="11"/>
      <c r="BV47" s="11"/>
      <c r="BW47" s="11"/>
      <c r="BX47" s="11"/>
      <c r="BY47" s="11"/>
      <c r="BZ47" s="11"/>
      <c r="CA47" s="11"/>
      <c r="CB47" s="11"/>
      <c r="CC47" s="11"/>
      <c r="CD47" s="11"/>
    </row>
    <row r="48" ht="12.0" customHeight="1">
      <c r="B48" s="54">
        <v>2.0</v>
      </c>
      <c r="C48" s="55"/>
      <c r="D48" s="56"/>
      <c r="E48" s="57"/>
      <c r="F48" s="56"/>
      <c r="G48" s="57"/>
      <c r="H48" s="56"/>
      <c r="I48" s="57"/>
      <c r="J48" s="56"/>
      <c r="K48" s="57"/>
      <c r="L48" s="58"/>
      <c r="M48" s="59"/>
      <c r="N48" s="56"/>
      <c r="O48" s="57"/>
      <c r="P48" s="56"/>
      <c r="Q48" s="57"/>
      <c r="R48" s="56"/>
      <c r="S48" s="57"/>
      <c r="T48" s="56"/>
      <c r="U48" s="57"/>
      <c r="V48" s="58"/>
      <c r="W48" s="59"/>
      <c r="X48" s="56"/>
      <c r="Y48" s="57"/>
      <c r="Z48" s="56"/>
      <c r="AA48" s="57"/>
      <c r="AB48" s="56"/>
      <c r="AC48" s="57"/>
      <c r="AD48" s="56"/>
      <c r="AE48" s="57"/>
      <c r="AF48" s="58"/>
      <c r="AG48" s="59"/>
      <c r="AH48" s="56"/>
      <c r="AI48" s="57"/>
      <c r="AJ48" s="56"/>
      <c r="AK48" s="57"/>
      <c r="AL48" s="56"/>
      <c r="AM48" s="57"/>
      <c r="AN48" s="56"/>
      <c r="AO48" s="57"/>
      <c r="AP48" s="58"/>
      <c r="AQ48" s="59"/>
      <c r="AR48" s="56"/>
      <c r="AS48" s="57"/>
      <c r="AT48" s="56"/>
      <c r="AU48" s="57"/>
      <c r="AV48" s="56"/>
      <c r="AW48" s="57"/>
      <c r="AX48" s="56"/>
      <c r="AY48" s="57"/>
      <c r="AZ48" s="58"/>
      <c r="BA48" s="59"/>
      <c r="BB48" s="56"/>
      <c r="BC48" s="57"/>
      <c r="BD48" s="56"/>
      <c r="BE48" s="57"/>
      <c r="BF48" s="56"/>
      <c r="BG48" s="57"/>
      <c r="BH48" s="56"/>
      <c r="BI48" s="57"/>
      <c r="BP48" s="34"/>
      <c r="BQ48" s="11"/>
      <c r="BR48" s="11"/>
      <c r="BS48" s="11"/>
      <c r="BT48" s="11"/>
      <c r="BU48" s="11"/>
      <c r="BV48" s="11"/>
      <c r="BW48" s="11"/>
      <c r="BX48" s="11"/>
      <c r="BY48" s="11"/>
      <c r="BZ48" s="11"/>
      <c r="CA48" s="11"/>
      <c r="CB48" s="11"/>
      <c r="CC48" s="11"/>
      <c r="CD48" s="11"/>
    </row>
    <row r="49" ht="12.0" customHeight="1">
      <c r="B49" s="73"/>
      <c r="C49" s="74"/>
      <c r="D49" s="75"/>
      <c r="E49" s="76"/>
      <c r="F49" s="75"/>
      <c r="G49" s="76"/>
      <c r="H49" s="75"/>
      <c r="I49" s="76"/>
      <c r="J49" s="75"/>
      <c r="K49" s="76"/>
      <c r="L49" s="77"/>
      <c r="M49" s="59"/>
      <c r="N49" s="75"/>
      <c r="O49" s="76"/>
      <c r="P49" s="75"/>
      <c r="Q49" s="76"/>
      <c r="R49" s="75"/>
      <c r="S49" s="76"/>
      <c r="T49" s="75"/>
      <c r="U49" s="76"/>
      <c r="V49" s="77"/>
      <c r="W49" s="59"/>
      <c r="X49" s="75"/>
      <c r="Y49" s="76"/>
      <c r="Z49" s="75"/>
      <c r="AA49" s="76"/>
      <c r="AB49" s="75"/>
      <c r="AC49" s="76"/>
      <c r="AD49" s="75"/>
      <c r="AE49" s="76"/>
      <c r="AF49" s="77"/>
      <c r="AG49" s="59"/>
      <c r="AH49" s="75"/>
      <c r="AI49" s="76"/>
      <c r="AJ49" s="75"/>
      <c r="AK49" s="76"/>
      <c r="AL49" s="75"/>
      <c r="AM49" s="76"/>
      <c r="AN49" s="75"/>
      <c r="AO49" s="76"/>
      <c r="AP49" s="77"/>
      <c r="AQ49" s="59"/>
      <c r="AR49" s="75"/>
      <c r="AS49" s="76"/>
      <c r="AT49" s="75"/>
      <c r="AU49" s="76"/>
      <c r="AV49" s="75"/>
      <c r="AW49" s="76"/>
      <c r="AX49" s="75"/>
      <c r="AY49" s="76"/>
      <c r="AZ49" s="77"/>
      <c r="BA49" s="59"/>
      <c r="BB49" s="75"/>
      <c r="BC49" s="76"/>
      <c r="BD49" s="75"/>
      <c r="BE49" s="76"/>
      <c r="BF49" s="75"/>
      <c r="BG49" s="76"/>
      <c r="BH49" s="75"/>
      <c r="BI49" s="76"/>
      <c r="BP49" s="34"/>
      <c r="BQ49" s="11"/>
      <c r="BR49" s="11"/>
      <c r="BS49" s="11"/>
      <c r="BT49" s="11"/>
      <c r="BU49" s="11"/>
      <c r="BV49" s="11"/>
      <c r="BW49" s="11"/>
      <c r="BX49" s="11"/>
      <c r="BY49" s="11"/>
      <c r="BZ49" s="11"/>
      <c r="CA49" s="11"/>
      <c r="CB49" s="11"/>
      <c r="CC49" s="11"/>
      <c r="CD49" s="11"/>
    </row>
    <row r="50" ht="12.0" customHeight="1">
      <c r="B50" s="54">
        <v>1.0</v>
      </c>
      <c r="C50" s="55"/>
      <c r="D50" s="56"/>
      <c r="E50" s="57"/>
      <c r="F50" s="56"/>
      <c r="G50" s="57"/>
      <c r="H50" s="56"/>
      <c r="I50" s="57"/>
      <c r="J50" s="56"/>
      <c r="K50" s="57"/>
      <c r="L50" s="58"/>
      <c r="M50" s="59"/>
      <c r="N50" s="56"/>
      <c r="O50" s="57"/>
      <c r="P50" s="56"/>
      <c r="Q50" s="57"/>
      <c r="R50" s="56"/>
      <c r="S50" s="57"/>
      <c r="T50" s="56"/>
      <c r="U50" s="57"/>
      <c r="V50" s="58"/>
      <c r="W50" s="59"/>
      <c r="X50" s="56"/>
      <c r="Y50" s="57"/>
      <c r="Z50" s="56"/>
      <c r="AA50" s="57"/>
      <c r="AB50" s="56"/>
      <c r="AC50" s="57"/>
      <c r="AD50" s="56"/>
      <c r="AE50" s="57"/>
      <c r="AF50" s="58"/>
      <c r="AG50" s="59"/>
      <c r="AH50" s="56"/>
      <c r="AI50" s="57"/>
      <c r="AJ50" s="56"/>
      <c r="AK50" s="57"/>
      <c r="AL50" s="56"/>
      <c r="AM50" s="57"/>
      <c r="AN50" s="56"/>
      <c r="AO50" s="57"/>
      <c r="AP50" s="58"/>
      <c r="AQ50" s="59"/>
      <c r="AR50" s="56"/>
      <c r="AS50" s="57"/>
      <c r="AT50" s="56"/>
      <c r="AU50" s="57"/>
      <c r="AV50" s="56"/>
      <c r="AW50" s="57"/>
      <c r="AX50" s="56"/>
      <c r="AY50" s="57"/>
      <c r="AZ50" s="58"/>
      <c r="BA50" s="59"/>
      <c r="BB50" s="56"/>
      <c r="BC50" s="57"/>
      <c r="BD50" s="56"/>
      <c r="BE50" s="57"/>
      <c r="BF50" s="56"/>
      <c r="BG50" s="57"/>
      <c r="BH50" s="56"/>
      <c r="BI50" s="57"/>
      <c r="BP50" s="34"/>
      <c r="BQ50" s="11"/>
      <c r="BR50" s="11"/>
      <c r="BS50" s="11"/>
      <c r="BT50" s="11"/>
      <c r="BU50" s="11"/>
      <c r="BV50" s="11"/>
      <c r="BW50" s="11"/>
      <c r="BX50" s="11"/>
      <c r="BY50" s="11"/>
      <c r="BZ50" s="11"/>
      <c r="CA50" s="11"/>
      <c r="CB50" s="11"/>
      <c r="CC50" s="11"/>
      <c r="CD50" s="11"/>
    </row>
    <row r="51" ht="12.0" customHeight="1">
      <c r="B51" s="73"/>
      <c r="C51" s="87"/>
      <c r="D51" s="88"/>
      <c r="E51" s="89"/>
      <c r="F51" s="88"/>
      <c r="G51" s="89"/>
      <c r="H51" s="88"/>
      <c r="I51" s="89"/>
      <c r="J51" s="88"/>
      <c r="K51" s="89"/>
      <c r="L51" s="88"/>
      <c r="M51" s="89"/>
      <c r="N51" s="88"/>
      <c r="O51" s="89"/>
      <c r="P51" s="88"/>
      <c r="Q51" s="89"/>
      <c r="R51" s="88"/>
      <c r="S51" s="89"/>
      <c r="T51" s="88"/>
      <c r="U51" s="89"/>
      <c r="V51" s="88"/>
      <c r="W51" s="89"/>
      <c r="X51" s="88"/>
      <c r="Y51" s="89"/>
      <c r="Z51" s="88"/>
      <c r="AA51" s="89"/>
      <c r="AB51" s="88"/>
      <c r="AC51" s="89"/>
      <c r="AD51" s="88"/>
      <c r="AE51" s="89"/>
      <c r="AF51" s="88"/>
      <c r="AG51" s="89"/>
      <c r="AH51" s="88"/>
      <c r="AI51" s="89"/>
      <c r="AJ51" s="88"/>
      <c r="AK51" s="89"/>
      <c r="AL51" s="88"/>
      <c r="AM51" s="89"/>
      <c r="AN51" s="88"/>
      <c r="AO51" s="89"/>
      <c r="AP51" s="88"/>
      <c r="AQ51" s="89"/>
      <c r="AR51" s="88"/>
      <c r="AS51" s="89"/>
      <c r="AT51" s="88"/>
      <c r="AU51" s="89"/>
      <c r="AV51" s="88"/>
      <c r="AW51" s="89"/>
      <c r="AX51" s="88"/>
      <c r="AY51" s="89"/>
      <c r="AZ51" s="88"/>
      <c r="BA51" s="89"/>
      <c r="BB51" s="88"/>
      <c r="BC51" s="89"/>
      <c r="BD51" s="88"/>
      <c r="BE51" s="89"/>
      <c r="BF51" s="88"/>
      <c r="BG51" s="89"/>
      <c r="BH51" s="88"/>
      <c r="BI51" s="89"/>
      <c r="BP51" s="34"/>
      <c r="BQ51" s="11"/>
      <c r="BR51" s="11"/>
      <c r="BS51" s="11"/>
      <c r="BT51" s="11"/>
      <c r="BU51" s="11"/>
      <c r="BV51" s="11"/>
      <c r="BW51" s="11"/>
      <c r="BX51" s="11"/>
      <c r="BY51" s="11"/>
      <c r="BZ51" s="11"/>
      <c r="CA51" s="11"/>
      <c r="CB51" s="11"/>
      <c r="CC51" s="11"/>
      <c r="CD51" s="11"/>
    </row>
    <row r="52" ht="12.0" customHeight="1">
      <c r="D52" s="90">
        <v>1.0</v>
      </c>
      <c r="E52" s="91"/>
      <c r="F52" s="90">
        <v>2.0</v>
      </c>
      <c r="G52" s="91"/>
      <c r="H52" s="90">
        <v>3.0</v>
      </c>
      <c r="I52" s="91"/>
      <c r="J52" s="90">
        <v>4.0</v>
      </c>
      <c r="K52" s="91"/>
      <c r="N52" s="90">
        <v>1.0</v>
      </c>
      <c r="O52" s="91"/>
      <c r="P52" s="90">
        <v>2.0</v>
      </c>
      <c r="Q52" s="91"/>
      <c r="R52" s="90">
        <v>3.0</v>
      </c>
      <c r="S52" s="91"/>
      <c r="T52" s="90">
        <v>4.0</v>
      </c>
      <c r="U52" s="91"/>
      <c r="X52" s="90">
        <v>1.0</v>
      </c>
      <c r="Y52" s="91"/>
      <c r="Z52" s="90">
        <v>2.0</v>
      </c>
      <c r="AA52" s="91"/>
      <c r="AB52" s="90">
        <v>3.0</v>
      </c>
      <c r="AC52" s="91"/>
      <c r="AD52" s="90">
        <v>4.0</v>
      </c>
      <c r="AE52" s="91"/>
      <c r="AH52" s="90">
        <v>1.0</v>
      </c>
      <c r="AI52" s="91"/>
      <c r="AJ52" s="90">
        <v>2.0</v>
      </c>
      <c r="AK52" s="91"/>
      <c r="AL52" s="90">
        <v>3.0</v>
      </c>
      <c r="AM52" s="91"/>
      <c r="AN52" s="90">
        <v>4.0</v>
      </c>
      <c r="AO52" s="91"/>
      <c r="AR52" s="90">
        <v>1.0</v>
      </c>
      <c r="AS52" s="91"/>
      <c r="AT52" s="90">
        <v>2.0</v>
      </c>
      <c r="AU52" s="91"/>
      <c r="AV52" s="90">
        <v>3.0</v>
      </c>
      <c r="AW52" s="91"/>
      <c r="AX52" s="90">
        <v>4.0</v>
      </c>
      <c r="AY52" s="91"/>
      <c r="BB52" s="90">
        <v>1.0</v>
      </c>
      <c r="BC52" s="91"/>
      <c r="BD52" s="90">
        <v>2.0</v>
      </c>
      <c r="BE52" s="91"/>
      <c r="BF52" s="90">
        <v>3.0</v>
      </c>
      <c r="BG52" s="91"/>
      <c r="BH52" s="90">
        <v>4.0</v>
      </c>
      <c r="BI52" s="91"/>
      <c r="BP52" s="34"/>
      <c r="BQ52" s="11"/>
      <c r="BR52" s="11"/>
      <c r="BS52" s="11"/>
      <c r="BT52" s="11"/>
      <c r="BU52" s="11"/>
      <c r="BV52" s="11"/>
      <c r="BW52" s="11"/>
      <c r="BX52" s="11"/>
      <c r="BY52" s="11"/>
      <c r="BZ52" s="11"/>
      <c r="CA52" s="11"/>
      <c r="CB52" s="11"/>
      <c r="CC52" s="11"/>
      <c r="CD52" s="11"/>
    </row>
    <row r="53" ht="12.0" customHeight="1">
      <c r="BP53" s="34"/>
      <c r="BQ53" s="11"/>
      <c r="BR53" s="11"/>
      <c r="BS53" s="11"/>
      <c r="BT53" s="11"/>
      <c r="BU53" s="11"/>
      <c r="BV53" s="11"/>
      <c r="BW53" s="11"/>
      <c r="BX53" s="11"/>
      <c r="BY53" s="11"/>
      <c r="BZ53" s="11"/>
      <c r="CA53" s="11"/>
      <c r="CB53" s="11"/>
      <c r="CC53" s="11"/>
      <c r="CD53" s="11"/>
    </row>
    <row r="54" ht="12.0" customHeight="1">
      <c r="BP54" s="34"/>
      <c r="BQ54" s="11"/>
      <c r="BR54" s="11"/>
      <c r="BS54" s="11"/>
      <c r="BT54" s="11"/>
      <c r="BU54" s="11"/>
      <c r="BV54" s="11"/>
      <c r="BW54" s="11"/>
      <c r="BX54" s="11"/>
      <c r="BY54" s="11"/>
      <c r="BZ54" s="11"/>
      <c r="CA54" s="11"/>
      <c r="CB54" s="11"/>
      <c r="CC54" s="11"/>
      <c r="CD54" s="11"/>
    </row>
    <row r="55" ht="12.0" customHeight="1">
      <c r="BP55" s="34"/>
      <c r="BQ55" s="11"/>
      <c r="BR55" s="11"/>
      <c r="BS55" s="11"/>
      <c r="BT55" s="11"/>
      <c r="BU55" s="11"/>
      <c r="BV55" s="11"/>
      <c r="BW55" s="11"/>
      <c r="BX55" s="11"/>
      <c r="BY55" s="11"/>
      <c r="BZ55" s="11"/>
      <c r="CA55" s="11"/>
      <c r="CB55" s="11"/>
      <c r="CC55" s="11"/>
      <c r="CD55" s="11"/>
    </row>
    <row r="56" ht="12.0" customHeight="1">
      <c r="BP56" s="34"/>
      <c r="BQ56" s="11"/>
      <c r="BR56" s="11"/>
      <c r="BS56" s="11"/>
      <c r="BT56" s="11"/>
      <c r="BU56" s="11"/>
      <c r="BV56" s="11"/>
      <c r="BW56" s="11"/>
      <c r="BX56" s="11"/>
      <c r="BY56" s="11"/>
      <c r="BZ56" s="11"/>
      <c r="CA56" s="11"/>
      <c r="CB56" s="11"/>
      <c r="CC56" s="11"/>
      <c r="CD56" s="11"/>
    </row>
    <row r="57" ht="12.0" customHeight="1">
      <c r="BP57" s="34"/>
      <c r="BQ57" s="11"/>
      <c r="BR57" s="11"/>
      <c r="BS57" s="11"/>
      <c r="BT57" s="11"/>
      <c r="BU57" s="11"/>
      <c r="BV57" s="11"/>
      <c r="BW57" s="11"/>
      <c r="BX57" s="11"/>
      <c r="BY57" s="11"/>
      <c r="BZ57" s="11"/>
      <c r="CA57" s="11"/>
      <c r="CB57" s="11"/>
      <c r="CC57" s="11"/>
      <c r="CD57" s="11"/>
    </row>
    <row r="58" ht="12.0" customHeight="1">
      <c r="D58" s="14">
        <f>SUM(D59:E66)</f>
        <v>0</v>
      </c>
      <c r="E58" s="14"/>
      <c r="F58" s="14">
        <f>SUM(F59:G66)/2</f>
        <v>0</v>
      </c>
      <c r="G58" s="14"/>
      <c r="H58" s="14">
        <f>SUM(H59:I66)/3</f>
        <v>0</v>
      </c>
      <c r="I58" s="14"/>
      <c r="J58" s="14">
        <f>SUM(J59:K66)/4</f>
        <v>0</v>
      </c>
      <c r="K58" s="14"/>
      <c r="L58" s="14">
        <f>IF(OR(J58&gt;0,$AO$9&gt;0),J58,IF(OR(H58&gt;0,$AO$8&gt;0),H58,IF(OR(F58&gt;0,$AO$7&gt;0),F58,IF(OR(D58&gt;0,$AO$6&gt;0),D58,0))))</f>
        <v>0</v>
      </c>
      <c r="M58" s="14"/>
      <c r="N58" s="14">
        <f>SUM(N59:O66)</f>
        <v>0</v>
      </c>
      <c r="O58" s="14"/>
      <c r="P58" s="14">
        <f>SUM(P59:Q66)/2</f>
        <v>0</v>
      </c>
      <c r="Q58" s="14"/>
      <c r="R58" s="14">
        <f>SUM(R59:S66)/3</f>
        <v>0</v>
      </c>
      <c r="S58" s="14"/>
      <c r="T58" s="14">
        <f>SUM(T59:U66)/4</f>
        <v>0</v>
      </c>
      <c r="U58" s="14"/>
      <c r="V58" s="14">
        <f>IF(OR(T58&gt;0,$AO$9&gt;0),T58,IF(OR(R58&gt;0,$AO$8&gt;0),R58,IF(OR(P58&gt;0,$AO$7&gt;0),P58,IF(OR(N58&gt;0,$AO$6&gt;0),N58,0))))</f>
        <v>0</v>
      </c>
      <c r="W58" s="14"/>
      <c r="X58" s="14">
        <f>SUM(X59:Y66)</f>
        <v>0</v>
      </c>
      <c r="Y58" s="14"/>
      <c r="Z58" s="14">
        <f>SUM(Z59:AA66)/2</f>
        <v>0</v>
      </c>
      <c r="AA58" s="14"/>
      <c r="AB58" s="14">
        <f>SUM(AB59:AC66)/3</f>
        <v>0</v>
      </c>
      <c r="AC58" s="14"/>
      <c r="AD58" s="14">
        <f>SUM(AD59:AE66)/4</f>
        <v>0</v>
      </c>
      <c r="AE58" s="14"/>
      <c r="AF58" s="14">
        <f>IF(OR(AD58&gt;0,$AO$9&gt;0),AD58,IF(OR(AB58&gt;0,$AO$8&gt;0),AB58,IF(OR(Z58&gt;0,$AO$7&gt;0),Z58,IF(OR(X58&gt;0,$AO$6&gt;0),X58,0))))</f>
        <v>0</v>
      </c>
      <c r="AG58" s="14"/>
      <c r="AH58" s="14">
        <f>SUM(AH59:AI66)</f>
        <v>0</v>
      </c>
      <c r="AI58" s="14"/>
      <c r="AJ58" s="14">
        <f>SUM(AJ59:AK66)/2</f>
        <v>0</v>
      </c>
      <c r="AK58" s="14"/>
      <c r="AL58" s="14">
        <f>SUM(AL59:AM66)/3</f>
        <v>0</v>
      </c>
      <c r="AM58" s="14"/>
      <c r="AN58" s="14">
        <f>SUM(AN59:AO66)/4</f>
        <v>0</v>
      </c>
      <c r="AO58" s="14"/>
      <c r="AP58" s="14">
        <f>IF(OR(AN58&gt;0,$AO$9&gt;0),AN58,IF(OR(AL58&gt;0,$AO$8&gt;0),AL58,IF(OR(AJ58&gt;0,$AO$7&gt;0),AJ58,IF(OR(AH58&gt;0,$AO$6&gt;0),AH58,0))))</f>
        <v>0</v>
      </c>
      <c r="AQ58" s="14"/>
      <c r="AR58" s="14">
        <f>SUM(AR59:AS66)</f>
        <v>0</v>
      </c>
      <c r="AS58" s="14"/>
      <c r="AT58" s="14">
        <f>SUM(AT59:AU66)/2</f>
        <v>0</v>
      </c>
      <c r="AU58" s="14"/>
      <c r="AV58" s="14">
        <f>SUM(AV59:AW66)/3</f>
        <v>0</v>
      </c>
      <c r="AW58" s="14"/>
      <c r="AX58" s="14">
        <f>SUM(AX59:AY66)/4</f>
        <v>0</v>
      </c>
      <c r="AY58" s="14"/>
      <c r="AZ58" s="14">
        <f>IF(OR(AX58&gt;0,$AO$9&gt;0),AX58,IF(OR(AV58&gt;0,$AO$8&gt;0),AV58,IF(OR(AT58&gt;0,$AO$7&gt;0),AT58,IF(OR(AR58&gt;0,$AO$6&gt;0),AR58,0))))</f>
        <v>0</v>
      </c>
      <c r="BA58" s="14"/>
      <c r="BB58" s="14">
        <f>SUM(BB59:BC66)</f>
        <v>0</v>
      </c>
      <c r="BC58" s="14"/>
      <c r="BD58" s="14">
        <f>SUM(BD59:BE66)/2</f>
        <v>0</v>
      </c>
      <c r="BE58" s="14"/>
      <c r="BF58" s="14">
        <f>SUM(BF59:BG66)/3</f>
        <v>0</v>
      </c>
      <c r="BG58" s="14"/>
      <c r="BH58" s="14">
        <f>SUM(BH59:BI66)/4</f>
        <v>0</v>
      </c>
      <c r="BI58" s="14"/>
      <c r="BJ58" s="14">
        <f>IF(OR(BH58&gt;0,$AO$9&gt;0),BH58,IF(OR(BF58&gt;0,$AO$8&gt;0),BF58,IF(OR(BD58&gt;0,$AO$7&gt;0),BD58,IF(OR(BB58&gt;0,$AO$6&gt;0),BB58,0))))</f>
        <v>0</v>
      </c>
      <c r="BP58" s="34"/>
      <c r="BQ58" s="11"/>
      <c r="BR58" s="11"/>
      <c r="BS58" s="11"/>
      <c r="BT58" s="11"/>
      <c r="BU58" s="11"/>
      <c r="BV58" s="11"/>
      <c r="BW58" s="11"/>
      <c r="BX58" s="11"/>
      <c r="BY58" s="11"/>
      <c r="BZ58" s="11"/>
      <c r="CA58" s="11"/>
      <c r="CB58" s="11"/>
      <c r="CC58" s="11"/>
      <c r="CD58" s="11"/>
    </row>
    <row r="59" ht="12.0" customHeight="1">
      <c r="B59" s="54">
        <v>4.0</v>
      </c>
      <c r="C59" s="55"/>
      <c r="D59" s="56"/>
      <c r="E59" s="57"/>
      <c r="F59" s="56"/>
      <c r="G59" s="57"/>
      <c r="H59" s="56"/>
      <c r="I59" s="57"/>
      <c r="J59" s="56"/>
      <c r="K59" s="57"/>
      <c r="L59" s="58"/>
      <c r="M59" s="59"/>
      <c r="N59" s="56"/>
      <c r="O59" s="57"/>
      <c r="P59" s="56"/>
      <c r="Q59" s="57"/>
      <c r="R59" s="56"/>
      <c r="S59" s="57"/>
      <c r="T59" s="56"/>
      <c r="U59" s="57"/>
      <c r="V59" s="58"/>
      <c r="W59" s="59"/>
      <c r="X59" s="56"/>
      <c r="Y59" s="57"/>
      <c r="Z59" s="56"/>
      <c r="AA59" s="57"/>
      <c r="AB59" s="56"/>
      <c r="AC59" s="57"/>
      <c r="AD59" s="56"/>
      <c r="AE59" s="57"/>
      <c r="AF59" s="58"/>
      <c r="AG59" s="59"/>
      <c r="AH59" s="56"/>
      <c r="AI59" s="57"/>
      <c r="AJ59" s="56"/>
      <c r="AK59" s="57"/>
      <c r="AL59" s="56"/>
      <c r="AM59" s="57"/>
      <c r="AN59" s="56"/>
      <c r="AO59" s="57"/>
      <c r="AP59" s="58"/>
      <c r="AQ59" s="59"/>
      <c r="AR59" s="56"/>
      <c r="AS59" s="57"/>
      <c r="AT59" s="56"/>
      <c r="AU59" s="57"/>
      <c r="AV59" s="56"/>
      <c r="AW59" s="57"/>
      <c r="AX59" s="56"/>
      <c r="AY59" s="57"/>
      <c r="AZ59" s="58"/>
      <c r="BA59" s="59"/>
      <c r="BB59" s="56"/>
      <c r="BC59" s="57"/>
      <c r="BD59" s="56"/>
      <c r="BE59" s="57"/>
      <c r="BF59" s="56"/>
      <c r="BG59" s="57"/>
      <c r="BH59" s="56"/>
      <c r="BI59" s="57"/>
      <c r="BP59" s="34"/>
      <c r="BQ59" s="11"/>
      <c r="BR59" s="11"/>
      <c r="BS59" s="11"/>
      <c r="BT59" s="11"/>
      <c r="BU59" s="11"/>
      <c r="BV59" s="11"/>
      <c r="BW59" s="11"/>
      <c r="BX59" s="11"/>
      <c r="BY59" s="11"/>
      <c r="BZ59" s="11"/>
      <c r="CA59" s="11"/>
      <c r="CB59" s="11"/>
      <c r="CC59" s="11"/>
      <c r="CD59" s="11"/>
    </row>
    <row r="60" ht="12.0" customHeight="1">
      <c r="B60" s="73"/>
      <c r="C60" s="74"/>
      <c r="D60" s="75"/>
      <c r="E60" s="76"/>
      <c r="F60" s="75"/>
      <c r="G60" s="76"/>
      <c r="H60" s="75"/>
      <c r="I60" s="76"/>
      <c r="J60" s="75"/>
      <c r="K60" s="76"/>
      <c r="L60" s="77"/>
      <c r="M60" s="59"/>
      <c r="N60" s="75"/>
      <c r="O60" s="76"/>
      <c r="P60" s="75"/>
      <c r="Q60" s="76"/>
      <c r="R60" s="75"/>
      <c r="S60" s="76"/>
      <c r="T60" s="75"/>
      <c r="U60" s="76"/>
      <c r="V60" s="77"/>
      <c r="W60" s="59"/>
      <c r="X60" s="75"/>
      <c r="Y60" s="76"/>
      <c r="Z60" s="75"/>
      <c r="AA60" s="76"/>
      <c r="AB60" s="75"/>
      <c r="AC60" s="76"/>
      <c r="AD60" s="75"/>
      <c r="AE60" s="76"/>
      <c r="AF60" s="77"/>
      <c r="AG60" s="59"/>
      <c r="AH60" s="75"/>
      <c r="AI60" s="76"/>
      <c r="AJ60" s="75"/>
      <c r="AK60" s="76"/>
      <c r="AL60" s="75"/>
      <c r="AM60" s="76"/>
      <c r="AN60" s="75"/>
      <c r="AO60" s="76"/>
      <c r="AP60" s="77"/>
      <c r="AQ60" s="59"/>
      <c r="AR60" s="75"/>
      <c r="AS60" s="76"/>
      <c r="AT60" s="75"/>
      <c r="AU60" s="76"/>
      <c r="AV60" s="75"/>
      <c r="AW60" s="76"/>
      <c r="AX60" s="75"/>
      <c r="AY60" s="76"/>
      <c r="AZ60" s="77"/>
      <c r="BA60" s="59"/>
      <c r="BB60" s="75"/>
      <c r="BC60" s="76"/>
      <c r="BD60" s="75"/>
      <c r="BE60" s="76"/>
      <c r="BF60" s="75"/>
      <c r="BG60" s="76"/>
      <c r="BH60" s="75"/>
      <c r="BI60" s="76"/>
      <c r="BP60" s="34"/>
      <c r="BQ60" s="11"/>
      <c r="BR60" s="11"/>
      <c r="BS60" s="11"/>
      <c r="BT60" s="11"/>
      <c r="BU60" s="11"/>
      <c r="BV60" s="11"/>
      <c r="BW60" s="11"/>
      <c r="BX60" s="11"/>
      <c r="BY60" s="11"/>
      <c r="BZ60" s="11"/>
      <c r="CA60" s="11"/>
      <c r="CB60" s="11"/>
      <c r="CC60" s="11"/>
      <c r="CD60" s="11"/>
    </row>
    <row r="61" ht="12.0" customHeight="1">
      <c r="B61" s="54">
        <v>3.0</v>
      </c>
      <c r="C61" s="55"/>
      <c r="D61" s="56"/>
      <c r="E61" s="57"/>
      <c r="F61" s="56"/>
      <c r="G61" s="57"/>
      <c r="H61" s="56"/>
      <c r="I61" s="57"/>
      <c r="J61" s="56"/>
      <c r="K61" s="57"/>
      <c r="L61" s="58"/>
      <c r="M61" s="59"/>
      <c r="N61" s="56"/>
      <c r="O61" s="57"/>
      <c r="P61" s="56"/>
      <c r="Q61" s="57"/>
      <c r="R61" s="56"/>
      <c r="S61" s="57"/>
      <c r="T61" s="56"/>
      <c r="U61" s="57"/>
      <c r="V61" s="58"/>
      <c r="W61" s="59"/>
      <c r="X61" s="56"/>
      <c r="Y61" s="57"/>
      <c r="Z61" s="56"/>
      <c r="AA61" s="57"/>
      <c r="AB61" s="56"/>
      <c r="AC61" s="57"/>
      <c r="AD61" s="56"/>
      <c r="AE61" s="57"/>
      <c r="AF61" s="58"/>
      <c r="AG61" s="59"/>
      <c r="AH61" s="56"/>
      <c r="AI61" s="57"/>
      <c r="AJ61" s="56"/>
      <c r="AK61" s="57"/>
      <c r="AL61" s="56"/>
      <c r="AM61" s="57"/>
      <c r="AN61" s="56"/>
      <c r="AO61" s="57"/>
      <c r="AP61" s="58"/>
      <c r="AQ61" s="59"/>
      <c r="AR61" s="56"/>
      <c r="AS61" s="57"/>
      <c r="AT61" s="56"/>
      <c r="AU61" s="57"/>
      <c r="AV61" s="56"/>
      <c r="AW61" s="57"/>
      <c r="AX61" s="56"/>
      <c r="AY61" s="57"/>
      <c r="AZ61" s="123"/>
      <c r="BA61" s="59"/>
      <c r="BB61" s="56"/>
      <c r="BC61" s="57"/>
      <c r="BD61" s="56"/>
      <c r="BE61" s="57"/>
      <c r="BF61" s="56"/>
      <c r="BG61" s="57"/>
      <c r="BH61" s="56"/>
      <c r="BI61" s="57"/>
      <c r="BP61" s="34"/>
      <c r="BQ61" s="11"/>
      <c r="BR61" s="11"/>
      <c r="BS61" s="11"/>
      <c r="BT61" s="11"/>
      <c r="BU61" s="11"/>
      <c r="BV61" s="11"/>
      <c r="BW61" s="11"/>
      <c r="BX61" s="11"/>
      <c r="BY61" s="11"/>
      <c r="BZ61" s="11"/>
      <c r="CA61" s="11"/>
      <c r="CB61" s="11"/>
      <c r="CC61" s="11"/>
      <c r="CD61" s="11"/>
    </row>
    <row r="62" ht="12.0" customHeight="1">
      <c r="B62" s="73"/>
      <c r="C62" s="74"/>
      <c r="D62" s="75"/>
      <c r="E62" s="76"/>
      <c r="F62" s="75"/>
      <c r="G62" s="76"/>
      <c r="H62" s="75"/>
      <c r="I62" s="76"/>
      <c r="J62" s="75"/>
      <c r="K62" s="76"/>
      <c r="L62" s="77"/>
      <c r="M62" s="59"/>
      <c r="N62" s="75"/>
      <c r="O62" s="76"/>
      <c r="P62" s="75"/>
      <c r="Q62" s="76"/>
      <c r="R62" s="75"/>
      <c r="S62" s="76"/>
      <c r="T62" s="75"/>
      <c r="U62" s="76"/>
      <c r="V62" s="77"/>
      <c r="W62" s="59"/>
      <c r="X62" s="75"/>
      <c r="Y62" s="76"/>
      <c r="Z62" s="75"/>
      <c r="AA62" s="76"/>
      <c r="AB62" s="75"/>
      <c r="AC62" s="76"/>
      <c r="AD62" s="75"/>
      <c r="AE62" s="76"/>
      <c r="AF62" s="77"/>
      <c r="AG62" s="59"/>
      <c r="AH62" s="75"/>
      <c r="AI62" s="76"/>
      <c r="AJ62" s="75"/>
      <c r="AK62" s="76"/>
      <c r="AL62" s="75"/>
      <c r="AM62" s="76"/>
      <c r="AN62" s="75"/>
      <c r="AO62" s="76"/>
      <c r="AP62" s="77"/>
      <c r="AQ62" s="59"/>
      <c r="AR62" s="75"/>
      <c r="AS62" s="76"/>
      <c r="AT62" s="75"/>
      <c r="AU62" s="76"/>
      <c r="AV62" s="75"/>
      <c r="AW62" s="76"/>
      <c r="AX62" s="75"/>
      <c r="AY62" s="76"/>
      <c r="AZ62" s="77"/>
      <c r="BA62" s="59"/>
      <c r="BB62" s="75"/>
      <c r="BC62" s="76"/>
      <c r="BD62" s="75"/>
      <c r="BE62" s="76"/>
      <c r="BF62" s="75"/>
      <c r="BG62" s="76"/>
      <c r="BH62" s="75"/>
      <c r="BI62" s="76"/>
      <c r="BP62" s="34"/>
      <c r="BQ62" s="11"/>
      <c r="BR62" s="11"/>
      <c r="BS62" s="11"/>
      <c r="BT62" s="11"/>
      <c r="BU62" s="11"/>
      <c r="BV62" s="11"/>
      <c r="BW62" s="11"/>
      <c r="BX62" s="11"/>
      <c r="BY62" s="11"/>
      <c r="BZ62" s="11"/>
      <c r="CA62" s="11"/>
      <c r="CB62" s="11"/>
      <c r="CC62" s="11"/>
      <c r="CD62" s="11"/>
    </row>
    <row r="63" ht="12.0" customHeight="1">
      <c r="B63" s="54">
        <v>2.0</v>
      </c>
      <c r="C63" s="55"/>
      <c r="D63" s="56"/>
      <c r="E63" s="57"/>
      <c r="F63" s="56"/>
      <c r="G63" s="57"/>
      <c r="H63" s="56"/>
      <c r="I63" s="57"/>
      <c r="J63" s="56"/>
      <c r="K63" s="57"/>
      <c r="L63" s="58"/>
      <c r="M63" s="59"/>
      <c r="N63" s="56"/>
      <c r="O63" s="57"/>
      <c r="P63" s="56"/>
      <c r="Q63" s="57"/>
      <c r="R63" s="56"/>
      <c r="S63" s="57"/>
      <c r="T63" s="56"/>
      <c r="U63" s="57"/>
      <c r="V63" s="58"/>
      <c r="W63" s="59"/>
      <c r="X63" s="56"/>
      <c r="Y63" s="57"/>
      <c r="Z63" s="56"/>
      <c r="AA63" s="57"/>
      <c r="AB63" s="56"/>
      <c r="AC63" s="57"/>
      <c r="AD63" s="56"/>
      <c r="AE63" s="57"/>
      <c r="AF63" s="58"/>
      <c r="AG63" s="59"/>
      <c r="AH63" s="56"/>
      <c r="AI63" s="57"/>
      <c r="AJ63" s="56"/>
      <c r="AK63" s="57"/>
      <c r="AL63" s="56"/>
      <c r="AM63" s="57"/>
      <c r="AN63" s="56"/>
      <c r="AO63" s="57"/>
      <c r="AP63" s="58"/>
      <c r="AQ63" s="59"/>
      <c r="AR63" s="56"/>
      <c r="AS63" s="57"/>
      <c r="AT63" s="56"/>
      <c r="AU63" s="57"/>
      <c r="AV63" s="56"/>
      <c r="AW63" s="57"/>
      <c r="AX63" s="56"/>
      <c r="AY63" s="57"/>
      <c r="AZ63" s="123"/>
      <c r="BA63" s="59"/>
      <c r="BB63" s="56"/>
      <c r="BC63" s="57"/>
      <c r="BD63" s="56"/>
      <c r="BE63" s="57"/>
      <c r="BF63" s="56"/>
      <c r="BG63" s="57"/>
      <c r="BH63" s="56"/>
      <c r="BI63" s="57"/>
      <c r="BP63" s="34"/>
      <c r="BQ63" s="11"/>
      <c r="BR63" s="11"/>
      <c r="BS63" s="11"/>
      <c r="BT63" s="11"/>
      <c r="BU63" s="11"/>
      <c r="BV63" s="11"/>
      <c r="BW63" s="11"/>
      <c r="BX63" s="11"/>
      <c r="BY63" s="11"/>
      <c r="BZ63" s="11"/>
      <c r="CA63" s="11"/>
      <c r="CB63" s="11"/>
      <c r="CC63" s="11"/>
      <c r="CD63" s="11"/>
    </row>
    <row r="64" ht="12.0" customHeight="1">
      <c r="B64" s="73"/>
      <c r="C64" s="74"/>
      <c r="D64" s="75"/>
      <c r="E64" s="76"/>
      <c r="F64" s="75"/>
      <c r="G64" s="76"/>
      <c r="H64" s="75"/>
      <c r="I64" s="76"/>
      <c r="J64" s="75"/>
      <c r="K64" s="76"/>
      <c r="L64" s="77"/>
      <c r="M64" s="59"/>
      <c r="N64" s="75"/>
      <c r="O64" s="76"/>
      <c r="P64" s="75"/>
      <c r="Q64" s="76"/>
      <c r="R64" s="75"/>
      <c r="S64" s="76"/>
      <c r="T64" s="75"/>
      <c r="U64" s="76"/>
      <c r="V64" s="77"/>
      <c r="W64" s="59"/>
      <c r="X64" s="75"/>
      <c r="Y64" s="76"/>
      <c r="Z64" s="75"/>
      <c r="AA64" s="76"/>
      <c r="AB64" s="75"/>
      <c r="AC64" s="76"/>
      <c r="AD64" s="75"/>
      <c r="AE64" s="76"/>
      <c r="AF64" s="77"/>
      <c r="AG64" s="59"/>
      <c r="AH64" s="75"/>
      <c r="AI64" s="76"/>
      <c r="AJ64" s="75"/>
      <c r="AK64" s="76"/>
      <c r="AL64" s="75"/>
      <c r="AM64" s="76"/>
      <c r="AN64" s="75"/>
      <c r="AO64" s="76"/>
      <c r="AP64" s="77"/>
      <c r="AQ64" s="59"/>
      <c r="AR64" s="75"/>
      <c r="AS64" s="76"/>
      <c r="AT64" s="75"/>
      <c r="AU64" s="76"/>
      <c r="AV64" s="75"/>
      <c r="AW64" s="76"/>
      <c r="AX64" s="75"/>
      <c r="AY64" s="76"/>
      <c r="AZ64" s="77"/>
      <c r="BA64" s="59"/>
      <c r="BB64" s="75"/>
      <c r="BC64" s="76"/>
      <c r="BD64" s="75"/>
      <c r="BE64" s="76"/>
      <c r="BF64" s="75"/>
      <c r="BG64" s="76"/>
      <c r="BH64" s="75"/>
      <c r="BI64" s="76"/>
      <c r="BP64" s="34"/>
      <c r="BQ64" s="11"/>
      <c r="BR64" s="11"/>
      <c r="BS64" s="11"/>
      <c r="BT64" s="11"/>
      <c r="BU64" s="11"/>
      <c r="BV64" s="11"/>
      <c r="BW64" s="11"/>
      <c r="BX64" s="11"/>
      <c r="BY64" s="11"/>
      <c r="BZ64" s="11"/>
      <c r="CA64" s="11"/>
      <c r="CB64" s="11"/>
      <c r="CC64" s="11"/>
      <c r="CD64" s="11"/>
    </row>
    <row r="65" ht="12.0" customHeight="1">
      <c r="B65" s="54">
        <v>1.0</v>
      </c>
      <c r="C65" s="55"/>
      <c r="D65" s="56"/>
      <c r="E65" s="57"/>
      <c r="F65" s="56"/>
      <c r="G65" s="57"/>
      <c r="H65" s="56"/>
      <c r="I65" s="57"/>
      <c r="J65" s="56"/>
      <c r="K65" s="57"/>
      <c r="L65" s="58"/>
      <c r="M65" s="59"/>
      <c r="N65" s="56"/>
      <c r="O65" s="57"/>
      <c r="P65" s="56"/>
      <c r="Q65" s="57"/>
      <c r="R65" s="56"/>
      <c r="S65" s="57"/>
      <c r="T65" s="56"/>
      <c r="U65" s="57"/>
      <c r="V65" s="58"/>
      <c r="W65" s="59"/>
      <c r="X65" s="56"/>
      <c r="Y65" s="57"/>
      <c r="Z65" s="56"/>
      <c r="AA65" s="57"/>
      <c r="AB65" s="56"/>
      <c r="AC65" s="57"/>
      <c r="AD65" s="56"/>
      <c r="AE65" s="57"/>
      <c r="AF65" s="58"/>
      <c r="AG65" s="59"/>
      <c r="AH65" s="56"/>
      <c r="AI65" s="57"/>
      <c r="AJ65" s="56"/>
      <c r="AK65" s="57"/>
      <c r="AL65" s="56"/>
      <c r="AM65" s="57"/>
      <c r="AN65" s="56"/>
      <c r="AO65" s="57"/>
      <c r="AP65" s="58"/>
      <c r="AQ65" s="59"/>
      <c r="AR65" s="56"/>
      <c r="AS65" s="57"/>
      <c r="AT65" s="56"/>
      <c r="AU65" s="57"/>
      <c r="AV65" s="56"/>
      <c r="AW65" s="57"/>
      <c r="AX65" s="56"/>
      <c r="AY65" s="57"/>
      <c r="AZ65" s="58"/>
      <c r="BA65" s="59"/>
      <c r="BB65" s="56"/>
      <c r="BC65" s="57"/>
      <c r="BD65" s="56"/>
      <c r="BE65" s="57"/>
      <c r="BF65" s="56"/>
      <c r="BG65" s="57"/>
      <c r="BH65" s="56"/>
      <c r="BI65" s="57"/>
      <c r="BP65" s="34"/>
      <c r="BQ65" s="11"/>
      <c r="BR65" s="11"/>
      <c r="BS65" s="11"/>
      <c r="BT65" s="11"/>
      <c r="BU65" s="11"/>
      <c r="BV65" s="11"/>
      <c r="BW65" s="11"/>
      <c r="BX65" s="11"/>
      <c r="BY65" s="11"/>
      <c r="BZ65" s="11"/>
      <c r="CA65" s="11"/>
      <c r="CB65" s="11"/>
      <c r="CC65" s="11"/>
      <c r="CD65" s="11"/>
    </row>
    <row r="66" ht="12.0" customHeight="1">
      <c r="B66" s="73"/>
      <c r="C66" s="87"/>
      <c r="D66" s="88"/>
      <c r="E66" s="89"/>
      <c r="F66" s="88"/>
      <c r="G66" s="89"/>
      <c r="H66" s="88"/>
      <c r="I66" s="89"/>
      <c r="J66" s="88"/>
      <c r="K66" s="89"/>
      <c r="L66" s="88"/>
      <c r="M66" s="89"/>
      <c r="N66" s="88"/>
      <c r="O66" s="89"/>
      <c r="P66" s="88"/>
      <c r="Q66" s="89"/>
      <c r="R66" s="88"/>
      <c r="S66" s="89"/>
      <c r="T66" s="88"/>
      <c r="U66" s="89"/>
      <c r="V66" s="88"/>
      <c r="W66" s="89"/>
      <c r="X66" s="88"/>
      <c r="Y66" s="89"/>
      <c r="Z66" s="88"/>
      <c r="AA66" s="89"/>
      <c r="AB66" s="88"/>
      <c r="AC66" s="89"/>
      <c r="AD66" s="88"/>
      <c r="AE66" s="89"/>
      <c r="AF66" s="88"/>
      <c r="AG66" s="89"/>
      <c r="AH66" s="88"/>
      <c r="AI66" s="89"/>
      <c r="AJ66" s="88"/>
      <c r="AK66" s="89"/>
      <c r="AL66" s="88"/>
      <c r="AM66" s="89"/>
      <c r="AN66" s="88"/>
      <c r="AO66" s="89"/>
      <c r="AP66" s="88"/>
      <c r="AQ66" s="89"/>
      <c r="AR66" s="88"/>
      <c r="AS66" s="89"/>
      <c r="AT66" s="88"/>
      <c r="AU66" s="89"/>
      <c r="AV66" s="88"/>
      <c r="AW66" s="89"/>
      <c r="AX66" s="88"/>
      <c r="AY66" s="89"/>
      <c r="AZ66" s="88"/>
      <c r="BA66" s="89"/>
      <c r="BB66" s="88"/>
      <c r="BC66" s="89"/>
      <c r="BD66" s="88"/>
      <c r="BE66" s="89"/>
      <c r="BF66" s="88"/>
      <c r="BG66" s="89"/>
      <c r="BH66" s="88"/>
      <c r="BI66" s="89"/>
      <c r="BP66" s="34"/>
      <c r="BQ66" s="11"/>
      <c r="BR66" s="11"/>
      <c r="BS66" s="11"/>
      <c r="BT66" s="11"/>
      <c r="BU66" s="11"/>
      <c r="BV66" s="11"/>
      <c r="BW66" s="11"/>
      <c r="BX66" s="11"/>
      <c r="BY66" s="11"/>
      <c r="BZ66" s="11"/>
      <c r="CA66" s="11"/>
      <c r="CB66" s="11"/>
      <c r="CC66" s="11"/>
      <c r="CD66" s="11"/>
    </row>
    <row r="67" ht="12.0" customHeight="1">
      <c r="D67" s="90">
        <v>1.0</v>
      </c>
      <c r="E67" s="91"/>
      <c r="F67" s="90">
        <v>2.0</v>
      </c>
      <c r="G67" s="91"/>
      <c r="H67" s="90">
        <v>3.0</v>
      </c>
      <c r="I67" s="91"/>
      <c r="J67" s="90">
        <v>4.0</v>
      </c>
      <c r="K67" s="91"/>
      <c r="N67" s="90">
        <v>1.0</v>
      </c>
      <c r="O67" s="91"/>
      <c r="P67" s="90">
        <v>2.0</v>
      </c>
      <c r="Q67" s="91"/>
      <c r="R67" s="90">
        <v>3.0</v>
      </c>
      <c r="S67" s="91"/>
      <c r="T67" s="90">
        <v>4.0</v>
      </c>
      <c r="U67" s="91"/>
      <c r="X67" s="90">
        <v>1.0</v>
      </c>
      <c r="Y67" s="91"/>
      <c r="Z67" s="90">
        <v>2.0</v>
      </c>
      <c r="AA67" s="91"/>
      <c r="AB67" s="90">
        <v>3.0</v>
      </c>
      <c r="AC67" s="91"/>
      <c r="AD67" s="90">
        <v>4.0</v>
      </c>
      <c r="AE67" s="91"/>
      <c r="AH67" s="90">
        <v>1.0</v>
      </c>
      <c r="AI67" s="91"/>
      <c r="AJ67" s="90">
        <v>2.0</v>
      </c>
      <c r="AK67" s="91"/>
      <c r="AL67" s="90">
        <v>3.0</v>
      </c>
      <c r="AM67" s="91"/>
      <c r="AN67" s="90">
        <v>4.0</v>
      </c>
      <c r="AO67" s="91"/>
      <c r="AR67" s="90">
        <v>1.0</v>
      </c>
      <c r="AS67" s="91"/>
      <c r="AT67" s="90">
        <v>2.0</v>
      </c>
      <c r="AU67" s="91"/>
      <c r="AV67" s="90">
        <v>3.0</v>
      </c>
      <c r="AW67" s="91"/>
      <c r="AX67" s="90">
        <v>4.0</v>
      </c>
      <c r="AY67" s="91"/>
      <c r="BB67" s="90">
        <v>1.0</v>
      </c>
      <c r="BC67" s="91"/>
      <c r="BD67" s="90">
        <v>2.0</v>
      </c>
      <c r="BE67" s="91"/>
      <c r="BF67" s="90">
        <v>3.0</v>
      </c>
      <c r="BG67" s="91"/>
      <c r="BH67" s="90">
        <v>4.0</v>
      </c>
      <c r="BI67" s="91"/>
      <c r="BP67" s="34"/>
      <c r="BQ67" s="11"/>
      <c r="BR67" s="11"/>
      <c r="BS67" s="11"/>
      <c r="BT67" s="11"/>
      <c r="BU67" s="11"/>
      <c r="BV67" s="11"/>
      <c r="BW67" s="11"/>
      <c r="BX67" s="11"/>
      <c r="BY67" s="11"/>
      <c r="BZ67" s="11"/>
      <c r="CA67" s="11"/>
      <c r="CB67" s="11"/>
      <c r="CC67" s="11"/>
      <c r="CD67" s="11"/>
    </row>
    <row r="68" ht="12.0" customHeight="1">
      <c r="BP68" s="34"/>
      <c r="BQ68" s="11"/>
      <c r="BR68" s="11"/>
      <c r="BS68" s="11"/>
      <c r="BT68" s="11"/>
      <c r="BU68" s="11"/>
      <c r="BV68" s="11"/>
      <c r="BW68" s="11"/>
      <c r="BX68" s="11"/>
      <c r="BY68" s="11"/>
      <c r="BZ68" s="11"/>
      <c r="CA68" s="11"/>
      <c r="CB68" s="11"/>
      <c r="CC68" s="11"/>
      <c r="CD68" s="11"/>
    </row>
    <row r="69" ht="12.0" customHeight="1">
      <c r="BP69" s="34"/>
      <c r="BQ69" s="11"/>
      <c r="BR69" s="11"/>
      <c r="BS69" s="11"/>
      <c r="BT69" s="11"/>
      <c r="BU69" s="11"/>
      <c r="BV69" s="11"/>
      <c r="BW69" s="11"/>
      <c r="BX69" s="11"/>
      <c r="BY69" s="11"/>
      <c r="BZ69" s="11"/>
      <c r="CA69" s="11"/>
      <c r="CB69" s="11"/>
      <c r="CC69" s="11"/>
      <c r="CD69" s="11"/>
    </row>
    <row r="70" ht="12.0" customHeight="1">
      <c r="BP70" s="34"/>
      <c r="BQ70" s="11"/>
      <c r="BR70" s="11"/>
      <c r="BS70" s="11"/>
      <c r="BT70" s="11"/>
      <c r="BU70" s="11"/>
      <c r="BV70" s="11"/>
      <c r="BW70" s="11"/>
      <c r="BX70" s="11"/>
      <c r="BY70" s="11"/>
      <c r="BZ70" s="11"/>
      <c r="CA70" s="11"/>
      <c r="CB70" s="11"/>
      <c r="CC70" s="11"/>
      <c r="CD70" s="11"/>
    </row>
    <row r="71" ht="12.0" customHeight="1">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row>
    <row r="72" ht="12.0" customHeight="1">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row>
    <row r="73" ht="12.0" customHeight="1">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ht="12.0" customHeight="1">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ht="12.0" customHeight="1">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ht="12.0" customHeight="1">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ht="12.0" customHeight="1">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ht="12.0" customHeight="1">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ht="12.0" customHeight="1">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ht="12.0" customHeight="1">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ht="12.0" customHeight="1">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ht="12.0"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11"/>
      <c r="BQ82" s="11"/>
      <c r="BR82" s="11"/>
      <c r="BS82" s="11"/>
      <c r="BT82" s="11"/>
      <c r="BU82" s="11"/>
      <c r="BV82" s="11"/>
      <c r="BW82" s="11"/>
      <c r="BX82" s="11"/>
      <c r="BY82" s="11"/>
      <c r="BZ82" s="11"/>
      <c r="CA82" s="11"/>
      <c r="CB82" s="11"/>
      <c r="CC82" s="11"/>
      <c r="CD82" s="11"/>
    </row>
    <row r="83" ht="12.0"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11"/>
      <c r="BQ83" s="11"/>
      <c r="BR83" s="11"/>
      <c r="BS83" s="11"/>
      <c r="BT83" s="11"/>
      <c r="BU83" s="11"/>
      <c r="BV83" s="11"/>
      <c r="BW83" s="11"/>
      <c r="BX83" s="11"/>
      <c r="BY83" s="11"/>
      <c r="BZ83" s="11"/>
      <c r="CA83" s="11"/>
      <c r="CB83" s="11"/>
      <c r="CC83" s="11"/>
      <c r="CD83" s="11"/>
    </row>
    <row r="84" ht="12.0"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11"/>
      <c r="BQ84" s="11"/>
      <c r="BR84" s="11"/>
      <c r="BS84" s="11"/>
      <c r="BT84" s="11"/>
      <c r="BU84" s="11"/>
      <c r="BV84" s="11"/>
      <c r="BW84" s="11"/>
      <c r="BX84" s="11"/>
      <c r="BY84" s="11"/>
      <c r="BZ84" s="11"/>
      <c r="CA84" s="11"/>
      <c r="CB84" s="11"/>
      <c r="CC84" s="11"/>
      <c r="CD84" s="11"/>
    </row>
    <row r="85" ht="12.0"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11"/>
      <c r="BQ85" s="11"/>
      <c r="BR85" s="11"/>
      <c r="BS85" s="11"/>
      <c r="BT85" s="11"/>
      <c r="BU85" s="11"/>
      <c r="BV85" s="11"/>
      <c r="BW85" s="11"/>
      <c r="BX85" s="11"/>
      <c r="BY85" s="11"/>
      <c r="BZ85" s="11"/>
      <c r="CA85" s="11"/>
      <c r="CB85" s="11"/>
      <c r="CC85" s="11"/>
      <c r="CD85" s="11"/>
    </row>
    <row r="86" ht="12.0"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11"/>
      <c r="BQ86" s="11"/>
      <c r="BR86" s="11"/>
      <c r="BS86" s="11"/>
      <c r="BT86" s="11"/>
      <c r="BU86" s="11"/>
      <c r="BV86" s="11"/>
      <c r="BW86" s="11"/>
      <c r="BX86" s="11"/>
      <c r="BY86" s="11"/>
      <c r="BZ86" s="11"/>
      <c r="CA86" s="11"/>
      <c r="CB86" s="11"/>
      <c r="CC86" s="11"/>
      <c r="CD86" s="11"/>
    </row>
    <row r="87" ht="12.0"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11"/>
      <c r="BQ87" s="11"/>
      <c r="BR87" s="11"/>
      <c r="BS87" s="11"/>
      <c r="BT87" s="11"/>
      <c r="BU87" s="11"/>
      <c r="BV87" s="11"/>
      <c r="BW87" s="11"/>
      <c r="BX87" s="11"/>
      <c r="BY87" s="11"/>
      <c r="BZ87" s="11"/>
      <c r="CA87" s="11"/>
      <c r="CB87" s="11"/>
      <c r="CC87" s="11"/>
      <c r="CD87" s="11"/>
    </row>
    <row r="88" ht="12.0"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11"/>
      <c r="BQ88" s="11"/>
      <c r="BR88" s="11"/>
      <c r="BS88" s="11"/>
      <c r="BT88" s="11"/>
      <c r="BU88" s="11"/>
      <c r="BV88" s="11"/>
      <c r="BW88" s="11"/>
      <c r="BX88" s="11"/>
      <c r="BY88" s="11"/>
      <c r="BZ88" s="11"/>
      <c r="CA88" s="11"/>
      <c r="CB88" s="11"/>
      <c r="CC88" s="11"/>
      <c r="CD88" s="11"/>
    </row>
    <row r="89" ht="12.0"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11"/>
      <c r="BQ89" s="11"/>
      <c r="BR89" s="11"/>
      <c r="BS89" s="11"/>
      <c r="BT89" s="11"/>
      <c r="BU89" s="11"/>
      <c r="BV89" s="11"/>
      <c r="BW89" s="11"/>
      <c r="BX89" s="11"/>
      <c r="BY89" s="11"/>
      <c r="BZ89" s="11"/>
      <c r="CA89" s="11"/>
      <c r="CB89" s="11"/>
      <c r="CC89" s="11"/>
      <c r="CD89" s="11"/>
    </row>
    <row r="90" ht="12.0"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11"/>
      <c r="BQ90" s="11"/>
      <c r="BR90" s="11"/>
      <c r="BS90" s="11"/>
      <c r="BT90" s="11"/>
      <c r="BU90" s="11"/>
      <c r="BV90" s="11"/>
      <c r="BW90" s="11"/>
      <c r="BX90" s="11"/>
      <c r="BY90" s="11"/>
      <c r="BZ90" s="11"/>
      <c r="CA90" s="11"/>
      <c r="CB90" s="11"/>
      <c r="CC90" s="11"/>
      <c r="CD90" s="11"/>
    </row>
    <row r="91" ht="12.0"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11"/>
      <c r="BQ91" s="11"/>
      <c r="BR91" s="11"/>
      <c r="BS91" s="11"/>
      <c r="BT91" s="11"/>
      <c r="BU91" s="11"/>
      <c r="BV91" s="11"/>
      <c r="BW91" s="11"/>
      <c r="BX91" s="11"/>
      <c r="BY91" s="11"/>
      <c r="BZ91" s="11"/>
      <c r="CA91" s="11"/>
      <c r="CB91" s="11"/>
      <c r="CC91" s="11"/>
      <c r="CD91" s="11"/>
    </row>
    <row r="92" ht="12.0"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11"/>
      <c r="BQ92" s="11"/>
      <c r="BR92" s="11"/>
      <c r="BS92" s="11"/>
      <c r="BT92" s="11"/>
      <c r="BU92" s="11"/>
      <c r="BV92" s="11"/>
      <c r="BW92" s="11"/>
      <c r="BX92" s="11"/>
      <c r="BY92" s="11"/>
      <c r="BZ92" s="11"/>
      <c r="CA92" s="11"/>
      <c r="CB92" s="11"/>
      <c r="CC92" s="11"/>
      <c r="CD92" s="11"/>
    </row>
    <row r="93" ht="12.0"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11"/>
      <c r="BQ93" s="11"/>
      <c r="BR93" s="11"/>
      <c r="BS93" s="11"/>
      <c r="BT93" s="11"/>
      <c r="BU93" s="11"/>
      <c r="BV93" s="11"/>
      <c r="BW93" s="11"/>
      <c r="BX93" s="11"/>
      <c r="BY93" s="11"/>
      <c r="BZ93" s="11"/>
      <c r="CA93" s="11"/>
      <c r="CB93" s="11"/>
      <c r="CC93" s="11"/>
      <c r="CD93" s="11"/>
    </row>
    <row r="94" ht="12.0"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11"/>
      <c r="BQ94" s="11"/>
      <c r="BR94" s="11"/>
      <c r="BS94" s="11"/>
      <c r="BT94" s="11"/>
      <c r="BU94" s="11"/>
      <c r="BV94" s="11"/>
      <c r="BW94" s="11"/>
      <c r="BX94" s="11"/>
      <c r="BY94" s="11"/>
      <c r="BZ94" s="11"/>
      <c r="CA94" s="11"/>
      <c r="CB94" s="11"/>
      <c r="CC94" s="11"/>
      <c r="CD94" s="11"/>
    </row>
    <row r="95" ht="12.0"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11"/>
      <c r="BQ95" s="11"/>
      <c r="BR95" s="11"/>
      <c r="BS95" s="11"/>
      <c r="BT95" s="11"/>
      <c r="BU95" s="11"/>
      <c r="BV95" s="11"/>
      <c r="BW95" s="11"/>
      <c r="BX95" s="11"/>
      <c r="BY95" s="11"/>
      <c r="BZ95" s="11"/>
      <c r="CA95" s="11"/>
      <c r="CB95" s="11"/>
      <c r="CC95" s="11"/>
      <c r="CD95" s="11"/>
    </row>
    <row r="96" ht="12.0"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11"/>
      <c r="BQ96" s="11"/>
      <c r="BR96" s="11"/>
      <c r="BS96" s="11"/>
      <c r="BT96" s="11"/>
      <c r="BU96" s="11"/>
      <c r="BV96" s="11"/>
      <c r="BW96" s="11"/>
      <c r="BX96" s="11"/>
      <c r="BY96" s="11"/>
      <c r="BZ96" s="11"/>
      <c r="CA96" s="11"/>
      <c r="CB96" s="11"/>
      <c r="CC96" s="11"/>
      <c r="CD96" s="11"/>
    </row>
    <row r="97" ht="12.0"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11"/>
      <c r="BQ97" s="11"/>
      <c r="BR97" s="11"/>
      <c r="BS97" s="11"/>
      <c r="BT97" s="11"/>
      <c r="BU97" s="11"/>
      <c r="BV97" s="11"/>
      <c r="BW97" s="11"/>
      <c r="BX97" s="11"/>
      <c r="BY97" s="11"/>
      <c r="BZ97" s="11"/>
      <c r="CA97" s="11"/>
      <c r="CB97" s="11"/>
      <c r="CC97" s="11"/>
      <c r="CD97" s="11"/>
    </row>
    <row r="98" ht="12.0"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11"/>
      <c r="BQ98" s="11"/>
      <c r="BR98" s="11"/>
      <c r="BS98" s="11"/>
      <c r="BT98" s="11"/>
      <c r="BU98" s="11"/>
      <c r="BV98" s="11"/>
      <c r="BW98" s="11"/>
      <c r="BX98" s="11"/>
      <c r="BY98" s="11"/>
      <c r="BZ98" s="11"/>
      <c r="CA98" s="11"/>
      <c r="CB98" s="11"/>
      <c r="CC98" s="11"/>
      <c r="CD98" s="11"/>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11"/>
      <c r="BQ99" s="11"/>
      <c r="BR99" s="11"/>
      <c r="BS99" s="11"/>
      <c r="BT99" s="11"/>
      <c r="BU99" s="11"/>
      <c r="BV99" s="11"/>
      <c r="BW99" s="11"/>
      <c r="BX99" s="11"/>
      <c r="BY99" s="11"/>
      <c r="BZ99" s="11"/>
      <c r="CA99" s="11"/>
      <c r="CB99" s="11"/>
      <c r="CC99" s="11"/>
      <c r="CD99" s="11"/>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11"/>
      <c r="BQ100" s="11"/>
      <c r="BR100" s="11"/>
      <c r="BS100" s="11"/>
      <c r="BT100" s="11"/>
      <c r="BU100" s="11"/>
      <c r="BV100" s="11"/>
      <c r="BW100" s="11"/>
      <c r="BX100" s="11"/>
      <c r="BY100" s="11"/>
      <c r="BZ100" s="11"/>
      <c r="CA100" s="11"/>
      <c r="CB100" s="11"/>
      <c r="CC100" s="11"/>
      <c r="CD100" s="11"/>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11"/>
      <c r="BQ101" s="11"/>
      <c r="BR101" s="11"/>
      <c r="BS101" s="11"/>
      <c r="BT101" s="11"/>
      <c r="BU101" s="11"/>
      <c r="BV101" s="11"/>
      <c r="BW101" s="11"/>
      <c r="BX101" s="11"/>
      <c r="BY101" s="11"/>
      <c r="BZ101" s="11"/>
      <c r="CA101" s="11"/>
      <c r="CB101" s="11"/>
      <c r="CC101" s="11"/>
      <c r="CD101" s="11"/>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11"/>
      <c r="BQ102" s="11"/>
      <c r="BR102" s="11"/>
      <c r="BS102" s="11"/>
      <c r="BT102" s="11"/>
      <c r="BU102" s="11"/>
      <c r="BV102" s="11"/>
      <c r="BW102" s="11"/>
      <c r="BX102" s="11"/>
      <c r="BY102" s="11"/>
      <c r="BZ102" s="11"/>
      <c r="CA102" s="11"/>
      <c r="CB102" s="11"/>
      <c r="CC102" s="11"/>
      <c r="CD102" s="11"/>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11"/>
      <c r="BQ103" s="11"/>
      <c r="BR103" s="11"/>
      <c r="BS103" s="11"/>
      <c r="BT103" s="11"/>
      <c r="BU103" s="11"/>
      <c r="BV103" s="11"/>
      <c r="BW103" s="11"/>
      <c r="BX103" s="11"/>
      <c r="BY103" s="11"/>
      <c r="BZ103" s="11"/>
      <c r="CA103" s="11"/>
      <c r="CB103" s="11"/>
      <c r="CC103" s="11"/>
      <c r="CD103" s="11"/>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11"/>
      <c r="BQ104" s="11"/>
      <c r="BR104" s="11"/>
      <c r="BS104" s="11"/>
      <c r="BT104" s="11"/>
      <c r="BU104" s="11"/>
      <c r="BV104" s="11"/>
      <c r="BW104" s="11"/>
      <c r="BX104" s="11"/>
      <c r="BY104" s="11"/>
      <c r="BZ104" s="11"/>
      <c r="CA104" s="11"/>
      <c r="CB104" s="11"/>
      <c r="CC104" s="11"/>
      <c r="CD104" s="11"/>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11"/>
      <c r="BQ105" s="11"/>
      <c r="BR105" s="11"/>
      <c r="BS105" s="11"/>
      <c r="BT105" s="11"/>
      <c r="BU105" s="11"/>
      <c r="BV105" s="11"/>
      <c r="BW105" s="11"/>
      <c r="BX105" s="11"/>
      <c r="BY105" s="11"/>
      <c r="BZ105" s="11"/>
      <c r="CA105" s="11"/>
      <c r="CB105" s="11"/>
      <c r="CC105" s="11"/>
      <c r="CD105" s="11"/>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11"/>
      <c r="BQ106" s="11"/>
      <c r="BR106" s="11"/>
      <c r="BS106" s="11"/>
      <c r="BT106" s="11"/>
      <c r="BU106" s="11"/>
      <c r="BV106" s="11"/>
      <c r="BW106" s="11"/>
      <c r="BX106" s="11"/>
      <c r="BY106" s="11"/>
      <c r="BZ106" s="11"/>
      <c r="CA106" s="11"/>
      <c r="CB106" s="11"/>
      <c r="CC106" s="11"/>
      <c r="CD106" s="11"/>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11"/>
      <c r="BQ107" s="11"/>
      <c r="BR107" s="11"/>
      <c r="BS107" s="11"/>
      <c r="BT107" s="11"/>
      <c r="BU107" s="11"/>
      <c r="BV107" s="11"/>
      <c r="BW107" s="11"/>
      <c r="BX107" s="11"/>
      <c r="BY107" s="11"/>
      <c r="BZ107" s="11"/>
      <c r="CA107" s="11"/>
      <c r="CB107" s="11"/>
      <c r="CC107" s="11"/>
      <c r="CD107" s="11"/>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11"/>
      <c r="BQ108" s="11"/>
      <c r="BR108" s="11"/>
      <c r="BS108" s="11"/>
      <c r="BT108" s="11"/>
      <c r="BU108" s="11"/>
      <c r="BV108" s="11"/>
      <c r="BW108" s="11"/>
      <c r="BX108" s="11"/>
      <c r="BY108" s="11"/>
      <c r="BZ108" s="11"/>
      <c r="CA108" s="11"/>
      <c r="CB108" s="11"/>
      <c r="CC108" s="11"/>
      <c r="CD108" s="11"/>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11"/>
      <c r="BQ109" s="11"/>
      <c r="BR109" s="11"/>
      <c r="BS109" s="11"/>
      <c r="BT109" s="11"/>
      <c r="BU109" s="11"/>
      <c r="BV109" s="11"/>
      <c r="BW109" s="11"/>
      <c r="BX109" s="11"/>
      <c r="BY109" s="11"/>
      <c r="BZ109" s="11"/>
      <c r="CA109" s="11"/>
      <c r="CB109" s="11"/>
      <c r="CC109" s="11"/>
      <c r="CD109" s="11"/>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11"/>
      <c r="BQ110" s="11"/>
      <c r="BR110" s="11"/>
      <c r="BS110" s="11"/>
      <c r="BT110" s="11"/>
      <c r="BU110" s="11"/>
      <c r="BV110" s="11"/>
      <c r="BW110" s="11"/>
      <c r="BX110" s="11"/>
      <c r="BY110" s="11"/>
      <c r="BZ110" s="11"/>
      <c r="CA110" s="11"/>
      <c r="CB110" s="11"/>
      <c r="CC110" s="11"/>
      <c r="CD110" s="11"/>
    </row>
    <row r="111" ht="15.75" customHeight="1">
      <c r="BP111" s="34"/>
      <c r="BQ111" s="11"/>
      <c r="BR111" s="11"/>
      <c r="BS111" s="11"/>
      <c r="BT111" s="11"/>
      <c r="BU111" s="11"/>
      <c r="BV111" s="11"/>
      <c r="BW111" s="11"/>
      <c r="BX111" s="11"/>
      <c r="BY111" s="11"/>
      <c r="BZ111" s="11"/>
      <c r="CA111" s="11"/>
      <c r="CB111" s="11"/>
      <c r="CC111" s="11"/>
      <c r="CD111" s="11"/>
    </row>
    <row r="112" ht="15.75" customHeight="1">
      <c r="BP112" s="34"/>
      <c r="BQ112" s="11"/>
      <c r="BR112" s="11"/>
      <c r="BS112" s="11"/>
      <c r="BT112" s="11"/>
      <c r="BU112" s="11"/>
      <c r="BV112" s="11"/>
      <c r="BW112" s="11"/>
      <c r="BX112" s="11"/>
      <c r="BY112" s="11"/>
      <c r="BZ112" s="11"/>
      <c r="CA112" s="11"/>
      <c r="CB112" s="11"/>
      <c r="CC112" s="11"/>
      <c r="CD112" s="11"/>
    </row>
    <row r="113" ht="15.75" customHeight="1">
      <c r="BP113" s="34"/>
      <c r="BQ113" s="11"/>
      <c r="BR113" s="11"/>
      <c r="BS113" s="11"/>
      <c r="BT113" s="11"/>
      <c r="BU113" s="11"/>
      <c r="BV113" s="11"/>
      <c r="BW113" s="11"/>
      <c r="BX113" s="11"/>
      <c r="BY113" s="11"/>
      <c r="BZ113" s="11"/>
      <c r="CA113" s="11"/>
      <c r="CB113" s="11"/>
      <c r="CC113" s="11"/>
      <c r="CD113" s="11"/>
    </row>
    <row r="114" ht="15.75" customHeight="1">
      <c r="BP114" s="34"/>
      <c r="BQ114" s="11"/>
      <c r="BR114" s="11"/>
      <c r="BS114" s="11"/>
      <c r="BT114" s="11"/>
      <c r="BU114" s="11"/>
      <c r="BV114" s="11"/>
      <c r="BW114" s="11"/>
      <c r="BX114" s="11"/>
      <c r="BY114" s="11"/>
      <c r="BZ114" s="11"/>
      <c r="CA114" s="11"/>
      <c r="CB114" s="11"/>
      <c r="CC114" s="11"/>
      <c r="CD114" s="11"/>
    </row>
    <row r="115" ht="15.75" customHeight="1">
      <c r="BP115" s="34"/>
      <c r="BQ115" s="11"/>
      <c r="BR115" s="11"/>
      <c r="BS115" s="11"/>
      <c r="BT115" s="11"/>
      <c r="BU115" s="11"/>
      <c r="BV115" s="11"/>
      <c r="BW115" s="11"/>
      <c r="BX115" s="11"/>
      <c r="BY115" s="11"/>
      <c r="BZ115" s="11"/>
      <c r="CA115" s="11"/>
      <c r="CB115" s="11"/>
      <c r="CC115" s="11"/>
      <c r="CD115" s="11"/>
    </row>
    <row r="116" ht="15.75" customHeight="1">
      <c r="BP116" s="34"/>
      <c r="BQ116" s="11"/>
      <c r="BR116" s="11"/>
      <c r="BS116" s="11"/>
      <c r="BT116" s="11"/>
      <c r="BU116" s="11"/>
      <c r="BV116" s="11"/>
      <c r="BW116" s="11"/>
      <c r="BX116" s="11"/>
      <c r="BY116" s="11"/>
      <c r="BZ116" s="11"/>
      <c r="CA116" s="11"/>
      <c r="CB116" s="11"/>
      <c r="CC116" s="11"/>
      <c r="CD116" s="11"/>
    </row>
    <row r="117" ht="15.75" customHeight="1">
      <c r="BP117" s="34"/>
      <c r="BQ117" s="11"/>
      <c r="BR117" s="11"/>
      <c r="BS117" s="11"/>
      <c r="BT117" s="11"/>
      <c r="BU117" s="11"/>
      <c r="BV117" s="11"/>
      <c r="BW117" s="11"/>
      <c r="BX117" s="11"/>
      <c r="BY117" s="11"/>
      <c r="BZ117" s="11"/>
      <c r="CA117" s="11"/>
      <c r="CB117" s="11"/>
      <c r="CC117" s="11"/>
      <c r="CD117" s="11"/>
    </row>
    <row r="118" ht="15.75" customHeight="1">
      <c r="BP118" s="34"/>
      <c r="BQ118" s="11"/>
      <c r="BR118" s="11"/>
      <c r="BS118" s="11"/>
      <c r="BT118" s="11"/>
      <c r="BU118" s="11"/>
      <c r="BV118" s="11"/>
      <c r="BW118" s="11"/>
      <c r="BX118" s="11"/>
      <c r="BY118" s="11"/>
      <c r="BZ118" s="11"/>
      <c r="CA118" s="11"/>
      <c r="CB118" s="11"/>
      <c r="CC118" s="11"/>
      <c r="CD118" s="11"/>
    </row>
    <row r="119" ht="15.75" customHeight="1">
      <c r="BP119" s="34"/>
      <c r="BQ119" s="11"/>
      <c r="BR119" s="11"/>
      <c r="BS119" s="11"/>
      <c r="BT119" s="11"/>
      <c r="BU119" s="11"/>
      <c r="BV119" s="11"/>
      <c r="BW119" s="11"/>
      <c r="BX119" s="11"/>
      <c r="BY119" s="11"/>
      <c r="BZ119" s="11"/>
      <c r="CA119" s="11"/>
      <c r="CB119" s="11"/>
      <c r="CC119" s="11"/>
      <c r="CD119" s="11"/>
    </row>
    <row r="120" ht="15.75" customHeight="1">
      <c r="BP120" s="34"/>
      <c r="BQ120" s="11"/>
      <c r="BR120" s="11"/>
      <c r="BS120" s="11"/>
      <c r="BT120" s="11"/>
      <c r="BU120" s="11"/>
      <c r="BV120" s="11"/>
      <c r="BW120" s="11"/>
      <c r="BX120" s="11"/>
      <c r="BY120" s="11"/>
      <c r="BZ120" s="11"/>
      <c r="CA120" s="11"/>
      <c r="CB120" s="11"/>
      <c r="CC120" s="11"/>
      <c r="CD120" s="11"/>
    </row>
    <row r="121" ht="15.75" customHeight="1">
      <c r="BP121" s="34"/>
      <c r="BQ121" s="11"/>
      <c r="BR121" s="11"/>
      <c r="BS121" s="11"/>
      <c r="BT121" s="11"/>
      <c r="BU121" s="11"/>
      <c r="BV121" s="11"/>
      <c r="BW121" s="11"/>
      <c r="BX121" s="11"/>
      <c r="BY121" s="11"/>
      <c r="BZ121" s="11"/>
      <c r="CA121" s="11"/>
      <c r="CB121" s="11"/>
      <c r="CC121" s="11"/>
      <c r="CD121" s="11"/>
    </row>
    <row r="122" ht="15.75" customHeight="1">
      <c r="BP122" s="34"/>
      <c r="BQ122" s="11"/>
      <c r="BR122" s="11"/>
      <c r="BS122" s="11"/>
      <c r="BT122" s="11"/>
      <c r="BU122" s="11"/>
      <c r="BV122" s="11"/>
      <c r="BW122" s="11"/>
      <c r="BX122" s="11"/>
      <c r="BY122" s="11"/>
      <c r="BZ122" s="11"/>
      <c r="CA122" s="11"/>
      <c r="CB122" s="11"/>
      <c r="CC122" s="11"/>
      <c r="CD122" s="11"/>
    </row>
    <row r="123" ht="15.75" customHeight="1">
      <c r="BP123" s="34"/>
      <c r="BQ123" s="11"/>
      <c r="BR123" s="11"/>
      <c r="BS123" s="11"/>
      <c r="BT123" s="11"/>
      <c r="BU123" s="11"/>
      <c r="BV123" s="11"/>
      <c r="BW123" s="11"/>
      <c r="BX123" s="11"/>
      <c r="BY123" s="11"/>
      <c r="BZ123" s="11"/>
      <c r="CA123" s="11"/>
      <c r="CB123" s="11"/>
      <c r="CC123" s="11"/>
      <c r="CD123" s="11"/>
    </row>
    <row r="124" ht="15.75" customHeight="1">
      <c r="BP124" s="34"/>
      <c r="BQ124" s="11"/>
      <c r="BR124" s="11"/>
      <c r="BS124" s="11"/>
      <c r="BT124" s="11"/>
      <c r="BU124" s="11"/>
      <c r="BV124" s="11"/>
      <c r="BW124" s="11"/>
      <c r="BX124" s="11"/>
      <c r="BY124" s="11"/>
      <c r="BZ124" s="11"/>
      <c r="CA124" s="11"/>
      <c r="CB124" s="11"/>
      <c r="CC124" s="11"/>
      <c r="CD124" s="11"/>
    </row>
    <row r="125" ht="15.75" customHeight="1">
      <c r="BP125" s="34"/>
      <c r="BQ125" s="11"/>
      <c r="BR125" s="11"/>
      <c r="BS125" s="11"/>
      <c r="BT125" s="11"/>
      <c r="BU125" s="11"/>
      <c r="BV125" s="11"/>
      <c r="BW125" s="11"/>
      <c r="BX125" s="11"/>
      <c r="BY125" s="11"/>
      <c r="BZ125" s="11"/>
      <c r="CA125" s="11"/>
      <c r="CB125" s="11"/>
      <c r="CC125" s="11"/>
      <c r="CD125" s="11"/>
    </row>
    <row r="126" ht="15.75" customHeight="1">
      <c r="BP126" s="34"/>
      <c r="BQ126" s="11"/>
      <c r="BR126" s="11"/>
      <c r="BS126" s="11"/>
      <c r="BT126" s="11"/>
      <c r="BU126" s="11"/>
      <c r="BV126" s="11"/>
      <c r="BW126" s="11"/>
      <c r="BX126" s="11"/>
      <c r="BY126" s="11"/>
      <c r="BZ126" s="11"/>
      <c r="CA126" s="11"/>
      <c r="CB126" s="11"/>
      <c r="CC126" s="11"/>
      <c r="CD126" s="11"/>
    </row>
    <row r="127" ht="15.75" customHeight="1">
      <c r="BP127" s="34"/>
      <c r="BQ127" s="11"/>
      <c r="BR127" s="11"/>
      <c r="BS127" s="11"/>
      <c r="BT127" s="11"/>
      <c r="BU127" s="11"/>
      <c r="BV127" s="11"/>
      <c r="BW127" s="11"/>
      <c r="BX127" s="11"/>
      <c r="BY127" s="11"/>
      <c r="BZ127" s="11"/>
      <c r="CA127" s="11"/>
      <c r="CB127" s="11"/>
      <c r="CC127" s="11"/>
      <c r="CD127" s="11"/>
    </row>
    <row r="128" ht="15.75" customHeight="1">
      <c r="BP128" s="34"/>
      <c r="BQ128" s="11"/>
      <c r="BR128" s="11"/>
      <c r="BS128" s="11"/>
      <c r="BT128" s="11"/>
      <c r="BU128" s="11"/>
      <c r="BV128" s="11"/>
      <c r="BW128" s="11"/>
      <c r="BX128" s="11"/>
      <c r="BY128" s="11"/>
      <c r="BZ128" s="11"/>
      <c r="CA128" s="11"/>
      <c r="CB128" s="11"/>
      <c r="CC128" s="11"/>
      <c r="CD128" s="11"/>
    </row>
    <row r="129" ht="15.75" customHeight="1">
      <c r="BP129" s="34"/>
      <c r="BQ129" s="11"/>
      <c r="BR129" s="11"/>
      <c r="BS129" s="11"/>
      <c r="BT129" s="11"/>
      <c r="BU129" s="11"/>
      <c r="BV129" s="11"/>
      <c r="BW129" s="11"/>
      <c r="BX129" s="11"/>
      <c r="BY129" s="11"/>
      <c r="BZ129" s="11"/>
      <c r="CA129" s="11"/>
      <c r="CB129" s="11"/>
      <c r="CC129" s="11"/>
      <c r="CD129" s="11"/>
    </row>
    <row r="130" ht="15.75" customHeight="1">
      <c r="BP130" s="34"/>
      <c r="BQ130" s="11"/>
      <c r="BR130" s="11"/>
      <c r="BS130" s="11"/>
      <c r="BT130" s="11"/>
      <c r="BU130" s="11"/>
      <c r="BV130" s="11"/>
      <c r="BW130" s="11"/>
      <c r="BX130" s="11"/>
      <c r="BY130" s="11"/>
      <c r="BZ130" s="11"/>
      <c r="CA130" s="11"/>
      <c r="CB130" s="11"/>
      <c r="CC130" s="11"/>
      <c r="CD130" s="11"/>
    </row>
    <row r="131" ht="15.75" customHeight="1">
      <c r="BP131" s="34"/>
      <c r="BQ131" s="11"/>
      <c r="BR131" s="11"/>
      <c r="BS131" s="11"/>
      <c r="BT131" s="11"/>
      <c r="BU131" s="11"/>
      <c r="BV131" s="11"/>
      <c r="BW131" s="11"/>
      <c r="BX131" s="11"/>
      <c r="BY131" s="11"/>
      <c r="BZ131" s="11"/>
      <c r="CA131" s="11"/>
      <c r="CB131" s="11"/>
      <c r="CC131" s="11"/>
      <c r="CD131" s="11"/>
    </row>
    <row r="132" ht="15.75" customHeight="1">
      <c r="BP132" s="34"/>
      <c r="BQ132" s="11"/>
      <c r="BR132" s="11"/>
      <c r="BS132" s="11"/>
      <c r="BT132" s="11"/>
      <c r="BU132" s="11"/>
      <c r="BV132" s="11"/>
      <c r="BW132" s="11"/>
      <c r="BX132" s="11"/>
      <c r="BY132" s="11"/>
      <c r="BZ132" s="11"/>
      <c r="CA132" s="11"/>
      <c r="CB132" s="11"/>
      <c r="CC132" s="11"/>
      <c r="CD132" s="11"/>
    </row>
    <row r="133" ht="15.75" customHeight="1">
      <c r="BP133" s="34"/>
      <c r="BQ133" s="11"/>
      <c r="BR133" s="11"/>
      <c r="BS133" s="11"/>
      <c r="BT133" s="11"/>
      <c r="BU133" s="11"/>
      <c r="BV133" s="11"/>
      <c r="BW133" s="11"/>
      <c r="BX133" s="11"/>
      <c r="BY133" s="11"/>
      <c r="BZ133" s="11"/>
      <c r="CA133" s="11"/>
      <c r="CB133" s="11"/>
      <c r="CC133" s="11"/>
      <c r="CD133" s="11"/>
    </row>
    <row r="134" ht="15.75" customHeight="1">
      <c r="BP134" s="34"/>
      <c r="BQ134" s="11"/>
      <c r="BR134" s="11"/>
      <c r="BS134" s="11"/>
      <c r="BT134" s="11"/>
      <c r="BU134" s="11"/>
      <c r="BV134" s="11"/>
      <c r="BW134" s="11"/>
      <c r="BX134" s="11"/>
      <c r="BY134" s="11"/>
      <c r="BZ134" s="11"/>
      <c r="CA134" s="11"/>
      <c r="CB134" s="11"/>
      <c r="CC134" s="11"/>
      <c r="CD134" s="11"/>
    </row>
    <row r="135" ht="15.75" customHeight="1">
      <c r="BP135" s="34"/>
      <c r="BQ135" s="11"/>
      <c r="BR135" s="11"/>
      <c r="BS135" s="11"/>
      <c r="BT135" s="11"/>
      <c r="BU135" s="11"/>
      <c r="BV135" s="11"/>
      <c r="BW135" s="11"/>
      <c r="BX135" s="11"/>
      <c r="BY135" s="11"/>
      <c r="BZ135" s="11"/>
      <c r="CA135" s="11"/>
      <c r="CB135" s="11"/>
      <c r="CC135" s="11"/>
      <c r="CD135" s="11"/>
    </row>
    <row r="136" ht="15.75" customHeight="1">
      <c r="BP136" s="34"/>
      <c r="BQ136" s="11"/>
      <c r="BR136" s="11"/>
      <c r="BS136" s="11"/>
      <c r="BT136" s="11"/>
      <c r="BU136" s="11"/>
      <c r="BV136" s="11"/>
      <c r="BW136" s="11"/>
      <c r="BX136" s="11"/>
      <c r="BY136" s="11"/>
      <c r="BZ136" s="11"/>
      <c r="CA136" s="11"/>
      <c r="CB136" s="11"/>
      <c r="CC136" s="11"/>
      <c r="CD136" s="11"/>
    </row>
    <row r="137" ht="15.75" customHeight="1">
      <c r="BP137" s="34"/>
      <c r="BQ137" s="11"/>
      <c r="BR137" s="11"/>
      <c r="BS137" s="11"/>
      <c r="BT137" s="11"/>
      <c r="BU137" s="11"/>
      <c r="BV137" s="11"/>
      <c r="BW137" s="11"/>
      <c r="BX137" s="11"/>
      <c r="BY137" s="11"/>
      <c r="BZ137" s="11"/>
      <c r="CA137" s="11"/>
      <c r="CB137" s="11"/>
      <c r="CC137" s="11"/>
      <c r="CD137" s="11"/>
    </row>
    <row r="138" ht="15.75" customHeight="1">
      <c r="BP138" s="34"/>
      <c r="BQ138" s="11"/>
      <c r="BR138" s="11"/>
      <c r="BS138" s="11"/>
      <c r="BT138" s="11"/>
      <c r="BU138" s="11"/>
      <c r="BV138" s="11"/>
      <c r="BW138" s="11"/>
      <c r="BX138" s="11"/>
      <c r="BY138" s="11"/>
      <c r="BZ138" s="11"/>
      <c r="CA138" s="11"/>
      <c r="CB138" s="11"/>
      <c r="CC138" s="11"/>
      <c r="CD138" s="11"/>
    </row>
    <row r="139" ht="15.75" customHeight="1">
      <c r="BP139" s="34"/>
      <c r="BQ139" s="11"/>
      <c r="BR139" s="11"/>
      <c r="BS139" s="11"/>
      <c r="BT139" s="11"/>
      <c r="BU139" s="11"/>
      <c r="BV139" s="11"/>
      <c r="BW139" s="11"/>
      <c r="BX139" s="11"/>
      <c r="BY139" s="11"/>
      <c r="BZ139" s="11"/>
      <c r="CA139" s="11"/>
      <c r="CB139" s="11"/>
      <c r="CC139" s="11"/>
      <c r="CD139" s="11"/>
    </row>
    <row r="140" ht="15.75" customHeight="1">
      <c r="BP140" s="34"/>
      <c r="BQ140" s="11"/>
      <c r="BR140" s="11"/>
      <c r="BS140" s="11"/>
      <c r="BT140" s="11"/>
      <c r="BU140" s="11"/>
      <c r="BV140" s="11"/>
      <c r="BW140" s="11"/>
      <c r="BX140" s="11"/>
      <c r="BY140" s="11"/>
      <c r="BZ140" s="11"/>
      <c r="CA140" s="11"/>
      <c r="CB140" s="11"/>
      <c r="CC140" s="11"/>
      <c r="CD140" s="11"/>
    </row>
    <row r="141" ht="15.75" customHeight="1">
      <c r="BP141" s="34"/>
      <c r="BQ141" s="11"/>
      <c r="BR141" s="11"/>
      <c r="BS141" s="11"/>
      <c r="BT141" s="11"/>
      <c r="BU141" s="11"/>
      <c r="BV141" s="11"/>
      <c r="BW141" s="11"/>
      <c r="BX141" s="11"/>
      <c r="BY141" s="11"/>
      <c r="BZ141" s="11"/>
      <c r="CA141" s="11"/>
      <c r="CB141" s="11"/>
      <c r="CC141" s="11"/>
      <c r="CD141" s="11"/>
    </row>
    <row r="142" ht="15.75" customHeight="1">
      <c r="BP142" s="34"/>
      <c r="BQ142" s="11"/>
      <c r="BR142" s="11"/>
      <c r="BS142" s="11"/>
      <c r="BT142" s="11"/>
      <c r="BU142" s="11"/>
      <c r="BV142" s="11"/>
      <c r="BW142" s="11"/>
      <c r="BX142" s="11"/>
      <c r="BY142" s="11"/>
      <c r="BZ142" s="11"/>
      <c r="CA142" s="11"/>
      <c r="CB142" s="11"/>
      <c r="CC142" s="11"/>
      <c r="CD142" s="11"/>
    </row>
    <row r="143" ht="15.75" customHeight="1">
      <c r="BP143" s="34"/>
      <c r="BQ143" s="11"/>
      <c r="BR143" s="11"/>
      <c r="BS143" s="11"/>
      <c r="BT143" s="11"/>
      <c r="BU143" s="11"/>
      <c r="BV143" s="11"/>
      <c r="BW143" s="11"/>
      <c r="BX143" s="11"/>
      <c r="BY143" s="11"/>
      <c r="BZ143" s="11"/>
      <c r="CA143" s="11"/>
      <c r="CB143" s="11"/>
      <c r="CC143" s="11"/>
      <c r="CD143" s="11"/>
    </row>
    <row r="144" ht="15.75" customHeight="1">
      <c r="BP144" s="34"/>
      <c r="BQ144" s="11"/>
      <c r="BR144" s="11"/>
      <c r="BS144" s="11"/>
      <c r="BT144" s="11"/>
      <c r="BU144" s="11"/>
      <c r="BV144" s="11"/>
      <c r="BW144" s="11"/>
      <c r="BX144" s="11"/>
      <c r="BY144" s="11"/>
      <c r="BZ144" s="11"/>
      <c r="CA144" s="11"/>
      <c r="CB144" s="11"/>
      <c r="CC144" s="11"/>
      <c r="CD144" s="11"/>
    </row>
    <row r="145" ht="15.75" customHeight="1">
      <c r="BP145" s="34"/>
      <c r="BQ145" s="11"/>
      <c r="BR145" s="11"/>
      <c r="BS145" s="11"/>
      <c r="BT145" s="11"/>
      <c r="BU145" s="11"/>
      <c r="BV145" s="11"/>
      <c r="BW145" s="11"/>
      <c r="BX145" s="11"/>
      <c r="BY145" s="11"/>
      <c r="BZ145" s="11"/>
      <c r="CA145" s="11"/>
      <c r="CB145" s="11"/>
      <c r="CC145" s="11"/>
      <c r="CD145" s="11"/>
    </row>
    <row r="146" ht="15.75" customHeight="1">
      <c r="BP146" s="34"/>
      <c r="BQ146" s="11"/>
      <c r="BR146" s="11"/>
      <c r="BS146" s="11"/>
      <c r="BT146" s="11"/>
      <c r="BU146" s="11"/>
      <c r="BV146" s="11"/>
      <c r="BW146" s="11"/>
      <c r="BX146" s="11"/>
      <c r="BY146" s="11"/>
      <c r="BZ146" s="11"/>
      <c r="CA146" s="11"/>
      <c r="CB146" s="11"/>
      <c r="CC146" s="11"/>
      <c r="CD146" s="11"/>
    </row>
    <row r="147" ht="15.75" customHeight="1">
      <c r="BP147" s="34"/>
      <c r="BQ147" s="11"/>
      <c r="BR147" s="11"/>
      <c r="BS147" s="11"/>
      <c r="BT147" s="11"/>
      <c r="BU147" s="11"/>
      <c r="BV147" s="11"/>
      <c r="BW147" s="11"/>
      <c r="BX147" s="11"/>
      <c r="BY147" s="11"/>
      <c r="BZ147" s="11"/>
      <c r="CA147" s="11"/>
      <c r="CB147" s="11"/>
      <c r="CC147" s="11"/>
      <c r="CD147" s="11"/>
    </row>
    <row r="148" ht="15.75" customHeight="1">
      <c r="BP148" s="34"/>
      <c r="BQ148" s="11"/>
      <c r="BR148" s="11"/>
      <c r="BS148" s="11"/>
      <c r="BT148" s="11"/>
      <c r="BU148" s="11"/>
      <c r="BV148" s="11"/>
      <c r="BW148" s="11"/>
      <c r="BX148" s="11"/>
      <c r="BY148" s="11"/>
      <c r="BZ148" s="11"/>
      <c r="CA148" s="11"/>
      <c r="CB148" s="11"/>
      <c r="CC148" s="11"/>
      <c r="CD148" s="11"/>
    </row>
    <row r="149" ht="15.75" customHeight="1">
      <c r="BP149" s="34"/>
      <c r="BQ149" s="11"/>
      <c r="BR149" s="11"/>
      <c r="BS149" s="11"/>
      <c r="BT149" s="11"/>
      <c r="BU149" s="11"/>
      <c r="BV149" s="11"/>
      <c r="BW149" s="11"/>
      <c r="BX149" s="11"/>
      <c r="BY149" s="11"/>
      <c r="BZ149" s="11"/>
      <c r="CA149" s="11"/>
      <c r="CB149" s="11"/>
      <c r="CC149" s="11"/>
      <c r="CD149" s="11"/>
    </row>
    <row r="150" ht="15.75" customHeight="1">
      <c r="BP150" s="34"/>
      <c r="BQ150" s="11"/>
      <c r="BR150" s="11"/>
      <c r="BS150" s="11"/>
      <c r="BT150" s="11"/>
      <c r="BU150" s="11"/>
      <c r="BV150" s="11"/>
      <c r="BW150" s="11"/>
      <c r="BX150" s="11"/>
      <c r="BY150" s="11"/>
      <c r="BZ150" s="11"/>
      <c r="CA150" s="11"/>
      <c r="CB150" s="11"/>
      <c r="CC150" s="11"/>
      <c r="CD150" s="11"/>
    </row>
    <row r="151" ht="15.75" customHeight="1">
      <c r="BP151" s="34"/>
      <c r="BQ151" s="11"/>
      <c r="BR151" s="11"/>
      <c r="BS151" s="11"/>
      <c r="BT151" s="11"/>
      <c r="BU151" s="11"/>
      <c r="BV151" s="11"/>
      <c r="BW151" s="11"/>
      <c r="BX151" s="11"/>
      <c r="BY151" s="11"/>
      <c r="BZ151" s="11"/>
      <c r="CA151" s="11"/>
      <c r="CB151" s="11"/>
      <c r="CC151" s="11"/>
      <c r="CD151" s="11"/>
    </row>
    <row r="152" ht="15.75" customHeight="1">
      <c r="BP152" s="34"/>
      <c r="BQ152" s="11"/>
      <c r="BR152" s="11"/>
      <c r="BS152" s="11"/>
      <c r="BT152" s="11"/>
      <c r="BU152" s="11"/>
      <c r="BV152" s="11"/>
      <c r="BW152" s="11"/>
      <c r="BX152" s="11"/>
      <c r="BY152" s="11"/>
      <c r="BZ152" s="11"/>
      <c r="CA152" s="11"/>
      <c r="CB152" s="11"/>
      <c r="CC152" s="11"/>
      <c r="CD152" s="11"/>
    </row>
    <row r="153" ht="15.75" customHeight="1">
      <c r="BP153" s="34"/>
      <c r="BQ153" s="11"/>
      <c r="BR153" s="11"/>
      <c r="BS153" s="11"/>
      <c r="BT153" s="11"/>
      <c r="BU153" s="11"/>
      <c r="BV153" s="11"/>
      <c r="BW153" s="11"/>
      <c r="BX153" s="11"/>
      <c r="BY153" s="11"/>
      <c r="BZ153" s="11"/>
      <c r="CA153" s="11"/>
      <c r="CB153" s="11"/>
      <c r="CC153" s="11"/>
      <c r="CD153" s="11"/>
    </row>
    <row r="154" ht="15.75" customHeight="1">
      <c r="BP154" s="34"/>
      <c r="BQ154" s="11"/>
      <c r="BR154" s="11"/>
      <c r="BS154" s="11"/>
      <c r="BT154" s="11"/>
      <c r="BU154" s="11"/>
      <c r="BV154" s="11"/>
      <c r="BW154" s="11"/>
      <c r="BX154" s="11"/>
      <c r="BY154" s="11"/>
      <c r="BZ154" s="11"/>
      <c r="CA154" s="11"/>
      <c r="CB154" s="11"/>
      <c r="CC154" s="11"/>
      <c r="CD154" s="11"/>
    </row>
    <row r="155" ht="15.75" customHeight="1">
      <c r="BP155" s="34"/>
      <c r="BQ155" s="11"/>
      <c r="BR155" s="11"/>
      <c r="BS155" s="11"/>
      <c r="BT155" s="11"/>
      <c r="BU155" s="11"/>
      <c r="BV155" s="11"/>
      <c r="BW155" s="11"/>
      <c r="BX155" s="11"/>
      <c r="BY155" s="11"/>
      <c r="BZ155" s="11"/>
      <c r="CA155" s="11"/>
      <c r="CB155" s="11"/>
      <c r="CC155" s="11"/>
      <c r="CD155" s="11"/>
    </row>
    <row r="156" ht="15.75" customHeight="1">
      <c r="BP156" s="34"/>
      <c r="BQ156" s="11"/>
      <c r="BR156" s="11"/>
      <c r="BS156" s="11"/>
      <c r="BT156" s="11"/>
      <c r="BU156" s="11"/>
      <c r="BV156" s="11"/>
      <c r="BW156" s="11"/>
      <c r="BX156" s="11"/>
      <c r="BY156" s="11"/>
      <c r="BZ156" s="11"/>
      <c r="CA156" s="11"/>
      <c r="CB156" s="11"/>
      <c r="CC156" s="11"/>
      <c r="CD156" s="11"/>
    </row>
    <row r="157" ht="15.75" customHeight="1">
      <c r="BP157" s="34"/>
      <c r="BQ157" s="11"/>
      <c r="BR157" s="11"/>
      <c r="BS157" s="11"/>
      <c r="BT157" s="11"/>
      <c r="BU157" s="11"/>
      <c r="BV157" s="11"/>
      <c r="BW157" s="11"/>
      <c r="BX157" s="11"/>
      <c r="BY157" s="11"/>
      <c r="BZ157" s="11"/>
      <c r="CA157" s="11"/>
      <c r="CB157" s="11"/>
      <c r="CC157" s="11"/>
      <c r="CD157" s="11"/>
    </row>
    <row r="158" ht="15.75" customHeight="1">
      <c r="BP158" s="34"/>
      <c r="BQ158" s="11"/>
      <c r="BR158" s="11"/>
      <c r="BS158" s="11"/>
      <c r="BT158" s="11"/>
      <c r="BU158" s="11"/>
      <c r="BV158" s="11"/>
      <c r="BW158" s="11"/>
      <c r="BX158" s="11"/>
      <c r="BY158" s="11"/>
      <c r="BZ158" s="11"/>
      <c r="CA158" s="11"/>
      <c r="CB158" s="11"/>
      <c r="CC158" s="11"/>
      <c r="CD158" s="11"/>
    </row>
    <row r="159" ht="15.75" customHeight="1">
      <c r="BP159" s="34"/>
      <c r="BQ159" s="11"/>
      <c r="BR159" s="11"/>
      <c r="BS159" s="11"/>
      <c r="BT159" s="11"/>
      <c r="BU159" s="11"/>
      <c r="BV159" s="11"/>
      <c r="BW159" s="11"/>
      <c r="BX159" s="11"/>
      <c r="BY159" s="11"/>
      <c r="BZ159" s="11"/>
      <c r="CA159" s="11"/>
      <c r="CB159" s="11"/>
      <c r="CC159" s="11"/>
      <c r="CD159" s="11"/>
    </row>
    <row r="160" ht="15.75" customHeight="1">
      <c r="BP160" s="34"/>
      <c r="BQ160" s="11"/>
      <c r="BR160" s="11"/>
      <c r="BS160" s="11"/>
      <c r="BT160" s="11"/>
      <c r="BU160" s="11"/>
      <c r="BV160" s="11"/>
      <c r="BW160" s="11"/>
      <c r="BX160" s="11"/>
      <c r="BY160" s="11"/>
      <c r="BZ160" s="11"/>
      <c r="CA160" s="11"/>
      <c r="CB160" s="11"/>
      <c r="CC160" s="11"/>
      <c r="CD160" s="11"/>
    </row>
    <row r="161" ht="15.75" customHeight="1">
      <c r="BP161" s="34"/>
      <c r="BQ161" s="11"/>
      <c r="BR161" s="11"/>
      <c r="BS161" s="11"/>
      <c r="BT161" s="11"/>
      <c r="BU161" s="11"/>
      <c r="BV161" s="11"/>
      <c r="BW161" s="11"/>
      <c r="BX161" s="11"/>
      <c r="BY161" s="11"/>
      <c r="BZ161" s="11"/>
      <c r="CA161" s="11"/>
      <c r="CB161" s="11"/>
      <c r="CC161" s="11"/>
      <c r="CD161" s="11"/>
    </row>
    <row r="162" ht="15.75" customHeight="1">
      <c r="BP162" s="34"/>
      <c r="BQ162" s="11"/>
      <c r="BR162" s="11"/>
      <c r="BS162" s="11"/>
      <c r="BT162" s="11"/>
      <c r="BU162" s="11"/>
      <c r="BV162" s="11"/>
      <c r="BW162" s="11"/>
      <c r="BX162" s="11"/>
      <c r="BY162" s="11"/>
      <c r="BZ162" s="11"/>
      <c r="CA162" s="11"/>
      <c r="CB162" s="11"/>
      <c r="CC162" s="11"/>
      <c r="CD162" s="11"/>
    </row>
    <row r="163" ht="15.75" customHeight="1">
      <c r="BP163" s="34"/>
      <c r="BQ163" s="11"/>
      <c r="BR163" s="11"/>
      <c r="BS163" s="11"/>
      <c r="BT163" s="11"/>
      <c r="BU163" s="11"/>
      <c r="BV163" s="11"/>
      <c r="BW163" s="11"/>
      <c r="BX163" s="11"/>
      <c r="BY163" s="11"/>
      <c r="BZ163" s="11"/>
      <c r="CA163" s="11"/>
      <c r="CB163" s="11"/>
      <c r="CC163" s="11"/>
      <c r="CD163" s="11"/>
    </row>
    <row r="164" ht="15.75" customHeight="1">
      <c r="BP164" s="34"/>
      <c r="BQ164" s="11"/>
      <c r="BR164" s="11"/>
      <c r="BS164" s="11"/>
      <c r="BT164" s="11"/>
      <c r="BU164" s="11"/>
      <c r="BV164" s="11"/>
      <c r="BW164" s="11"/>
      <c r="BX164" s="11"/>
      <c r="BY164" s="11"/>
      <c r="BZ164" s="11"/>
      <c r="CA164" s="11"/>
      <c r="CB164" s="11"/>
      <c r="CC164" s="11"/>
      <c r="CD164" s="11"/>
    </row>
    <row r="165" ht="15.75" customHeight="1">
      <c r="BP165" s="34"/>
      <c r="BQ165" s="11"/>
      <c r="BR165" s="11"/>
      <c r="BS165" s="11"/>
      <c r="BT165" s="11"/>
      <c r="BU165" s="11"/>
      <c r="BV165" s="11"/>
      <c r="BW165" s="11"/>
      <c r="BX165" s="11"/>
      <c r="BY165" s="11"/>
      <c r="BZ165" s="11"/>
      <c r="CA165" s="11"/>
      <c r="CB165" s="11"/>
      <c r="CC165" s="11"/>
      <c r="CD165" s="11"/>
    </row>
    <row r="166" ht="15.75" customHeight="1">
      <c r="BP166" s="34"/>
      <c r="BQ166" s="11"/>
      <c r="BR166" s="11"/>
      <c r="BS166" s="11"/>
      <c r="BT166" s="11"/>
      <c r="BU166" s="11"/>
      <c r="BV166" s="11"/>
      <c r="BW166" s="11"/>
      <c r="BX166" s="11"/>
      <c r="BY166" s="11"/>
      <c r="BZ166" s="11"/>
      <c r="CA166" s="11"/>
      <c r="CB166" s="11"/>
      <c r="CC166" s="11"/>
      <c r="CD166" s="11"/>
    </row>
    <row r="167" ht="15.75" customHeight="1">
      <c r="BP167" s="34"/>
      <c r="BQ167" s="11"/>
      <c r="BR167" s="11"/>
      <c r="BS167" s="11"/>
      <c r="BT167" s="11"/>
      <c r="BU167" s="11"/>
      <c r="BV167" s="11"/>
      <c r="BW167" s="11"/>
      <c r="BX167" s="11"/>
      <c r="BY167" s="11"/>
      <c r="BZ167" s="11"/>
      <c r="CA167" s="11"/>
      <c r="CB167" s="11"/>
      <c r="CC167" s="11"/>
      <c r="CD167" s="11"/>
    </row>
    <row r="168" ht="15.75" customHeight="1">
      <c r="BP168" s="34"/>
      <c r="BQ168" s="11"/>
      <c r="BR168" s="11"/>
      <c r="BS168" s="11"/>
      <c r="BT168" s="11"/>
      <c r="BU168" s="11"/>
      <c r="BV168" s="11"/>
      <c r="BW168" s="11"/>
      <c r="BX168" s="11"/>
      <c r="BY168" s="11"/>
      <c r="BZ168" s="11"/>
      <c r="CA168" s="11"/>
      <c r="CB168" s="11"/>
      <c r="CC168" s="11"/>
      <c r="CD168" s="11"/>
    </row>
    <row r="169" ht="15.75" customHeight="1">
      <c r="BP169" s="34"/>
      <c r="BQ169" s="11"/>
      <c r="BR169" s="11"/>
      <c r="BS169" s="11"/>
      <c r="BT169" s="11"/>
      <c r="BU169" s="11"/>
      <c r="BV169" s="11"/>
      <c r="BW169" s="11"/>
      <c r="BX169" s="11"/>
      <c r="BY169" s="11"/>
      <c r="BZ169" s="11"/>
      <c r="CA169" s="11"/>
      <c r="CB169" s="11"/>
      <c r="CC169" s="11"/>
      <c r="CD169" s="11"/>
    </row>
    <row r="170" ht="15.75" customHeight="1">
      <c r="BP170" s="34"/>
      <c r="BQ170" s="11"/>
      <c r="BR170" s="11"/>
      <c r="BS170" s="11"/>
      <c r="BT170" s="11"/>
      <c r="BU170" s="11"/>
      <c r="BV170" s="11"/>
      <c r="BW170" s="11"/>
      <c r="BX170" s="11"/>
      <c r="BY170" s="11"/>
      <c r="BZ170" s="11"/>
      <c r="CA170" s="11"/>
      <c r="CB170" s="11"/>
      <c r="CC170" s="11"/>
      <c r="CD170" s="11"/>
    </row>
    <row r="171" ht="15.75" customHeight="1">
      <c r="BP171" s="34"/>
      <c r="BQ171" s="11"/>
      <c r="BR171" s="11"/>
      <c r="BS171" s="11"/>
      <c r="BT171" s="11"/>
      <c r="BU171" s="11"/>
      <c r="BV171" s="11"/>
      <c r="BW171" s="11"/>
      <c r="BX171" s="11"/>
      <c r="BY171" s="11"/>
      <c r="BZ171" s="11"/>
      <c r="CA171" s="11"/>
      <c r="CB171" s="11"/>
      <c r="CC171" s="11"/>
      <c r="CD171" s="11"/>
    </row>
    <row r="172" ht="15.75" customHeight="1">
      <c r="BP172" s="34"/>
      <c r="BQ172" s="11"/>
      <c r="BR172" s="11"/>
      <c r="BS172" s="11"/>
      <c r="BT172" s="11"/>
      <c r="BU172" s="11"/>
      <c r="BV172" s="11"/>
      <c r="BW172" s="11"/>
      <c r="BX172" s="11"/>
      <c r="BY172" s="11"/>
      <c r="BZ172" s="11"/>
      <c r="CA172" s="11"/>
      <c r="CB172" s="11"/>
      <c r="CC172" s="11"/>
      <c r="CD172" s="11"/>
    </row>
    <row r="173" ht="15.75" customHeight="1">
      <c r="BP173" s="34"/>
      <c r="BQ173" s="11"/>
      <c r="BR173" s="11"/>
      <c r="BS173" s="11"/>
      <c r="BT173" s="11"/>
      <c r="BU173" s="11"/>
      <c r="BV173" s="11"/>
      <c r="BW173" s="11"/>
      <c r="BX173" s="11"/>
      <c r="BY173" s="11"/>
      <c r="BZ173" s="11"/>
      <c r="CA173" s="11"/>
      <c r="CB173" s="11"/>
      <c r="CC173" s="11"/>
      <c r="CD173" s="11"/>
    </row>
    <row r="174" ht="15.75" customHeight="1">
      <c r="BP174" s="34"/>
      <c r="BQ174" s="11"/>
      <c r="BR174" s="11"/>
      <c r="BS174" s="11"/>
      <c r="BT174" s="11"/>
      <c r="BU174" s="11"/>
      <c r="BV174" s="11"/>
      <c r="BW174" s="11"/>
      <c r="BX174" s="11"/>
      <c r="BY174" s="11"/>
      <c r="BZ174" s="11"/>
      <c r="CA174" s="11"/>
      <c r="CB174" s="11"/>
      <c r="CC174" s="11"/>
      <c r="CD174" s="11"/>
    </row>
    <row r="175" ht="15.75" customHeight="1">
      <c r="BP175" s="34"/>
      <c r="BQ175" s="11"/>
      <c r="BR175" s="11"/>
      <c r="BS175" s="11"/>
      <c r="BT175" s="11"/>
      <c r="BU175" s="11"/>
      <c r="BV175" s="11"/>
      <c r="BW175" s="11"/>
      <c r="BX175" s="11"/>
      <c r="BY175" s="11"/>
      <c r="BZ175" s="11"/>
      <c r="CA175" s="11"/>
      <c r="CB175" s="11"/>
      <c r="CC175" s="11"/>
      <c r="CD175" s="11"/>
    </row>
    <row r="176" ht="15.75" customHeight="1">
      <c r="BP176" s="34"/>
      <c r="BQ176" s="11"/>
      <c r="BR176" s="11"/>
      <c r="BS176" s="11"/>
      <c r="BT176" s="11"/>
      <c r="BU176" s="11"/>
      <c r="BV176" s="11"/>
      <c r="BW176" s="11"/>
      <c r="BX176" s="11"/>
      <c r="BY176" s="11"/>
      <c r="BZ176" s="11"/>
      <c r="CA176" s="11"/>
      <c r="CB176" s="11"/>
      <c r="CC176" s="11"/>
      <c r="CD176" s="11"/>
    </row>
    <row r="177" ht="15.75" customHeight="1">
      <c r="BP177" s="34"/>
      <c r="BQ177" s="11"/>
      <c r="BR177" s="11"/>
      <c r="BS177" s="11"/>
      <c r="BT177" s="11"/>
      <c r="BU177" s="11"/>
      <c r="BV177" s="11"/>
      <c r="BW177" s="11"/>
      <c r="BX177" s="11"/>
      <c r="BY177" s="11"/>
      <c r="BZ177" s="11"/>
      <c r="CA177" s="11"/>
      <c r="CB177" s="11"/>
      <c r="CC177" s="11"/>
      <c r="CD177" s="11"/>
    </row>
    <row r="178" ht="15.75" customHeight="1">
      <c r="BP178" s="34"/>
      <c r="BQ178" s="11"/>
      <c r="BR178" s="11"/>
      <c r="BS178" s="11"/>
      <c r="BT178" s="11"/>
      <c r="BU178" s="11"/>
      <c r="BV178" s="11"/>
      <c r="BW178" s="11"/>
      <c r="BX178" s="11"/>
      <c r="BY178" s="11"/>
      <c r="BZ178" s="11"/>
      <c r="CA178" s="11"/>
      <c r="CB178" s="11"/>
      <c r="CC178" s="11"/>
      <c r="CD178" s="11"/>
    </row>
    <row r="179" ht="15.75" customHeight="1">
      <c r="BP179" s="34"/>
      <c r="BQ179" s="11"/>
      <c r="BR179" s="11"/>
      <c r="BS179" s="11"/>
      <c r="BT179" s="11"/>
      <c r="BU179" s="11"/>
      <c r="BV179" s="11"/>
      <c r="BW179" s="11"/>
      <c r="BX179" s="11"/>
      <c r="BY179" s="11"/>
      <c r="BZ179" s="11"/>
      <c r="CA179" s="11"/>
      <c r="CB179" s="11"/>
      <c r="CC179" s="11"/>
      <c r="CD179" s="11"/>
    </row>
    <row r="180" ht="15.75" customHeight="1">
      <c r="BP180" s="34"/>
      <c r="BQ180" s="11"/>
      <c r="BR180" s="11"/>
      <c r="BS180" s="11"/>
      <c r="BT180" s="11"/>
      <c r="BU180" s="11"/>
      <c r="BV180" s="11"/>
      <c r="BW180" s="11"/>
      <c r="BX180" s="11"/>
      <c r="BY180" s="11"/>
      <c r="BZ180" s="11"/>
      <c r="CA180" s="11"/>
      <c r="CB180" s="11"/>
      <c r="CC180" s="11"/>
      <c r="CD180" s="11"/>
    </row>
    <row r="181" ht="15.75" customHeight="1">
      <c r="BP181" s="34"/>
      <c r="BQ181" s="11"/>
      <c r="BR181" s="11"/>
      <c r="BS181" s="11"/>
      <c r="BT181" s="11"/>
      <c r="BU181" s="11"/>
      <c r="BV181" s="11"/>
      <c r="BW181" s="11"/>
      <c r="BX181" s="11"/>
      <c r="BY181" s="11"/>
      <c r="BZ181" s="11"/>
      <c r="CA181" s="11"/>
      <c r="CB181" s="11"/>
      <c r="CC181" s="11"/>
      <c r="CD181" s="11"/>
    </row>
    <row r="182" ht="15.75" customHeight="1">
      <c r="BP182" s="34"/>
      <c r="BQ182" s="11"/>
      <c r="BR182" s="11"/>
      <c r="BS182" s="11"/>
      <c r="BT182" s="11"/>
      <c r="BU182" s="11"/>
      <c r="BV182" s="11"/>
      <c r="BW182" s="11"/>
      <c r="BX182" s="11"/>
      <c r="BY182" s="11"/>
      <c r="BZ182" s="11"/>
      <c r="CA182" s="11"/>
      <c r="CB182" s="11"/>
      <c r="CC182" s="11"/>
      <c r="CD182" s="11"/>
    </row>
    <row r="183" ht="15.75" customHeight="1">
      <c r="BP183" s="34"/>
      <c r="BQ183" s="11"/>
      <c r="BR183" s="11"/>
      <c r="BS183" s="11"/>
      <c r="BT183" s="11"/>
      <c r="BU183" s="11"/>
      <c r="BV183" s="11"/>
      <c r="BW183" s="11"/>
      <c r="BX183" s="11"/>
      <c r="BY183" s="11"/>
      <c r="BZ183" s="11"/>
      <c r="CA183" s="11"/>
      <c r="CB183" s="11"/>
      <c r="CC183" s="11"/>
      <c r="CD183" s="11"/>
    </row>
    <row r="184" ht="15.75" customHeight="1">
      <c r="BP184" s="34"/>
      <c r="BQ184" s="11"/>
      <c r="BR184" s="11"/>
      <c r="BS184" s="11"/>
      <c r="BT184" s="11"/>
      <c r="BU184" s="11"/>
      <c r="BV184" s="11"/>
      <c r="BW184" s="11"/>
      <c r="BX184" s="11"/>
      <c r="BY184" s="11"/>
      <c r="BZ184" s="11"/>
      <c r="CA184" s="11"/>
      <c r="CB184" s="11"/>
      <c r="CC184" s="11"/>
      <c r="CD184" s="11"/>
    </row>
    <row r="185" ht="15.75" customHeight="1">
      <c r="BP185" s="34"/>
      <c r="BQ185" s="11"/>
      <c r="BR185" s="11"/>
      <c r="BS185" s="11"/>
      <c r="BT185" s="11"/>
      <c r="BU185" s="11"/>
      <c r="BV185" s="11"/>
      <c r="BW185" s="11"/>
      <c r="BX185" s="11"/>
      <c r="BY185" s="11"/>
      <c r="BZ185" s="11"/>
      <c r="CA185" s="11"/>
      <c r="CB185" s="11"/>
      <c r="CC185" s="11"/>
      <c r="CD185" s="11"/>
    </row>
    <row r="186" ht="15.75" customHeight="1">
      <c r="BP186" s="34"/>
      <c r="BQ186" s="11"/>
      <c r="BR186" s="11"/>
      <c r="BS186" s="11"/>
      <c r="BT186" s="11"/>
      <c r="BU186" s="11"/>
      <c r="BV186" s="11"/>
      <c r="BW186" s="11"/>
      <c r="BX186" s="11"/>
      <c r="BY186" s="11"/>
      <c r="BZ186" s="11"/>
      <c r="CA186" s="11"/>
      <c r="CB186" s="11"/>
      <c r="CC186" s="11"/>
      <c r="CD186" s="11"/>
    </row>
    <row r="187" ht="15.75" customHeight="1">
      <c r="BP187" s="34"/>
      <c r="BQ187" s="11"/>
      <c r="BR187" s="11"/>
      <c r="BS187" s="11"/>
      <c r="BT187" s="11"/>
      <c r="BU187" s="11"/>
      <c r="BV187" s="11"/>
      <c r="BW187" s="11"/>
      <c r="BX187" s="11"/>
      <c r="BY187" s="11"/>
      <c r="BZ187" s="11"/>
      <c r="CA187" s="11"/>
      <c r="CB187" s="11"/>
      <c r="CC187" s="11"/>
      <c r="CD187" s="11"/>
    </row>
    <row r="188" ht="15.75" customHeight="1">
      <c r="BP188" s="34"/>
      <c r="BQ188" s="11"/>
      <c r="BR188" s="11"/>
      <c r="BS188" s="11"/>
      <c r="BT188" s="11"/>
      <c r="BU188" s="11"/>
      <c r="BV188" s="11"/>
      <c r="BW188" s="11"/>
      <c r="BX188" s="11"/>
      <c r="BY188" s="11"/>
      <c r="BZ188" s="11"/>
      <c r="CA188" s="11"/>
      <c r="CB188" s="11"/>
      <c r="CC188" s="11"/>
      <c r="CD188" s="11"/>
    </row>
    <row r="189" ht="15.75" customHeight="1">
      <c r="BP189" s="34"/>
      <c r="BQ189" s="11"/>
      <c r="BR189" s="11"/>
      <c r="BS189" s="11"/>
      <c r="BT189" s="11"/>
      <c r="BU189" s="11"/>
      <c r="BV189" s="11"/>
      <c r="BW189" s="11"/>
      <c r="BX189" s="11"/>
      <c r="BY189" s="11"/>
      <c r="BZ189" s="11"/>
      <c r="CA189" s="11"/>
      <c r="CB189" s="11"/>
      <c r="CC189" s="11"/>
      <c r="CD189" s="11"/>
    </row>
    <row r="190" ht="15.75" customHeight="1">
      <c r="BP190" s="34"/>
      <c r="BQ190" s="11"/>
      <c r="BR190" s="11"/>
      <c r="BS190" s="11"/>
      <c r="BT190" s="11"/>
      <c r="BU190" s="11"/>
      <c r="BV190" s="11"/>
      <c r="BW190" s="11"/>
      <c r="BX190" s="11"/>
      <c r="BY190" s="11"/>
      <c r="BZ190" s="11"/>
      <c r="CA190" s="11"/>
      <c r="CB190" s="11"/>
      <c r="CC190" s="11"/>
      <c r="CD190" s="11"/>
    </row>
    <row r="191" ht="15.75" customHeight="1">
      <c r="BP191" s="34"/>
      <c r="BQ191" s="11"/>
      <c r="BR191" s="11"/>
      <c r="BS191" s="11"/>
      <c r="BT191" s="11"/>
      <c r="BU191" s="11"/>
      <c r="BV191" s="11"/>
      <c r="BW191" s="11"/>
      <c r="BX191" s="11"/>
      <c r="BY191" s="11"/>
      <c r="BZ191" s="11"/>
      <c r="CA191" s="11"/>
      <c r="CB191" s="11"/>
      <c r="CC191" s="11"/>
      <c r="CD191" s="11"/>
    </row>
    <row r="192" ht="15.75" customHeight="1">
      <c r="BP192" s="34"/>
      <c r="BQ192" s="11"/>
      <c r="BR192" s="11"/>
      <c r="BS192" s="11"/>
      <c r="BT192" s="11"/>
      <c r="BU192" s="11"/>
      <c r="BV192" s="11"/>
      <c r="BW192" s="11"/>
      <c r="BX192" s="11"/>
      <c r="BY192" s="11"/>
      <c r="BZ192" s="11"/>
      <c r="CA192" s="11"/>
      <c r="CB192" s="11"/>
      <c r="CC192" s="11"/>
      <c r="CD192" s="11"/>
    </row>
    <row r="193" ht="15.75" customHeight="1">
      <c r="BP193" s="34"/>
      <c r="BQ193" s="11"/>
      <c r="BR193" s="11"/>
      <c r="BS193" s="11"/>
      <c r="BT193" s="11"/>
      <c r="BU193" s="11"/>
      <c r="BV193" s="11"/>
      <c r="BW193" s="11"/>
      <c r="BX193" s="11"/>
      <c r="BY193" s="11"/>
      <c r="BZ193" s="11"/>
      <c r="CA193" s="11"/>
      <c r="CB193" s="11"/>
      <c r="CC193" s="11"/>
      <c r="CD193" s="11"/>
    </row>
    <row r="194" ht="15.75" customHeight="1">
      <c r="BP194" s="34"/>
      <c r="BQ194" s="11"/>
      <c r="BR194" s="11"/>
      <c r="BS194" s="11"/>
      <c r="BT194" s="11"/>
      <c r="BU194" s="11"/>
      <c r="BV194" s="11"/>
      <c r="BW194" s="11"/>
      <c r="BX194" s="11"/>
      <c r="BY194" s="11"/>
      <c r="BZ194" s="11"/>
      <c r="CA194" s="11"/>
      <c r="CB194" s="11"/>
      <c r="CC194" s="11"/>
      <c r="CD194" s="11"/>
    </row>
    <row r="195" ht="15.75" customHeight="1">
      <c r="BP195" s="34"/>
      <c r="BQ195" s="11"/>
      <c r="BR195" s="11"/>
      <c r="BS195" s="11"/>
      <c r="BT195" s="11"/>
      <c r="BU195" s="11"/>
      <c r="BV195" s="11"/>
      <c r="BW195" s="11"/>
      <c r="BX195" s="11"/>
      <c r="BY195" s="11"/>
      <c r="BZ195" s="11"/>
      <c r="CA195" s="11"/>
      <c r="CB195" s="11"/>
      <c r="CC195" s="11"/>
      <c r="CD195" s="11"/>
    </row>
    <row r="196" ht="15.75" customHeight="1">
      <c r="BP196" s="34"/>
      <c r="BQ196" s="11"/>
      <c r="BR196" s="11"/>
      <c r="BS196" s="11"/>
      <c r="BT196" s="11"/>
      <c r="BU196" s="11"/>
      <c r="BV196" s="11"/>
      <c r="BW196" s="11"/>
      <c r="BX196" s="11"/>
      <c r="BY196" s="11"/>
      <c r="BZ196" s="11"/>
      <c r="CA196" s="11"/>
      <c r="CB196" s="11"/>
      <c r="CC196" s="11"/>
      <c r="CD196" s="11"/>
    </row>
    <row r="197" ht="15.75" customHeight="1">
      <c r="BP197" s="34"/>
      <c r="BQ197" s="11"/>
      <c r="BR197" s="11"/>
      <c r="BS197" s="11"/>
      <c r="BT197" s="11"/>
      <c r="BU197" s="11"/>
      <c r="BV197" s="11"/>
      <c r="BW197" s="11"/>
      <c r="BX197" s="11"/>
      <c r="BY197" s="11"/>
      <c r="BZ197" s="11"/>
      <c r="CA197" s="11"/>
      <c r="CB197" s="11"/>
      <c r="CC197" s="11"/>
      <c r="CD197" s="11"/>
    </row>
    <row r="198" ht="15.75" customHeight="1">
      <c r="BP198" s="34"/>
      <c r="BQ198" s="11"/>
      <c r="BR198" s="11"/>
      <c r="BS198" s="11"/>
      <c r="BT198" s="11"/>
      <c r="BU198" s="11"/>
      <c r="BV198" s="11"/>
      <c r="BW198" s="11"/>
      <c r="BX198" s="11"/>
      <c r="BY198" s="11"/>
      <c r="BZ198" s="11"/>
      <c r="CA198" s="11"/>
      <c r="CB198" s="11"/>
      <c r="CC198" s="11"/>
      <c r="CD198" s="11"/>
    </row>
    <row r="199" ht="15.75" customHeight="1">
      <c r="BP199" s="34"/>
      <c r="BQ199" s="11"/>
      <c r="BR199" s="11"/>
      <c r="BS199" s="11"/>
      <c r="BT199" s="11"/>
      <c r="BU199" s="11"/>
      <c r="BV199" s="11"/>
      <c r="BW199" s="11"/>
      <c r="BX199" s="11"/>
      <c r="BY199" s="11"/>
      <c r="BZ199" s="11"/>
      <c r="CA199" s="11"/>
      <c r="CB199" s="11"/>
      <c r="CC199" s="11"/>
      <c r="CD199" s="11"/>
    </row>
    <row r="200" ht="15.75" customHeight="1">
      <c r="BP200" s="34"/>
      <c r="BQ200" s="11"/>
      <c r="BR200" s="11"/>
      <c r="BS200" s="11"/>
      <c r="BT200" s="11"/>
      <c r="BU200" s="11"/>
      <c r="BV200" s="11"/>
      <c r="BW200" s="11"/>
      <c r="BX200" s="11"/>
      <c r="BY200" s="11"/>
      <c r="BZ200" s="11"/>
      <c r="CA200" s="11"/>
      <c r="CB200" s="11"/>
      <c r="CC200" s="11"/>
      <c r="CD200" s="11"/>
    </row>
    <row r="201" ht="15.75" customHeight="1">
      <c r="BP201" s="34"/>
      <c r="BQ201" s="11"/>
      <c r="BR201" s="11"/>
      <c r="BS201" s="11"/>
      <c r="BT201" s="11"/>
      <c r="BU201" s="11"/>
      <c r="BV201" s="11"/>
      <c r="BW201" s="11"/>
      <c r="BX201" s="11"/>
      <c r="BY201" s="11"/>
      <c r="BZ201" s="11"/>
      <c r="CA201" s="11"/>
      <c r="CB201" s="11"/>
      <c r="CC201" s="11"/>
      <c r="CD201" s="11"/>
    </row>
    <row r="202" ht="15.75" customHeight="1">
      <c r="BP202" s="34"/>
      <c r="BQ202" s="11"/>
      <c r="BR202" s="11"/>
      <c r="BS202" s="11"/>
      <c r="BT202" s="11"/>
      <c r="BU202" s="11"/>
      <c r="BV202" s="11"/>
      <c r="BW202" s="11"/>
      <c r="BX202" s="11"/>
      <c r="BY202" s="11"/>
      <c r="BZ202" s="11"/>
      <c r="CA202" s="11"/>
      <c r="CB202" s="11"/>
      <c r="CC202" s="11"/>
      <c r="CD202" s="11"/>
    </row>
    <row r="203" ht="15.75" customHeight="1">
      <c r="BP203" s="34"/>
      <c r="BQ203" s="11"/>
      <c r="BR203" s="11"/>
      <c r="BS203" s="11"/>
      <c r="BT203" s="11"/>
      <c r="BU203" s="11"/>
      <c r="BV203" s="11"/>
      <c r="BW203" s="11"/>
      <c r="BX203" s="11"/>
      <c r="BY203" s="11"/>
      <c r="BZ203" s="11"/>
      <c r="CA203" s="11"/>
      <c r="CB203" s="11"/>
      <c r="CC203" s="11"/>
      <c r="CD203" s="11"/>
    </row>
    <row r="204" ht="15.75" customHeight="1">
      <c r="BP204" s="34"/>
      <c r="BQ204" s="11"/>
      <c r="BR204" s="11"/>
      <c r="BS204" s="11"/>
      <c r="BT204" s="11"/>
      <c r="BU204" s="11"/>
      <c r="BV204" s="11"/>
      <c r="BW204" s="11"/>
      <c r="BX204" s="11"/>
      <c r="BY204" s="11"/>
      <c r="BZ204" s="11"/>
      <c r="CA204" s="11"/>
      <c r="CB204" s="11"/>
      <c r="CC204" s="11"/>
      <c r="CD204" s="11"/>
    </row>
    <row r="205" ht="15.75" customHeight="1">
      <c r="BP205" s="34"/>
      <c r="BQ205" s="11"/>
      <c r="BR205" s="11"/>
      <c r="BS205" s="11"/>
      <c r="BT205" s="11"/>
      <c r="BU205" s="11"/>
      <c r="BV205" s="11"/>
      <c r="BW205" s="11"/>
      <c r="BX205" s="11"/>
      <c r="BY205" s="11"/>
      <c r="BZ205" s="11"/>
      <c r="CA205" s="11"/>
      <c r="CB205" s="11"/>
      <c r="CC205" s="11"/>
      <c r="CD205" s="11"/>
    </row>
    <row r="206" ht="15.75" customHeight="1">
      <c r="BP206" s="34"/>
      <c r="BQ206" s="11"/>
      <c r="BR206" s="11"/>
      <c r="BS206" s="11"/>
      <c r="BT206" s="11"/>
      <c r="BU206" s="11"/>
      <c r="BV206" s="11"/>
      <c r="BW206" s="11"/>
      <c r="BX206" s="11"/>
      <c r="BY206" s="11"/>
      <c r="BZ206" s="11"/>
      <c r="CA206" s="11"/>
      <c r="CB206" s="11"/>
      <c r="CC206" s="11"/>
      <c r="CD206" s="11"/>
    </row>
    <row r="207" ht="15.75" customHeight="1">
      <c r="BP207" s="34"/>
      <c r="BQ207" s="11"/>
      <c r="BR207" s="11"/>
      <c r="BS207" s="11"/>
      <c r="BT207" s="11"/>
      <c r="BU207" s="11"/>
      <c r="BV207" s="11"/>
      <c r="BW207" s="11"/>
      <c r="BX207" s="11"/>
      <c r="BY207" s="11"/>
      <c r="BZ207" s="11"/>
      <c r="CA207" s="11"/>
      <c r="CB207" s="11"/>
      <c r="CC207" s="11"/>
      <c r="CD207" s="11"/>
    </row>
    <row r="208" ht="15.75" customHeight="1">
      <c r="BP208" s="34"/>
      <c r="BQ208" s="11"/>
      <c r="BR208" s="11"/>
      <c r="BS208" s="11"/>
      <c r="BT208" s="11"/>
      <c r="BU208" s="11"/>
      <c r="BV208" s="11"/>
      <c r="BW208" s="11"/>
      <c r="BX208" s="11"/>
      <c r="BY208" s="11"/>
      <c r="BZ208" s="11"/>
      <c r="CA208" s="11"/>
      <c r="CB208" s="11"/>
      <c r="CC208" s="11"/>
      <c r="CD208" s="11"/>
    </row>
    <row r="209" ht="15.75" customHeight="1">
      <c r="BP209" s="34"/>
      <c r="BQ209" s="11"/>
      <c r="BR209" s="11"/>
      <c r="BS209" s="11"/>
      <c r="BT209" s="11"/>
      <c r="BU209" s="11"/>
      <c r="BV209" s="11"/>
      <c r="BW209" s="11"/>
      <c r="BX209" s="11"/>
      <c r="BY209" s="11"/>
      <c r="BZ209" s="11"/>
      <c r="CA209" s="11"/>
      <c r="CB209" s="11"/>
      <c r="CC209" s="11"/>
      <c r="CD209" s="11"/>
    </row>
    <row r="210" ht="15.75" customHeight="1">
      <c r="BP210" s="34"/>
      <c r="BQ210" s="11"/>
      <c r="BR210" s="11"/>
      <c r="BS210" s="11"/>
      <c r="BT210" s="11"/>
      <c r="BU210" s="11"/>
      <c r="BV210" s="11"/>
      <c r="BW210" s="11"/>
      <c r="BX210" s="11"/>
      <c r="BY210" s="11"/>
      <c r="BZ210" s="11"/>
      <c r="CA210" s="11"/>
      <c r="CB210" s="11"/>
      <c r="CC210" s="11"/>
      <c r="CD210" s="11"/>
    </row>
    <row r="211" ht="15.75" customHeight="1">
      <c r="BP211" s="34"/>
      <c r="BQ211" s="11"/>
      <c r="BR211" s="11"/>
      <c r="BS211" s="11"/>
      <c r="BT211" s="11"/>
      <c r="BU211" s="11"/>
      <c r="BV211" s="11"/>
      <c r="BW211" s="11"/>
      <c r="BX211" s="11"/>
      <c r="BY211" s="11"/>
      <c r="BZ211" s="11"/>
      <c r="CA211" s="11"/>
      <c r="CB211" s="11"/>
      <c r="CC211" s="11"/>
      <c r="CD211" s="11"/>
    </row>
    <row r="212" ht="15.75" customHeight="1">
      <c r="BP212" s="34"/>
      <c r="BQ212" s="11"/>
      <c r="BR212" s="11"/>
      <c r="BS212" s="11"/>
      <c r="BT212" s="11"/>
      <c r="BU212" s="11"/>
      <c r="BV212" s="11"/>
      <c r="BW212" s="11"/>
      <c r="BX212" s="11"/>
      <c r="BY212" s="11"/>
      <c r="BZ212" s="11"/>
      <c r="CA212" s="11"/>
      <c r="CB212" s="11"/>
      <c r="CC212" s="11"/>
      <c r="CD212" s="11"/>
    </row>
    <row r="213" ht="15.75" customHeight="1">
      <c r="BP213" s="34"/>
      <c r="BQ213" s="11"/>
      <c r="BR213" s="11"/>
      <c r="BS213" s="11"/>
      <c r="BT213" s="11"/>
      <c r="BU213" s="11"/>
      <c r="BV213" s="11"/>
      <c r="BW213" s="11"/>
      <c r="BX213" s="11"/>
      <c r="BY213" s="11"/>
      <c r="BZ213" s="11"/>
      <c r="CA213" s="11"/>
      <c r="CB213" s="11"/>
      <c r="CC213" s="11"/>
      <c r="CD213" s="11"/>
    </row>
    <row r="214" ht="15.75" customHeight="1">
      <c r="BP214" s="34"/>
      <c r="BQ214" s="11"/>
      <c r="BR214" s="11"/>
      <c r="BS214" s="11"/>
      <c r="BT214" s="11"/>
      <c r="BU214" s="11"/>
      <c r="BV214" s="11"/>
      <c r="BW214" s="11"/>
      <c r="BX214" s="11"/>
      <c r="BY214" s="11"/>
      <c r="BZ214" s="11"/>
      <c r="CA214" s="11"/>
      <c r="CB214" s="11"/>
      <c r="CC214" s="11"/>
      <c r="CD214" s="11"/>
    </row>
    <row r="215" ht="15.75" customHeight="1">
      <c r="BP215" s="34"/>
      <c r="BQ215" s="11"/>
      <c r="BR215" s="11"/>
      <c r="BS215" s="11"/>
      <c r="BT215" s="11"/>
      <c r="BU215" s="11"/>
      <c r="BV215" s="11"/>
      <c r="BW215" s="11"/>
      <c r="BX215" s="11"/>
      <c r="BY215" s="11"/>
      <c r="BZ215" s="11"/>
      <c r="CA215" s="11"/>
      <c r="CB215" s="11"/>
      <c r="CC215" s="11"/>
      <c r="CD215" s="11"/>
    </row>
    <row r="216" ht="15.75" customHeight="1">
      <c r="BP216" s="34"/>
      <c r="BQ216" s="11"/>
      <c r="BR216" s="11"/>
      <c r="BS216" s="11"/>
      <c r="BT216" s="11"/>
      <c r="BU216" s="11"/>
      <c r="BV216" s="11"/>
      <c r="BW216" s="11"/>
      <c r="BX216" s="11"/>
      <c r="BY216" s="11"/>
      <c r="BZ216" s="11"/>
      <c r="CA216" s="11"/>
      <c r="CB216" s="11"/>
      <c r="CC216" s="11"/>
      <c r="CD216" s="11"/>
    </row>
    <row r="217" ht="15.75" customHeight="1">
      <c r="BP217" s="34"/>
      <c r="BQ217" s="11"/>
      <c r="BR217" s="11"/>
      <c r="BS217" s="11"/>
      <c r="BT217" s="11"/>
      <c r="BU217" s="11"/>
      <c r="BV217" s="11"/>
      <c r="BW217" s="11"/>
      <c r="BX217" s="11"/>
      <c r="BY217" s="11"/>
      <c r="BZ217" s="11"/>
      <c r="CA217" s="11"/>
      <c r="CB217" s="11"/>
      <c r="CC217" s="11"/>
      <c r="CD217" s="11"/>
    </row>
    <row r="218" ht="15.75" customHeight="1">
      <c r="BP218" s="34"/>
      <c r="BQ218" s="11"/>
      <c r="BR218" s="11"/>
      <c r="BS218" s="11"/>
      <c r="BT218" s="11"/>
      <c r="BU218" s="11"/>
      <c r="BV218" s="11"/>
      <c r="BW218" s="11"/>
      <c r="BX218" s="11"/>
      <c r="BY218" s="11"/>
      <c r="BZ218" s="11"/>
      <c r="CA218" s="11"/>
      <c r="CB218" s="11"/>
      <c r="CC218" s="11"/>
      <c r="CD218" s="11"/>
    </row>
    <row r="219" ht="15.75" customHeight="1">
      <c r="BP219" s="34"/>
      <c r="BQ219" s="11"/>
      <c r="BR219" s="11"/>
      <c r="BS219" s="11"/>
      <c r="BT219" s="11"/>
      <c r="BU219" s="11"/>
      <c r="BV219" s="11"/>
      <c r="BW219" s="11"/>
      <c r="BX219" s="11"/>
      <c r="BY219" s="11"/>
      <c r="BZ219" s="11"/>
      <c r="CA219" s="11"/>
      <c r="CB219" s="11"/>
      <c r="CC219" s="11"/>
      <c r="CD219" s="11"/>
    </row>
    <row r="220" ht="15.75" customHeight="1">
      <c r="BP220" s="34"/>
      <c r="BQ220" s="11"/>
      <c r="BR220" s="11"/>
      <c r="BS220" s="11"/>
      <c r="BT220" s="11"/>
      <c r="BU220" s="11"/>
      <c r="BV220" s="11"/>
      <c r="BW220" s="11"/>
      <c r="BX220" s="11"/>
      <c r="BY220" s="11"/>
      <c r="BZ220" s="11"/>
      <c r="CA220" s="11"/>
      <c r="CB220" s="11"/>
      <c r="CC220" s="11"/>
      <c r="CD220" s="11"/>
    </row>
    <row r="221" ht="15.75" customHeight="1">
      <c r="BP221" s="34"/>
      <c r="BQ221" s="11"/>
      <c r="BR221" s="11"/>
      <c r="BS221" s="11"/>
      <c r="BT221" s="11"/>
      <c r="BU221" s="11"/>
      <c r="BV221" s="11"/>
      <c r="BW221" s="11"/>
      <c r="BX221" s="11"/>
      <c r="BY221" s="11"/>
      <c r="BZ221" s="11"/>
      <c r="CA221" s="11"/>
      <c r="CB221" s="11"/>
      <c r="CC221" s="11"/>
      <c r="CD221" s="11"/>
    </row>
    <row r="222" ht="15.75" customHeight="1">
      <c r="BP222" s="34"/>
      <c r="BQ222" s="11"/>
      <c r="BR222" s="11"/>
      <c r="BS222" s="11"/>
      <c r="BT222" s="11"/>
      <c r="BU222" s="11"/>
      <c r="BV222" s="11"/>
      <c r="BW222" s="11"/>
      <c r="BX222" s="11"/>
      <c r="BY222" s="11"/>
      <c r="BZ222" s="11"/>
      <c r="CA222" s="11"/>
      <c r="CB222" s="11"/>
      <c r="CC222" s="11"/>
      <c r="CD222" s="11"/>
    </row>
    <row r="223" ht="15.75" customHeight="1">
      <c r="BP223" s="34"/>
      <c r="BQ223" s="11"/>
      <c r="BR223" s="11"/>
      <c r="BS223" s="11"/>
      <c r="BT223" s="11"/>
      <c r="BU223" s="11"/>
      <c r="BV223" s="11"/>
      <c r="BW223" s="11"/>
      <c r="BX223" s="11"/>
      <c r="BY223" s="11"/>
      <c r="BZ223" s="11"/>
      <c r="CA223" s="11"/>
      <c r="CB223" s="11"/>
      <c r="CC223" s="11"/>
      <c r="CD223" s="11"/>
    </row>
    <row r="224" ht="15.75" customHeight="1">
      <c r="BP224" s="34"/>
      <c r="BQ224" s="11"/>
      <c r="BR224" s="11"/>
      <c r="BS224" s="11"/>
      <c r="BT224" s="11"/>
      <c r="BU224" s="11"/>
      <c r="BV224" s="11"/>
      <c r="BW224" s="11"/>
      <c r="BX224" s="11"/>
      <c r="BY224" s="11"/>
      <c r="BZ224" s="11"/>
      <c r="CA224" s="11"/>
      <c r="CB224" s="11"/>
      <c r="CC224" s="11"/>
      <c r="CD224" s="11"/>
    </row>
    <row r="225" ht="15.75" customHeight="1">
      <c r="BP225" s="34"/>
      <c r="BQ225" s="11"/>
      <c r="BR225" s="11"/>
      <c r="BS225" s="11"/>
      <c r="BT225" s="11"/>
      <c r="BU225" s="11"/>
      <c r="BV225" s="11"/>
      <c r="BW225" s="11"/>
      <c r="BX225" s="11"/>
      <c r="BY225" s="11"/>
      <c r="BZ225" s="11"/>
      <c r="CA225" s="11"/>
      <c r="CB225" s="11"/>
      <c r="CC225" s="11"/>
      <c r="CD225" s="11"/>
    </row>
    <row r="226" ht="15.75" customHeight="1">
      <c r="BP226" s="34"/>
      <c r="BQ226" s="11"/>
      <c r="BR226" s="11"/>
      <c r="BS226" s="11"/>
      <c r="BT226" s="11"/>
      <c r="BU226" s="11"/>
      <c r="BV226" s="11"/>
      <c r="BW226" s="11"/>
      <c r="BX226" s="11"/>
      <c r="BY226" s="11"/>
      <c r="BZ226" s="11"/>
      <c r="CA226" s="11"/>
      <c r="CB226" s="11"/>
      <c r="CC226" s="11"/>
      <c r="CD226" s="11"/>
    </row>
    <row r="227" ht="15.75" customHeight="1">
      <c r="BP227" s="34"/>
      <c r="BQ227" s="11"/>
      <c r="BR227" s="11"/>
      <c r="BS227" s="11"/>
      <c r="BT227" s="11"/>
      <c r="BU227" s="11"/>
      <c r="BV227" s="11"/>
      <c r="BW227" s="11"/>
      <c r="BX227" s="11"/>
      <c r="BY227" s="11"/>
      <c r="BZ227" s="11"/>
      <c r="CA227" s="11"/>
      <c r="CB227" s="11"/>
      <c r="CC227" s="11"/>
      <c r="CD227" s="11"/>
    </row>
    <row r="228" ht="15.75" customHeight="1">
      <c r="BP228" s="34"/>
      <c r="BQ228" s="11"/>
      <c r="BR228" s="11"/>
      <c r="BS228" s="11"/>
      <c r="BT228" s="11"/>
      <c r="BU228" s="11"/>
      <c r="BV228" s="11"/>
      <c r="BW228" s="11"/>
      <c r="BX228" s="11"/>
      <c r="BY228" s="11"/>
      <c r="BZ228" s="11"/>
      <c r="CA228" s="11"/>
      <c r="CB228" s="11"/>
      <c r="CC228" s="11"/>
      <c r="CD228" s="11"/>
    </row>
    <row r="229" ht="15.75" customHeight="1">
      <c r="BP229" s="34"/>
      <c r="BQ229" s="11"/>
      <c r="BR229" s="11"/>
      <c r="BS229" s="11"/>
      <c r="BT229" s="11"/>
      <c r="BU229" s="11"/>
      <c r="BV229" s="11"/>
      <c r="BW229" s="11"/>
      <c r="BX229" s="11"/>
      <c r="BY229" s="11"/>
      <c r="BZ229" s="11"/>
      <c r="CA229" s="11"/>
      <c r="CB229" s="11"/>
      <c r="CC229" s="11"/>
      <c r="CD229" s="11"/>
    </row>
    <row r="230" ht="15.75" customHeight="1">
      <c r="BP230" s="34"/>
      <c r="BQ230" s="11"/>
      <c r="BR230" s="11"/>
      <c r="BS230" s="11"/>
      <c r="BT230" s="11"/>
      <c r="BU230" s="11"/>
      <c r="BV230" s="11"/>
      <c r="BW230" s="11"/>
      <c r="BX230" s="11"/>
      <c r="BY230" s="11"/>
      <c r="BZ230" s="11"/>
      <c r="CA230" s="11"/>
      <c r="CB230" s="11"/>
      <c r="CC230" s="11"/>
      <c r="CD230" s="11"/>
    </row>
    <row r="231" ht="15.75" customHeight="1">
      <c r="BP231" s="34"/>
      <c r="BQ231" s="11"/>
      <c r="BR231" s="11"/>
      <c r="BS231" s="11"/>
      <c r="BT231" s="11"/>
      <c r="BU231" s="11"/>
      <c r="BV231" s="11"/>
      <c r="BW231" s="11"/>
      <c r="BX231" s="11"/>
      <c r="BY231" s="11"/>
      <c r="BZ231" s="11"/>
      <c r="CA231" s="11"/>
      <c r="CB231" s="11"/>
      <c r="CC231" s="11"/>
      <c r="CD231" s="11"/>
    </row>
    <row r="232" ht="15.75" customHeight="1">
      <c r="BP232" s="34"/>
      <c r="BQ232" s="11"/>
      <c r="BR232" s="11"/>
      <c r="BS232" s="11"/>
      <c r="BT232" s="11"/>
      <c r="BU232" s="11"/>
      <c r="BV232" s="11"/>
      <c r="BW232" s="11"/>
      <c r="BX232" s="11"/>
      <c r="BY232" s="11"/>
      <c r="BZ232" s="11"/>
      <c r="CA232" s="11"/>
      <c r="CB232" s="11"/>
      <c r="CC232" s="11"/>
      <c r="CD232" s="11"/>
    </row>
    <row r="233" ht="15.75" customHeight="1">
      <c r="BP233" s="34"/>
      <c r="BQ233" s="11"/>
      <c r="BR233" s="11"/>
      <c r="BS233" s="11"/>
      <c r="BT233" s="11"/>
      <c r="BU233" s="11"/>
      <c r="BV233" s="11"/>
      <c r="BW233" s="11"/>
      <c r="BX233" s="11"/>
      <c r="BY233" s="11"/>
      <c r="BZ233" s="11"/>
      <c r="CA233" s="11"/>
      <c r="CB233" s="11"/>
      <c r="CC233" s="11"/>
      <c r="CD233" s="11"/>
    </row>
    <row r="234" ht="15.75" customHeight="1">
      <c r="BP234" s="34"/>
      <c r="BQ234" s="11"/>
      <c r="BR234" s="11"/>
      <c r="BS234" s="11"/>
      <c r="BT234" s="11"/>
      <c r="BU234" s="11"/>
      <c r="BV234" s="11"/>
      <c r="BW234" s="11"/>
      <c r="BX234" s="11"/>
      <c r="BY234" s="11"/>
      <c r="BZ234" s="11"/>
      <c r="CA234" s="11"/>
      <c r="CB234" s="11"/>
      <c r="CC234" s="11"/>
      <c r="CD234" s="11"/>
    </row>
    <row r="235" ht="15.75" customHeight="1">
      <c r="BP235" s="34"/>
      <c r="BQ235" s="11"/>
      <c r="BR235" s="11"/>
      <c r="BS235" s="11"/>
      <c r="BT235" s="11"/>
      <c r="BU235" s="11"/>
      <c r="BV235" s="11"/>
      <c r="BW235" s="11"/>
      <c r="BX235" s="11"/>
      <c r="BY235" s="11"/>
      <c r="BZ235" s="11"/>
      <c r="CA235" s="11"/>
      <c r="CB235" s="11"/>
      <c r="CC235" s="11"/>
      <c r="CD235" s="11"/>
    </row>
    <row r="236" ht="15.75" customHeight="1">
      <c r="BP236" s="34"/>
      <c r="BQ236" s="11"/>
      <c r="BR236" s="11"/>
      <c r="BS236" s="11"/>
      <c r="BT236" s="11"/>
      <c r="BU236" s="11"/>
      <c r="BV236" s="11"/>
      <c r="BW236" s="11"/>
      <c r="BX236" s="11"/>
      <c r="BY236" s="11"/>
      <c r="BZ236" s="11"/>
      <c r="CA236" s="11"/>
      <c r="CB236" s="11"/>
      <c r="CC236" s="11"/>
      <c r="CD236" s="11"/>
    </row>
    <row r="237" ht="15.75" customHeight="1">
      <c r="BP237" s="34"/>
      <c r="BQ237" s="11"/>
      <c r="BR237" s="11"/>
      <c r="BS237" s="11"/>
      <c r="BT237" s="11"/>
      <c r="BU237" s="11"/>
      <c r="BV237" s="11"/>
      <c r="BW237" s="11"/>
      <c r="BX237" s="11"/>
      <c r="BY237" s="11"/>
      <c r="BZ237" s="11"/>
      <c r="CA237" s="11"/>
      <c r="CB237" s="11"/>
      <c r="CC237" s="11"/>
      <c r="CD237" s="11"/>
    </row>
    <row r="238" ht="15.75" customHeight="1">
      <c r="BP238" s="34"/>
      <c r="BQ238" s="11"/>
      <c r="BR238" s="11"/>
      <c r="BS238" s="11"/>
      <c r="BT238" s="11"/>
      <c r="BU238" s="11"/>
      <c r="BV238" s="11"/>
      <c r="BW238" s="11"/>
      <c r="BX238" s="11"/>
      <c r="BY238" s="11"/>
      <c r="BZ238" s="11"/>
      <c r="CA238" s="11"/>
      <c r="CB238" s="11"/>
      <c r="CC238" s="11"/>
      <c r="CD238" s="11"/>
    </row>
    <row r="239" ht="15.75" customHeight="1">
      <c r="BP239" s="34"/>
      <c r="BQ239" s="11"/>
      <c r="BR239" s="11"/>
      <c r="BS239" s="11"/>
      <c r="BT239" s="11"/>
      <c r="BU239" s="11"/>
      <c r="BV239" s="11"/>
      <c r="BW239" s="11"/>
      <c r="BX239" s="11"/>
      <c r="BY239" s="11"/>
      <c r="BZ239" s="11"/>
      <c r="CA239" s="11"/>
      <c r="CB239" s="11"/>
      <c r="CC239" s="11"/>
      <c r="CD239" s="11"/>
    </row>
    <row r="240" ht="15.75" customHeight="1">
      <c r="BP240" s="34"/>
      <c r="BQ240" s="11"/>
      <c r="BR240" s="11"/>
      <c r="BS240" s="11"/>
      <c r="BT240" s="11"/>
      <c r="BU240" s="11"/>
      <c r="BV240" s="11"/>
      <c r="BW240" s="11"/>
      <c r="BX240" s="11"/>
      <c r="BY240" s="11"/>
      <c r="BZ240" s="11"/>
      <c r="CA240" s="11"/>
      <c r="CB240" s="11"/>
      <c r="CC240" s="11"/>
      <c r="CD240" s="11"/>
    </row>
    <row r="241" ht="15.75" customHeight="1">
      <c r="BP241" s="34"/>
      <c r="BQ241" s="11"/>
      <c r="BR241" s="11"/>
      <c r="BS241" s="11"/>
      <c r="BT241" s="11"/>
      <c r="BU241" s="11"/>
      <c r="BV241" s="11"/>
      <c r="BW241" s="11"/>
      <c r="BX241" s="11"/>
      <c r="BY241" s="11"/>
      <c r="BZ241" s="11"/>
      <c r="CA241" s="11"/>
      <c r="CB241" s="11"/>
      <c r="CC241" s="11"/>
      <c r="CD241" s="11"/>
    </row>
    <row r="242" ht="15.75" customHeight="1">
      <c r="BP242" s="34"/>
      <c r="BQ242" s="11"/>
      <c r="BR242" s="11"/>
      <c r="BS242" s="11"/>
      <c r="BT242" s="11"/>
      <c r="BU242" s="11"/>
      <c r="BV242" s="11"/>
      <c r="BW242" s="11"/>
      <c r="BX242" s="11"/>
      <c r="BY242" s="11"/>
      <c r="BZ242" s="11"/>
      <c r="CA242" s="11"/>
      <c r="CB242" s="11"/>
      <c r="CC242" s="11"/>
      <c r="CD242" s="11"/>
    </row>
    <row r="243" ht="15.75" customHeight="1">
      <c r="BP243" s="34"/>
      <c r="BQ243" s="11"/>
      <c r="BR243" s="11"/>
      <c r="BS243" s="11"/>
      <c r="BT243" s="11"/>
      <c r="BU243" s="11"/>
      <c r="BV243" s="11"/>
      <c r="BW243" s="11"/>
      <c r="BX243" s="11"/>
      <c r="BY243" s="11"/>
      <c r="BZ243" s="11"/>
      <c r="CA243" s="11"/>
      <c r="CB243" s="11"/>
      <c r="CC243" s="11"/>
      <c r="CD243" s="11"/>
    </row>
    <row r="244" ht="15.75" customHeight="1">
      <c r="BP244" s="34"/>
      <c r="BQ244" s="11"/>
      <c r="BR244" s="11"/>
      <c r="BS244" s="11"/>
      <c r="BT244" s="11"/>
      <c r="BU244" s="11"/>
      <c r="BV244" s="11"/>
      <c r="BW244" s="11"/>
      <c r="BX244" s="11"/>
      <c r="BY244" s="11"/>
      <c r="BZ244" s="11"/>
      <c r="CA244" s="11"/>
      <c r="CB244" s="11"/>
      <c r="CC244" s="11"/>
      <c r="CD244" s="11"/>
    </row>
    <row r="245" ht="15.75" customHeight="1">
      <c r="BP245" s="34"/>
      <c r="BQ245" s="11"/>
      <c r="BR245" s="11"/>
      <c r="BS245" s="11"/>
      <c r="BT245" s="11"/>
      <c r="BU245" s="11"/>
      <c r="BV245" s="11"/>
      <c r="BW245" s="11"/>
      <c r="BX245" s="11"/>
      <c r="BY245" s="11"/>
      <c r="BZ245" s="11"/>
      <c r="CA245" s="11"/>
      <c r="CB245" s="11"/>
      <c r="CC245" s="11"/>
      <c r="CD245" s="11"/>
    </row>
    <row r="246" ht="15.75" customHeight="1">
      <c r="BP246" s="34"/>
      <c r="BQ246" s="11"/>
      <c r="BR246" s="11"/>
      <c r="BS246" s="11"/>
      <c r="BT246" s="11"/>
      <c r="BU246" s="11"/>
      <c r="BV246" s="11"/>
      <c r="BW246" s="11"/>
      <c r="BX246" s="11"/>
      <c r="BY246" s="11"/>
      <c r="BZ246" s="11"/>
      <c r="CA246" s="11"/>
      <c r="CB246" s="11"/>
      <c r="CC246" s="11"/>
      <c r="CD246" s="11"/>
    </row>
    <row r="247" ht="15.75" customHeight="1">
      <c r="BP247" s="34"/>
      <c r="BQ247" s="11"/>
      <c r="BR247" s="11"/>
      <c r="BS247" s="11"/>
      <c r="BT247" s="11"/>
      <c r="BU247" s="11"/>
      <c r="BV247" s="11"/>
      <c r="BW247" s="11"/>
      <c r="BX247" s="11"/>
      <c r="BY247" s="11"/>
      <c r="BZ247" s="11"/>
      <c r="CA247" s="11"/>
      <c r="CB247" s="11"/>
      <c r="CC247" s="11"/>
      <c r="CD247" s="11"/>
    </row>
    <row r="248" ht="15.75" customHeight="1">
      <c r="BP248" s="34"/>
      <c r="BQ248" s="11"/>
      <c r="BR248" s="11"/>
      <c r="BS248" s="11"/>
      <c r="BT248" s="11"/>
      <c r="BU248" s="11"/>
      <c r="BV248" s="11"/>
      <c r="BW248" s="11"/>
      <c r="BX248" s="11"/>
      <c r="BY248" s="11"/>
      <c r="BZ248" s="11"/>
      <c r="CA248" s="11"/>
      <c r="CB248" s="11"/>
      <c r="CC248" s="11"/>
      <c r="CD248" s="11"/>
    </row>
    <row r="249" ht="15.75" customHeight="1">
      <c r="BP249" s="34"/>
      <c r="BQ249" s="11"/>
      <c r="BR249" s="11"/>
      <c r="BS249" s="11"/>
      <c r="BT249" s="11"/>
      <c r="BU249" s="11"/>
      <c r="BV249" s="11"/>
      <c r="BW249" s="11"/>
      <c r="BX249" s="11"/>
      <c r="BY249" s="11"/>
      <c r="BZ249" s="11"/>
      <c r="CA249" s="11"/>
      <c r="CB249" s="11"/>
      <c r="CC249" s="11"/>
      <c r="CD249" s="11"/>
    </row>
    <row r="250" ht="15.75" customHeight="1">
      <c r="BP250" s="34"/>
      <c r="BQ250" s="11"/>
      <c r="BR250" s="11"/>
      <c r="BS250" s="11"/>
      <c r="BT250" s="11"/>
      <c r="BU250" s="11"/>
      <c r="BV250" s="11"/>
      <c r="BW250" s="11"/>
      <c r="BX250" s="11"/>
      <c r="BY250" s="11"/>
      <c r="BZ250" s="11"/>
      <c r="CA250" s="11"/>
      <c r="CB250" s="11"/>
      <c r="CC250" s="11"/>
      <c r="CD250" s="11"/>
    </row>
    <row r="251" ht="15.75" customHeight="1">
      <c r="BP251" s="34"/>
      <c r="BQ251" s="11"/>
      <c r="BR251" s="11"/>
      <c r="BS251" s="11"/>
      <c r="BT251" s="11"/>
      <c r="BU251" s="11"/>
      <c r="BV251" s="11"/>
      <c r="BW251" s="11"/>
      <c r="BX251" s="11"/>
      <c r="BY251" s="11"/>
      <c r="BZ251" s="11"/>
      <c r="CA251" s="11"/>
      <c r="CB251" s="11"/>
      <c r="CC251" s="11"/>
      <c r="CD251" s="11"/>
    </row>
    <row r="252" ht="15.75" customHeight="1">
      <c r="BP252" s="34"/>
      <c r="BQ252" s="11"/>
      <c r="BR252" s="11"/>
      <c r="BS252" s="11"/>
      <c r="BT252" s="11"/>
      <c r="BU252" s="11"/>
      <c r="BV252" s="11"/>
      <c r="BW252" s="11"/>
      <c r="BX252" s="11"/>
      <c r="BY252" s="11"/>
      <c r="BZ252" s="11"/>
      <c r="CA252" s="11"/>
      <c r="CB252" s="11"/>
      <c r="CC252" s="11"/>
      <c r="CD252" s="11"/>
    </row>
    <row r="253" ht="15.75" customHeight="1">
      <c r="BP253" s="34"/>
      <c r="BQ253" s="11"/>
      <c r="BR253" s="11"/>
      <c r="BS253" s="11"/>
      <c r="BT253" s="11"/>
      <c r="BU253" s="11"/>
      <c r="BV253" s="11"/>
      <c r="BW253" s="11"/>
      <c r="BX253" s="11"/>
      <c r="BY253" s="11"/>
      <c r="BZ253" s="11"/>
      <c r="CA253" s="11"/>
      <c r="CB253" s="11"/>
      <c r="CC253" s="11"/>
      <c r="CD253" s="11"/>
    </row>
    <row r="254" ht="15.75" customHeight="1">
      <c r="BP254" s="34"/>
      <c r="BQ254" s="11"/>
      <c r="BR254" s="11"/>
      <c r="BS254" s="11"/>
      <c r="BT254" s="11"/>
      <c r="BU254" s="11"/>
      <c r="BV254" s="11"/>
      <c r="BW254" s="11"/>
      <c r="BX254" s="11"/>
      <c r="BY254" s="11"/>
      <c r="BZ254" s="11"/>
      <c r="CA254" s="11"/>
      <c r="CB254" s="11"/>
      <c r="CC254" s="11"/>
      <c r="CD254" s="11"/>
    </row>
    <row r="255" ht="15.75" customHeight="1">
      <c r="BP255" s="34"/>
      <c r="BQ255" s="11"/>
      <c r="BR255" s="11"/>
      <c r="BS255" s="11"/>
      <c r="BT255" s="11"/>
      <c r="BU255" s="11"/>
      <c r="BV255" s="11"/>
      <c r="BW255" s="11"/>
      <c r="BX255" s="11"/>
      <c r="BY255" s="11"/>
      <c r="BZ255" s="11"/>
      <c r="CA255" s="11"/>
      <c r="CB255" s="11"/>
      <c r="CC255" s="11"/>
      <c r="CD255" s="11"/>
    </row>
    <row r="256" ht="15.75" customHeight="1">
      <c r="BP256" s="34"/>
      <c r="BQ256" s="11"/>
      <c r="BR256" s="11"/>
      <c r="BS256" s="11"/>
      <c r="BT256" s="11"/>
      <c r="BU256" s="11"/>
      <c r="BV256" s="11"/>
      <c r="BW256" s="11"/>
      <c r="BX256" s="11"/>
      <c r="BY256" s="11"/>
      <c r="BZ256" s="11"/>
      <c r="CA256" s="11"/>
      <c r="CB256" s="11"/>
      <c r="CC256" s="11"/>
      <c r="CD256" s="11"/>
    </row>
    <row r="257" ht="15.75" customHeight="1">
      <c r="BP257" s="34"/>
      <c r="BQ257" s="11"/>
      <c r="BR257" s="11"/>
      <c r="BS257" s="11"/>
      <c r="BT257" s="11"/>
      <c r="BU257" s="11"/>
      <c r="BV257" s="11"/>
      <c r="BW257" s="11"/>
      <c r="BX257" s="11"/>
      <c r="BY257" s="11"/>
      <c r="BZ257" s="11"/>
      <c r="CA257" s="11"/>
      <c r="CB257" s="11"/>
      <c r="CC257" s="11"/>
      <c r="CD257" s="11"/>
    </row>
    <row r="258" ht="15.75" customHeight="1">
      <c r="BP258" s="34"/>
      <c r="BQ258" s="11"/>
      <c r="BR258" s="11"/>
      <c r="BS258" s="11"/>
      <c r="BT258" s="11"/>
      <c r="BU258" s="11"/>
      <c r="BV258" s="11"/>
      <c r="BW258" s="11"/>
      <c r="BX258" s="11"/>
      <c r="BY258" s="11"/>
      <c r="BZ258" s="11"/>
      <c r="CA258" s="11"/>
      <c r="CB258" s="11"/>
      <c r="CC258" s="11"/>
      <c r="CD258" s="11"/>
    </row>
    <row r="259" ht="15.75" customHeight="1">
      <c r="BP259" s="34"/>
      <c r="BQ259" s="11"/>
      <c r="BR259" s="11"/>
      <c r="BS259" s="11"/>
      <c r="BT259" s="11"/>
      <c r="BU259" s="11"/>
      <c r="BV259" s="11"/>
      <c r="BW259" s="11"/>
      <c r="BX259" s="11"/>
      <c r="BY259" s="11"/>
      <c r="BZ259" s="11"/>
      <c r="CA259" s="11"/>
      <c r="CB259" s="11"/>
      <c r="CC259" s="11"/>
      <c r="CD259" s="11"/>
    </row>
    <row r="260" ht="15.75" customHeight="1">
      <c r="BP260" s="34"/>
      <c r="BQ260" s="11"/>
      <c r="BR260" s="11"/>
      <c r="BS260" s="11"/>
      <c r="BT260" s="11"/>
      <c r="BU260" s="11"/>
      <c r="BV260" s="11"/>
      <c r="BW260" s="11"/>
      <c r="BX260" s="11"/>
      <c r="BY260" s="11"/>
      <c r="BZ260" s="11"/>
      <c r="CA260" s="11"/>
      <c r="CB260" s="11"/>
      <c r="CC260" s="11"/>
      <c r="CD260" s="11"/>
    </row>
    <row r="261" ht="15.75" customHeight="1">
      <c r="BP261" s="34"/>
      <c r="BQ261" s="11"/>
      <c r="BR261" s="11"/>
      <c r="BS261" s="11"/>
      <c r="BT261" s="11"/>
      <c r="BU261" s="11"/>
      <c r="BV261" s="11"/>
      <c r="BW261" s="11"/>
      <c r="BX261" s="11"/>
      <c r="BY261" s="11"/>
      <c r="BZ261" s="11"/>
      <c r="CA261" s="11"/>
      <c r="CB261" s="11"/>
      <c r="CC261" s="11"/>
      <c r="CD261" s="11"/>
    </row>
    <row r="262" ht="15.75" customHeight="1">
      <c r="BP262" s="34"/>
      <c r="BQ262" s="11"/>
      <c r="BR262" s="11"/>
      <c r="BS262" s="11"/>
      <c r="BT262" s="11"/>
      <c r="BU262" s="11"/>
      <c r="BV262" s="11"/>
      <c r="BW262" s="11"/>
      <c r="BX262" s="11"/>
      <c r="BY262" s="11"/>
      <c r="BZ262" s="11"/>
      <c r="CA262" s="11"/>
      <c r="CB262" s="11"/>
      <c r="CC262" s="11"/>
      <c r="CD262" s="11"/>
    </row>
    <row r="263" ht="15.75" customHeight="1">
      <c r="BP263" s="34"/>
      <c r="BQ263" s="11"/>
      <c r="BR263" s="11"/>
      <c r="BS263" s="11"/>
      <c r="BT263" s="11"/>
      <c r="BU263" s="11"/>
      <c r="BV263" s="11"/>
      <c r="BW263" s="11"/>
      <c r="BX263" s="11"/>
      <c r="BY263" s="11"/>
      <c r="BZ263" s="11"/>
      <c r="CA263" s="11"/>
      <c r="CB263" s="11"/>
      <c r="CC263" s="11"/>
      <c r="CD263" s="11"/>
    </row>
    <row r="264" ht="15.75" customHeight="1">
      <c r="BP264" s="34"/>
      <c r="BQ264" s="11"/>
      <c r="BR264" s="11"/>
      <c r="BS264" s="11"/>
      <c r="BT264" s="11"/>
      <c r="BU264" s="11"/>
      <c r="BV264" s="11"/>
      <c r="BW264" s="11"/>
      <c r="BX264" s="11"/>
      <c r="BY264" s="11"/>
      <c r="BZ264" s="11"/>
      <c r="CA264" s="11"/>
      <c r="CB264" s="11"/>
      <c r="CC264" s="11"/>
      <c r="CD264" s="11"/>
    </row>
    <row r="265" ht="15.75" customHeight="1">
      <c r="BP265" s="34"/>
      <c r="BQ265" s="11"/>
      <c r="BR265" s="11"/>
      <c r="BS265" s="11"/>
      <c r="BT265" s="11"/>
      <c r="BU265" s="11"/>
      <c r="BV265" s="11"/>
      <c r="BW265" s="11"/>
      <c r="BX265" s="11"/>
      <c r="BY265" s="11"/>
      <c r="BZ265" s="11"/>
      <c r="CA265" s="11"/>
      <c r="CB265" s="11"/>
      <c r="CC265" s="11"/>
      <c r="CD265" s="11"/>
    </row>
    <row r="266" ht="15.75" customHeight="1">
      <c r="BP266" s="34"/>
      <c r="BQ266" s="11"/>
      <c r="BR266" s="11"/>
      <c r="BS266" s="11"/>
      <c r="BT266" s="11"/>
      <c r="BU266" s="11"/>
      <c r="BV266" s="11"/>
      <c r="BW266" s="11"/>
      <c r="BX266" s="11"/>
      <c r="BY266" s="11"/>
      <c r="BZ266" s="11"/>
      <c r="CA266" s="11"/>
      <c r="CB266" s="11"/>
      <c r="CC266" s="11"/>
      <c r="CD266" s="11"/>
    </row>
    <row r="267" ht="15.75" customHeight="1">
      <c r="BP267" s="34"/>
      <c r="BQ267" s="11"/>
      <c r="BR267" s="11"/>
      <c r="BS267" s="11"/>
      <c r="BT267" s="11"/>
      <c r="BU267" s="11"/>
      <c r="BV267" s="11"/>
      <c r="BW267" s="11"/>
      <c r="BX267" s="11"/>
      <c r="BY267" s="11"/>
      <c r="BZ267" s="11"/>
      <c r="CA267" s="11"/>
      <c r="CB267" s="11"/>
      <c r="CC267" s="11"/>
      <c r="CD267" s="11"/>
    </row>
    <row r="268" ht="15.75" customHeight="1">
      <c r="BP268" s="34"/>
      <c r="BQ268" s="11"/>
      <c r="BR268" s="11"/>
      <c r="BS268" s="11"/>
      <c r="BT268" s="11"/>
      <c r="BU268" s="11"/>
      <c r="BV268" s="11"/>
      <c r="BW268" s="11"/>
      <c r="BX268" s="11"/>
      <c r="BY268" s="11"/>
      <c r="BZ268" s="11"/>
      <c r="CA268" s="11"/>
      <c r="CB268" s="11"/>
      <c r="CC268" s="11"/>
      <c r="CD268" s="11"/>
    </row>
    <row r="269" ht="15.75" customHeight="1">
      <c r="BP269" s="34"/>
      <c r="BQ269" s="11"/>
      <c r="BR269" s="11"/>
      <c r="BS269" s="11"/>
      <c r="BT269" s="11"/>
      <c r="BU269" s="11"/>
      <c r="BV269" s="11"/>
      <c r="BW269" s="11"/>
      <c r="BX269" s="11"/>
      <c r="BY269" s="11"/>
      <c r="BZ269" s="11"/>
      <c r="CA269" s="11"/>
      <c r="CB269" s="11"/>
      <c r="CC269" s="11"/>
      <c r="CD269" s="11"/>
    </row>
    <row r="270" ht="15.75" customHeight="1">
      <c r="BP270" s="34"/>
      <c r="BQ270" s="11"/>
      <c r="BR270" s="11"/>
      <c r="BS270" s="11"/>
      <c r="BT270" s="11"/>
      <c r="BU270" s="11"/>
      <c r="BV270" s="11"/>
      <c r="BW270" s="11"/>
      <c r="BX270" s="11"/>
      <c r="BY270" s="11"/>
      <c r="BZ270" s="11"/>
      <c r="CA270" s="11"/>
      <c r="CB270" s="11"/>
      <c r="CC270" s="11"/>
      <c r="CD270" s="11"/>
    </row>
    <row r="271" ht="15.75" customHeight="1">
      <c r="BP271" s="34"/>
      <c r="BQ271" s="11"/>
      <c r="BR271" s="11"/>
      <c r="BS271" s="11"/>
      <c r="BT271" s="11"/>
      <c r="BU271" s="11"/>
      <c r="BV271" s="11"/>
      <c r="BW271" s="11"/>
      <c r="BX271" s="11"/>
      <c r="BY271" s="11"/>
      <c r="BZ271" s="11"/>
      <c r="CA271" s="11"/>
      <c r="CB271" s="11"/>
      <c r="CC271" s="11"/>
      <c r="CD271" s="11"/>
    </row>
    <row r="272" ht="15.75" customHeight="1">
      <c r="BP272" s="34"/>
      <c r="BQ272" s="11"/>
      <c r="BR272" s="11"/>
      <c r="BS272" s="11"/>
      <c r="BT272" s="11"/>
      <c r="BU272" s="11"/>
      <c r="BV272" s="11"/>
      <c r="BW272" s="11"/>
      <c r="BX272" s="11"/>
      <c r="BY272" s="11"/>
      <c r="BZ272" s="11"/>
      <c r="CA272" s="11"/>
      <c r="CB272" s="11"/>
      <c r="CC272" s="11"/>
      <c r="CD272" s="11"/>
    </row>
    <row r="273" ht="15.75" customHeight="1">
      <c r="BP273" s="34"/>
      <c r="BQ273" s="11"/>
      <c r="BR273" s="11"/>
      <c r="BS273" s="11"/>
      <c r="BT273" s="11"/>
      <c r="BU273" s="11"/>
      <c r="BV273" s="11"/>
      <c r="BW273" s="11"/>
      <c r="BX273" s="11"/>
      <c r="BY273" s="11"/>
      <c r="BZ273" s="11"/>
      <c r="CA273" s="11"/>
      <c r="CB273" s="11"/>
      <c r="CC273" s="11"/>
      <c r="CD273" s="11"/>
    </row>
    <row r="274" ht="15.75" customHeight="1">
      <c r="BP274" s="34"/>
      <c r="BQ274" s="11"/>
      <c r="BR274" s="11"/>
      <c r="BS274" s="11"/>
      <c r="BT274" s="11"/>
      <c r="BU274" s="11"/>
      <c r="BV274" s="11"/>
      <c r="BW274" s="11"/>
      <c r="BX274" s="11"/>
      <c r="BY274" s="11"/>
      <c r="BZ274" s="11"/>
      <c r="CA274" s="11"/>
      <c r="CB274" s="11"/>
      <c r="CC274" s="11"/>
      <c r="CD274" s="11"/>
    </row>
    <row r="275" ht="15.75" customHeight="1">
      <c r="BP275" s="34"/>
      <c r="BQ275" s="11"/>
      <c r="BR275" s="11"/>
      <c r="BS275" s="11"/>
      <c r="BT275" s="11"/>
      <c r="BU275" s="11"/>
      <c r="BV275" s="11"/>
      <c r="BW275" s="11"/>
      <c r="BX275" s="11"/>
      <c r="BY275" s="11"/>
      <c r="BZ275" s="11"/>
      <c r="CA275" s="11"/>
      <c r="CB275" s="11"/>
      <c r="CC275" s="11"/>
      <c r="CD275" s="11"/>
    </row>
    <row r="276" ht="15.75" customHeight="1">
      <c r="BP276" s="34"/>
      <c r="BQ276" s="11"/>
      <c r="BR276" s="11"/>
      <c r="BS276" s="11"/>
      <c r="BT276" s="11"/>
      <c r="BU276" s="11"/>
      <c r="BV276" s="11"/>
      <c r="BW276" s="11"/>
      <c r="BX276" s="11"/>
      <c r="BY276" s="11"/>
      <c r="BZ276" s="11"/>
      <c r="CA276" s="11"/>
      <c r="CB276" s="11"/>
      <c r="CC276" s="11"/>
      <c r="CD276" s="11"/>
    </row>
    <row r="277" ht="15.75" customHeight="1">
      <c r="BP277" s="34"/>
      <c r="BQ277" s="11"/>
      <c r="BR277" s="11"/>
      <c r="BS277" s="11"/>
      <c r="BT277" s="11"/>
      <c r="BU277" s="11"/>
      <c r="BV277" s="11"/>
      <c r="BW277" s="11"/>
      <c r="BX277" s="11"/>
      <c r="BY277" s="11"/>
      <c r="BZ277" s="11"/>
      <c r="CA277" s="11"/>
      <c r="CB277" s="11"/>
      <c r="CC277" s="11"/>
      <c r="CD277" s="11"/>
    </row>
    <row r="278" ht="15.75" customHeight="1">
      <c r="BP278" s="34"/>
      <c r="BQ278" s="11"/>
      <c r="BR278" s="11"/>
      <c r="BS278" s="11"/>
      <c r="BT278" s="11"/>
      <c r="BU278" s="11"/>
      <c r="BV278" s="11"/>
      <c r="BW278" s="11"/>
      <c r="BX278" s="11"/>
      <c r="BY278" s="11"/>
      <c r="BZ278" s="11"/>
      <c r="CA278" s="11"/>
      <c r="CB278" s="11"/>
      <c r="CC278" s="11"/>
      <c r="CD278" s="11"/>
    </row>
    <row r="279" ht="15.75" customHeight="1">
      <c r="BP279" s="34"/>
      <c r="BQ279" s="11"/>
      <c r="BR279" s="11"/>
      <c r="BS279" s="11"/>
      <c r="BT279" s="11"/>
      <c r="BU279" s="11"/>
      <c r="BV279" s="11"/>
      <c r="BW279" s="11"/>
      <c r="BX279" s="11"/>
      <c r="BY279" s="11"/>
      <c r="BZ279" s="11"/>
      <c r="CA279" s="11"/>
      <c r="CB279" s="11"/>
      <c r="CC279" s="11"/>
      <c r="CD279" s="11"/>
    </row>
    <row r="280" ht="15.75" customHeight="1">
      <c r="BP280" s="34"/>
      <c r="BQ280" s="11"/>
      <c r="BR280" s="11"/>
      <c r="BS280" s="11"/>
      <c r="BT280" s="11"/>
      <c r="BU280" s="11"/>
      <c r="BV280" s="11"/>
      <c r="BW280" s="11"/>
      <c r="BX280" s="11"/>
      <c r="BY280" s="11"/>
      <c r="BZ280" s="11"/>
      <c r="CA280" s="11"/>
      <c r="CB280" s="11"/>
      <c r="CC280" s="11"/>
      <c r="CD280" s="11"/>
    </row>
    <row r="281" ht="15.75" customHeight="1">
      <c r="BP281" s="34"/>
      <c r="BQ281" s="11"/>
      <c r="BR281" s="11"/>
      <c r="BS281" s="11"/>
      <c r="BT281" s="11"/>
      <c r="BU281" s="11"/>
      <c r="BV281" s="11"/>
      <c r="BW281" s="11"/>
      <c r="BX281" s="11"/>
      <c r="BY281" s="11"/>
      <c r="BZ281" s="11"/>
      <c r="CA281" s="11"/>
      <c r="CB281" s="11"/>
      <c r="CC281" s="11"/>
      <c r="CD281" s="11"/>
    </row>
    <row r="282" ht="15.75" customHeight="1">
      <c r="BP282" s="34"/>
      <c r="BQ282" s="11"/>
      <c r="BR282" s="11"/>
      <c r="BS282" s="11"/>
      <c r="BT282" s="11"/>
      <c r="BU282" s="11"/>
      <c r="BV282" s="11"/>
      <c r="BW282" s="11"/>
      <c r="BX282" s="11"/>
      <c r="BY282" s="11"/>
      <c r="BZ282" s="11"/>
      <c r="CA282" s="11"/>
      <c r="CB282" s="11"/>
      <c r="CC282" s="11"/>
      <c r="CD282" s="11"/>
    </row>
    <row r="283" ht="15.75" customHeight="1">
      <c r="BP283" s="34"/>
      <c r="BQ283" s="11"/>
      <c r="BR283" s="11"/>
      <c r="BS283" s="11"/>
      <c r="BT283" s="11"/>
      <c r="BU283" s="11"/>
      <c r="BV283" s="11"/>
      <c r="BW283" s="11"/>
      <c r="BX283" s="11"/>
      <c r="BY283" s="11"/>
      <c r="BZ283" s="11"/>
      <c r="CA283" s="11"/>
      <c r="CB283" s="11"/>
      <c r="CC283" s="11"/>
      <c r="CD283" s="11"/>
    </row>
    <row r="284" ht="15.75" customHeight="1">
      <c r="BP284" s="34"/>
      <c r="BQ284" s="11"/>
      <c r="BR284" s="11"/>
      <c r="BS284" s="11"/>
      <c r="BT284" s="11"/>
      <c r="BU284" s="11"/>
      <c r="BV284" s="11"/>
      <c r="BW284" s="11"/>
      <c r="BX284" s="11"/>
      <c r="BY284" s="11"/>
      <c r="BZ284" s="11"/>
      <c r="CA284" s="11"/>
      <c r="CB284" s="11"/>
      <c r="CC284" s="11"/>
      <c r="CD284" s="11"/>
    </row>
    <row r="285" ht="15.75" customHeight="1">
      <c r="BP285" s="34"/>
      <c r="BQ285" s="11"/>
      <c r="BR285" s="11"/>
      <c r="BS285" s="11"/>
      <c r="BT285" s="11"/>
      <c r="BU285" s="11"/>
      <c r="BV285" s="11"/>
      <c r="BW285" s="11"/>
      <c r="BX285" s="11"/>
      <c r="BY285" s="11"/>
      <c r="BZ285" s="11"/>
      <c r="CA285" s="11"/>
      <c r="CB285" s="11"/>
      <c r="CC285" s="11"/>
      <c r="CD285" s="11"/>
    </row>
    <row r="286" ht="15.75" customHeight="1">
      <c r="BP286" s="34"/>
      <c r="BQ286" s="11"/>
      <c r="BR286" s="11"/>
      <c r="BS286" s="11"/>
      <c r="BT286" s="11"/>
      <c r="BU286" s="11"/>
      <c r="BV286" s="11"/>
      <c r="BW286" s="11"/>
      <c r="BX286" s="11"/>
      <c r="BY286" s="11"/>
      <c r="BZ286" s="11"/>
      <c r="CA286" s="11"/>
      <c r="CB286" s="11"/>
      <c r="CC286" s="11"/>
      <c r="CD286" s="11"/>
    </row>
    <row r="287" ht="15.75" customHeight="1">
      <c r="BP287" s="34"/>
      <c r="BQ287" s="11"/>
      <c r="BR287" s="11"/>
      <c r="BS287" s="11"/>
      <c r="BT287" s="11"/>
      <c r="BU287" s="11"/>
      <c r="BV287" s="11"/>
      <c r="BW287" s="11"/>
      <c r="BX287" s="11"/>
      <c r="BY287" s="11"/>
      <c r="BZ287" s="11"/>
      <c r="CA287" s="11"/>
      <c r="CB287" s="11"/>
      <c r="CC287" s="11"/>
      <c r="CD287" s="11"/>
    </row>
    <row r="288" ht="15.75" customHeight="1">
      <c r="BP288" s="34"/>
      <c r="BQ288" s="11"/>
      <c r="BR288" s="11"/>
      <c r="BS288" s="11"/>
      <c r="BT288" s="11"/>
      <c r="BU288" s="11"/>
      <c r="BV288" s="11"/>
      <c r="BW288" s="11"/>
      <c r="BX288" s="11"/>
      <c r="BY288" s="11"/>
      <c r="BZ288" s="11"/>
      <c r="CA288" s="11"/>
      <c r="CB288" s="11"/>
      <c r="CC288" s="11"/>
      <c r="CD288" s="11"/>
    </row>
    <row r="289" ht="15.75" customHeight="1">
      <c r="BP289" s="34"/>
      <c r="BQ289" s="11"/>
      <c r="BR289" s="11"/>
      <c r="BS289" s="11"/>
      <c r="BT289" s="11"/>
      <c r="BU289" s="11"/>
      <c r="BV289" s="11"/>
      <c r="BW289" s="11"/>
      <c r="BX289" s="11"/>
      <c r="BY289" s="11"/>
      <c r="BZ289" s="11"/>
      <c r="CA289" s="11"/>
      <c r="CB289" s="11"/>
      <c r="CC289" s="11"/>
      <c r="CD289" s="11"/>
    </row>
    <row r="290" ht="15.75" customHeight="1">
      <c r="BP290" s="34"/>
      <c r="BQ290" s="11"/>
      <c r="BR290" s="11"/>
      <c r="BS290" s="11"/>
      <c r="BT290" s="11"/>
      <c r="BU290" s="11"/>
      <c r="BV290" s="11"/>
      <c r="BW290" s="11"/>
      <c r="BX290" s="11"/>
      <c r="BY290" s="11"/>
      <c r="BZ290" s="11"/>
      <c r="CA290" s="11"/>
      <c r="CB290" s="11"/>
      <c r="CC290" s="11"/>
      <c r="CD290" s="11"/>
    </row>
    <row r="291" ht="15.75" customHeight="1">
      <c r="BP291" s="34"/>
      <c r="BQ291" s="11"/>
      <c r="BR291" s="11"/>
      <c r="BS291" s="11"/>
      <c r="BT291" s="11"/>
      <c r="BU291" s="11"/>
      <c r="BV291" s="11"/>
      <c r="BW291" s="11"/>
      <c r="BX291" s="11"/>
      <c r="BY291" s="11"/>
      <c r="BZ291" s="11"/>
      <c r="CA291" s="11"/>
      <c r="CB291" s="11"/>
      <c r="CC291" s="11"/>
      <c r="CD291" s="11"/>
    </row>
    <row r="292" ht="15.75" customHeight="1">
      <c r="BP292" s="34"/>
      <c r="BQ292" s="11"/>
      <c r="BR292" s="11"/>
      <c r="BS292" s="11"/>
      <c r="BT292" s="11"/>
      <c r="BU292" s="11"/>
      <c r="BV292" s="11"/>
      <c r="BW292" s="11"/>
      <c r="BX292" s="11"/>
      <c r="BY292" s="11"/>
      <c r="BZ292" s="11"/>
      <c r="CA292" s="11"/>
      <c r="CB292" s="11"/>
      <c r="CC292" s="11"/>
      <c r="CD292" s="11"/>
    </row>
    <row r="293" ht="15.75" customHeight="1">
      <c r="BP293" s="34"/>
      <c r="BQ293" s="11"/>
      <c r="BR293" s="11"/>
      <c r="BS293" s="11"/>
      <c r="BT293" s="11"/>
      <c r="BU293" s="11"/>
      <c r="BV293" s="11"/>
      <c r="BW293" s="11"/>
      <c r="BX293" s="11"/>
      <c r="BY293" s="11"/>
      <c r="BZ293" s="11"/>
      <c r="CA293" s="11"/>
      <c r="CB293" s="11"/>
      <c r="CC293" s="11"/>
      <c r="CD293" s="11"/>
    </row>
    <row r="294" ht="15.75" customHeight="1">
      <c r="BP294" s="34"/>
      <c r="BQ294" s="11"/>
      <c r="BR294" s="11"/>
      <c r="BS294" s="11"/>
      <c r="BT294" s="11"/>
      <c r="BU294" s="11"/>
      <c r="BV294" s="11"/>
      <c r="BW294" s="11"/>
      <c r="BX294" s="11"/>
      <c r="BY294" s="11"/>
      <c r="BZ294" s="11"/>
      <c r="CA294" s="11"/>
      <c r="CB294" s="11"/>
      <c r="CC294" s="11"/>
      <c r="CD294" s="11"/>
    </row>
    <row r="295" ht="15.75" customHeight="1">
      <c r="BP295" s="34"/>
      <c r="BQ295" s="11"/>
      <c r="BR295" s="11"/>
      <c r="BS295" s="11"/>
      <c r="BT295" s="11"/>
      <c r="BU295" s="11"/>
      <c r="BV295" s="11"/>
      <c r="BW295" s="11"/>
      <c r="BX295" s="11"/>
      <c r="BY295" s="11"/>
      <c r="BZ295" s="11"/>
      <c r="CA295" s="11"/>
      <c r="CB295" s="11"/>
      <c r="CC295" s="11"/>
      <c r="CD295" s="11"/>
    </row>
    <row r="296" ht="15.75" customHeight="1">
      <c r="BP296" s="34"/>
      <c r="BQ296" s="11"/>
      <c r="BR296" s="11"/>
      <c r="BS296" s="11"/>
      <c r="BT296" s="11"/>
      <c r="BU296" s="11"/>
      <c r="BV296" s="11"/>
      <c r="BW296" s="11"/>
      <c r="BX296" s="11"/>
      <c r="BY296" s="11"/>
      <c r="BZ296" s="11"/>
      <c r="CA296" s="11"/>
      <c r="CB296" s="11"/>
      <c r="CC296" s="11"/>
      <c r="CD296" s="11"/>
    </row>
    <row r="297" ht="15.75" customHeight="1">
      <c r="BP297" s="34"/>
      <c r="BQ297" s="11"/>
      <c r="BR297" s="11"/>
      <c r="BS297" s="11"/>
      <c r="BT297" s="11"/>
      <c r="BU297" s="11"/>
      <c r="BV297" s="11"/>
      <c r="BW297" s="11"/>
      <c r="BX297" s="11"/>
      <c r="BY297" s="11"/>
      <c r="BZ297" s="11"/>
      <c r="CA297" s="11"/>
      <c r="CB297" s="11"/>
      <c r="CC297" s="11"/>
      <c r="CD297" s="11"/>
    </row>
    <row r="298" ht="15.75" customHeight="1">
      <c r="BP298" s="34"/>
      <c r="BQ298" s="11"/>
      <c r="BR298" s="11"/>
      <c r="BS298" s="11"/>
      <c r="BT298" s="11"/>
      <c r="BU298" s="11"/>
      <c r="BV298" s="11"/>
      <c r="BW298" s="11"/>
      <c r="BX298" s="11"/>
      <c r="BY298" s="11"/>
      <c r="BZ298" s="11"/>
      <c r="CA298" s="11"/>
      <c r="CB298" s="11"/>
      <c r="CC298" s="11"/>
      <c r="CD298" s="11"/>
    </row>
    <row r="299" ht="15.75" customHeight="1">
      <c r="BP299" s="34"/>
      <c r="BQ299" s="11"/>
      <c r="BR299" s="11"/>
      <c r="BS299" s="11"/>
      <c r="BT299" s="11"/>
      <c r="BU299" s="11"/>
      <c r="BV299" s="11"/>
      <c r="BW299" s="11"/>
      <c r="BX299" s="11"/>
      <c r="BY299" s="11"/>
      <c r="BZ299" s="11"/>
      <c r="CA299" s="11"/>
      <c r="CB299" s="11"/>
      <c r="CC299" s="11"/>
      <c r="CD299" s="11"/>
    </row>
    <row r="300" ht="15.75" customHeight="1">
      <c r="BP300" s="34"/>
      <c r="BQ300" s="11"/>
      <c r="BR300" s="11"/>
      <c r="BS300" s="11"/>
      <c r="BT300" s="11"/>
      <c r="BU300" s="11"/>
      <c r="BV300" s="11"/>
      <c r="BW300" s="11"/>
      <c r="BX300" s="11"/>
      <c r="BY300" s="11"/>
      <c r="BZ300" s="11"/>
      <c r="CA300" s="11"/>
      <c r="CB300" s="11"/>
      <c r="CC300" s="11"/>
      <c r="CD300" s="11"/>
    </row>
    <row r="301" ht="15.75" customHeight="1">
      <c r="BP301" s="34"/>
      <c r="BQ301" s="11"/>
      <c r="BR301" s="11"/>
      <c r="BS301" s="11"/>
      <c r="BT301" s="11"/>
      <c r="BU301" s="11"/>
      <c r="BV301" s="11"/>
      <c r="BW301" s="11"/>
      <c r="BX301" s="11"/>
      <c r="BY301" s="11"/>
      <c r="BZ301" s="11"/>
      <c r="CA301" s="11"/>
      <c r="CB301" s="11"/>
      <c r="CC301" s="11"/>
      <c r="CD301" s="11"/>
    </row>
    <row r="302" ht="15.75" customHeight="1">
      <c r="BP302" s="34"/>
      <c r="BQ302" s="11"/>
      <c r="BR302" s="11"/>
      <c r="BS302" s="11"/>
      <c r="BT302" s="11"/>
      <c r="BU302" s="11"/>
      <c r="BV302" s="11"/>
      <c r="BW302" s="11"/>
      <c r="BX302" s="11"/>
      <c r="BY302" s="11"/>
      <c r="BZ302" s="11"/>
      <c r="CA302" s="11"/>
      <c r="CB302" s="11"/>
      <c r="CC302" s="11"/>
      <c r="CD302" s="11"/>
    </row>
    <row r="303" ht="15.75" customHeight="1">
      <c r="BP303" s="34"/>
      <c r="BQ303" s="11"/>
      <c r="BR303" s="11"/>
      <c r="BS303" s="11"/>
      <c r="BT303" s="11"/>
      <c r="BU303" s="11"/>
      <c r="BV303" s="11"/>
      <c r="BW303" s="11"/>
      <c r="BX303" s="11"/>
      <c r="BY303" s="11"/>
      <c r="BZ303" s="11"/>
      <c r="CA303" s="11"/>
      <c r="CB303" s="11"/>
      <c r="CC303" s="11"/>
      <c r="CD303" s="11"/>
    </row>
    <row r="304" ht="15.75" customHeight="1">
      <c r="BP304" s="34"/>
      <c r="BQ304" s="11"/>
      <c r="BR304" s="11"/>
      <c r="BS304" s="11"/>
      <c r="BT304" s="11"/>
      <c r="BU304" s="11"/>
      <c r="BV304" s="11"/>
      <c r="BW304" s="11"/>
      <c r="BX304" s="11"/>
      <c r="BY304" s="11"/>
      <c r="BZ304" s="11"/>
      <c r="CA304" s="11"/>
      <c r="CB304" s="11"/>
      <c r="CC304" s="11"/>
      <c r="CD304" s="11"/>
    </row>
    <row r="305" ht="15.75" customHeight="1">
      <c r="BP305" s="34"/>
      <c r="BQ305" s="11"/>
      <c r="BR305" s="11"/>
      <c r="BS305" s="11"/>
      <c r="BT305" s="11"/>
      <c r="BU305" s="11"/>
      <c r="BV305" s="11"/>
      <c r="BW305" s="11"/>
      <c r="BX305" s="11"/>
      <c r="BY305" s="11"/>
      <c r="BZ305" s="11"/>
      <c r="CA305" s="11"/>
      <c r="CB305" s="11"/>
      <c r="CC305" s="11"/>
      <c r="CD305" s="11"/>
    </row>
    <row r="306" ht="15.75" customHeight="1">
      <c r="BP306" s="34"/>
      <c r="BQ306" s="11"/>
      <c r="BR306" s="11"/>
      <c r="BS306" s="11"/>
      <c r="BT306" s="11"/>
      <c r="BU306" s="11"/>
      <c r="BV306" s="11"/>
      <c r="BW306" s="11"/>
      <c r="BX306" s="11"/>
      <c r="BY306" s="11"/>
      <c r="BZ306" s="11"/>
      <c r="CA306" s="11"/>
      <c r="CB306" s="11"/>
      <c r="CC306" s="11"/>
      <c r="CD306" s="11"/>
    </row>
    <row r="307" ht="15.75" customHeight="1">
      <c r="BP307" s="34"/>
      <c r="BQ307" s="11"/>
      <c r="BR307" s="11"/>
      <c r="BS307" s="11"/>
      <c r="BT307" s="11"/>
      <c r="BU307" s="11"/>
      <c r="BV307" s="11"/>
      <c r="BW307" s="11"/>
      <c r="BX307" s="11"/>
      <c r="BY307" s="11"/>
      <c r="BZ307" s="11"/>
      <c r="CA307" s="11"/>
      <c r="CB307" s="11"/>
      <c r="CC307" s="11"/>
      <c r="CD307" s="11"/>
    </row>
    <row r="308" ht="15.75" customHeight="1">
      <c r="BP308" s="34"/>
      <c r="BQ308" s="11"/>
      <c r="BR308" s="11"/>
      <c r="BS308" s="11"/>
      <c r="BT308" s="11"/>
      <c r="BU308" s="11"/>
      <c r="BV308" s="11"/>
      <c r="BW308" s="11"/>
      <c r="BX308" s="11"/>
      <c r="BY308" s="11"/>
      <c r="BZ308" s="11"/>
      <c r="CA308" s="11"/>
      <c r="CB308" s="11"/>
      <c r="CC308" s="11"/>
      <c r="CD308" s="11"/>
    </row>
    <row r="309" ht="15.75" customHeight="1">
      <c r="BP309" s="34"/>
      <c r="BQ309" s="11"/>
      <c r="BR309" s="11"/>
      <c r="BS309" s="11"/>
      <c r="BT309" s="11"/>
      <c r="BU309" s="11"/>
      <c r="BV309" s="11"/>
      <c r="BW309" s="11"/>
      <c r="BX309" s="11"/>
      <c r="BY309" s="11"/>
      <c r="BZ309" s="11"/>
      <c r="CA309" s="11"/>
      <c r="CB309" s="11"/>
      <c r="CC309" s="11"/>
      <c r="CD309" s="11"/>
    </row>
    <row r="310" ht="15.75" customHeight="1">
      <c r="BP310" s="34"/>
      <c r="BQ310" s="11"/>
      <c r="BR310" s="11"/>
      <c r="BS310" s="11"/>
      <c r="BT310" s="11"/>
      <c r="BU310" s="11"/>
      <c r="BV310" s="11"/>
      <c r="BW310" s="11"/>
      <c r="BX310" s="11"/>
      <c r="BY310" s="11"/>
      <c r="BZ310" s="11"/>
      <c r="CA310" s="11"/>
      <c r="CB310" s="11"/>
      <c r="CC310" s="11"/>
      <c r="CD310" s="11"/>
    </row>
    <row r="311" ht="15.75" customHeight="1">
      <c r="BP311" s="34"/>
      <c r="BQ311" s="11"/>
      <c r="BR311" s="11"/>
      <c r="BS311" s="11"/>
      <c r="BT311" s="11"/>
      <c r="BU311" s="11"/>
      <c r="BV311" s="11"/>
      <c r="BW311" s="11"/>
      <c r="BX311" s="11"/>
      <c r="BY311" s="11"/>
      <c r="BZ311" s="11"/>
      <c r="CA311" s="11"/>
      <c r="CB311" s="11"/>
      <c r="CC311" s="11"/>
      <c r="CD311" s="11"/>
    </row>
    <row r="312" ht="15.75" customHeight="1">
      <c r="BP312" s="34"/>
      <c r="BQ312" s="11"/>
      <c r="BR312" s="11"/>
      <c r="BS312" s="11"/>
      <c r="BT312" s="11"/>
      <c r="BU312" s="11"/>
      <c r="BV312" s="11"/>
      <c r="BW312" s="11"/>
      <c r="BX312" s="11"/>
      <c r="BY312" s="11"/>
      <c r="BZ312" s="11"/>
      <c r="CA312" s="11"/>
      <c r="CB312" s="11"/>
      <c r="CC312" s="11"/>
      <c r="CD312" s="11"/>
    </row>
    <row r="313" ht="15.75" customHeight="1">
      <c r="BP313" s="34"/>
      <c r="BQ313" s="11"/>
      <c r="BR313" s="11"/>
      <c r="BS313" s="11"/>
      <c r="BT313" s="11"/>
      <c r="BU313" s="11"/>
      <c r="BV313" s="11"/>
      <c r="BW313" s="11"/>
      <c r="BX313" s="11"/>
      <c r="BY313" s="11"/>
      <c r="BZ313" s="11"/>
      <c r="CA313" s="11"/>
      <c r="CB313" s="11"/>
      <c r="CC313" s="11"/>
      <c r="CD313" s="11"/>
    </row>
    <row r="314" ht="15.75" customHeight="1">
      <c r="BP314" s="34"/>
      <c r="BQ314" s="11"/>
      <c r="BR314" s="11"/>
      <c r="BS314" s="11"/>
      <c r="BT314" s="11"/>
      <c r="BU314" s="11"/>
      <c r="BV314" s="11"/>
      <c r="BW314" s="11"/>
      <c r="BX314" s="11"/>
      <c r="BY314" s="11"/>
      <c r="BZ314" s="11"/>
      <c r="CA314" s="11"/>
      <c r="CB314" s="11"/>
      <c r="CC314" s="11"/>
      <c r="CD314" s="11"/>
    </row>
    <row r="315" ht="15.75" customHeight="1">
      <c r="BP315" s="34"/>
      <c r="BQ315" s="11"/>
      <c r="BR315" s="11"/>
      <c r="BS315" s="11"/>
      <c r="BT315" s="11"/>
      <c r="BU315" s="11"/>
      <c r="BV315" s="11"/>
      <c r="BW315" s="11"/>
      <c r="BX315" s="11"/>
      <c r="BY315" s="11"/>
      <c r="BZ315" s="11"/>
      <c r="CA315" s="11"/>
      <c r="CB315" s="11"/>
      <c r="CC315" s="11"/>
      <c r="CD315" s="11"/>
    </row>
    <row r="316" ht="15.75" customHeight="1">
      <c r="BP316" s="34"/>
      <c r="BQ316" s="11"/>
      <c r="BR316" s="11"/>
      <c r="BS316" s="11"/>
      <c r="BT316" s="11"/>
      <c r="BU316" s="11"/>
      <c r="BV316" s="11"/>
      <c r="BW316" s="11"/>
      <c r="BX316" s="11"/>
      <c r="BY316" s="11"/>
      <c r="BZ316" s="11"/>
      <c r="CA316" s="11"/>
      <c r="CB316" s="11"/>
      <c r="CC316" s="11"/>
      <c r="CD316" s="11"/>
    </row>
    <row r="317" ht="15.75" customHeight="1">
      <c r="BP317" s="34"/>
      <c r="BQ317" s="11"/>
      <c r="BR317" s="11"/>
      <c r="BS317" s="11"/>
      <c r="BT317" s="11"/>
      <c r="BU317" s="11"/>
      <c r="BV317" s="11"/>
      <c r="BW317" s="11"/>
      <c r="BX317" s="11"/>
      <c r="BY317" s="11"/>
      <c r="BZ317" s="11"/>
      <c r="CA317" s="11"/>
      <c r="CB317" s="11"/>
      <c r="CC317" s="11"/>
      <c r="CD317" s="11"/>
    </row>
    <row r="318" ht="15.75" customHeight="1">
      <c r="BP318" s="34"/>
      <c r="BQ318" s="11"/>
      <c r="BR318" s="11"/>
      <c r="BS318" s="11"/>
      <c r="BT318" s="11"/>
      <c r="BU318" s="11"/>
      <c r="BV318" s="11"/>
      <c r="BW318" s="11"/>
      <c r="BX318" s="11"/>
      <c r="BY318" s="11"/>
      <c r="BZ318" s="11"/>
      <c r="CA318" s="11"/>
      <c r="CB318" s="11"/>
      <c r="CC318" s="11"/>
      <c r="CD318" s="11"/>
    </row>
    <row r="319" ht="15.75" customHeight="1">
      <c r="BP319" s="34"/>
      <c r="BQ319" s="11"/>
      <c r="BR319" s="11"/>
      <c r="BS319" s="11"/>
      <c r="BT319" s="11"/>
      <c r="BU319" s="11"/>
      <c r="BV319" s="11"/>
      <c r="BW319" s="11"/>
      <c r="BX319" s="11"/>
      <c r="BY319" s="11"/>
      <c r="BZ319" s="11"/>
      <c r="CA319" s="11"/>
      <c r="CB319" s="11"/>
      <c r="CC319" s="11"/>
      <c r="CD319" s="11"/>
    </row>
    <row r="320" ht="15.75" customHeight="1">
      <c r="BP320" s="34"/>
      <c r="BQ320" s="11"/>
      <c r="BR320" s="11"/>
      <c r="BS320" s="11"/>
      <c r="BT320" s="11"/>
      <c r="BU320" s="11"/>
      <c r="BV320" s="11"/>
      <c r="BW320" s="11"/>
      <c r="BX320" s="11"/>
      <c r="BY320" s="11"/>
      <c r="BZ320" s="11"/>
      <c r="CA320" s="11"/>
      <c r="CB320" s="11"/>
      <c r="CC320" s="11"/>
      <c r="CD320" s="11"/>
    </row>
    <row r="321" ht="15.75" customHeight="1">
      <c r="BP321" s="34"/>
      <c r="BQ321" s="11"/>
      <c r="BR321" s="11"/>
      <c r="BS321" s="11"/>
      <c r="BT321" s="11"/>
      <c r="BU321" s="11"/>
      <c r="BV321" s="11"/>
      <c r="BW321" s="11"/>
      <c r="BX321" s="11"/>
      <c r="BY321" s="11"/>
      <c r="BZ321" s="11"/>
      <c r="CA321" s="11"/>
      <c r="CB321" s="11"/>
      <c r="CC321" s="11"/>
      <c r="CD321" s="11"/>
    </row>
    <row r="322" ht="15.75" customHeight="1">
      <c r="BP322" s="34"/>
      <c r="BQ322" s="11"/>
      <c r="BR322" s="11"/>
      <c r="BS322" s="11"/>
      <c r="BT322" s="11"/>
      <c r="BU322" s="11"/>
      <c r="BV322" s="11"/>
      <c r="BW322" s="11"/>
      <c r="BX322" s="11"/>
      <c r="BY322" s="11"/>
      <c r="BZ322" s="11"/>
      <c r="CA322" s="11"/>
      <c r="CB322" s="11"/>
      <c r="CC322" s="11"/>
      <c r="CD322" s="11"/>
    </row>
    <row r="323" ht="15.75" customHeight="1">
      <c r="BP323" s="34"/>
      <c r="BQ323" s="11"/>
      <c r="BR323" s="11"/>
      <c r="BS323" s="11"/>
      <c r="BT323" s="11"/>
      <c r="BU323" s="11"/>
      <c r="BV323" s="11"/>
      <c r="BW323" s="11"/>
      <c r="BX323" s="11"/>
      <c r="BY323" s="11"/>
      <c r="BZ323" s="11"/>
      <c r="CA323" s="11"/>
      <c r="CB323" s="11"/>
      <c r="CC323" s="11"/>
      <c r="CD323" s="11"/>
    </row>
    <row r="324" ht="15.75" customHeight="1">
      <c r="BP324" s="34"/>
      <c r="BQ324" s="11"/>
      <c r="BR324" s="11"/>
      <c r="BS324" s="11"/>
      <c r="BT324" s="11"/>
      <c r="BU324" s="11"/>
      <c r="BV324" s="11"/>
      <c r="BW324" s="11"/>
      <c r="BX324" s="11"/>
      <c r="BY324" s="11"/>
      <c r="BZ324" s="11"/>
      <c r="CA324" s="11"/>
      <c r="CB324" s="11"/>
      <c r="CC324" s="11"/>
      <c r="CD324" s="11"/>
    </row>
    <row r="325" ht="15.75" customHeight="1">
      <c r="BP325" s="34"/>
      <c r="BQ325" s="11"/>
      <c r="BR325" s="11"/>
      <c r="BS325" s="11"/>
      <c r="BT325" s="11"/>
      <c r="BU325" s="11"/>
      <c r="BV325" s="11"/>
      <c r="BW325" s="11"/>
      <c r="BX325" s="11"/>
      <c r="BY325" s="11"/>
      <c r="BZ325" s="11"/>
      <c r="CA325" s="11"/>
      <c r="CB325" s="11"/>
      <c r="CC325" s="11"/>
      <c r="CD325" s="11"/>
    </row>
    <row r="326" ht="15.75" customHeight="1">
      <c r="BP326" s="34"/>
      <c r="BQ326" s="11"/>
      <c r="BR326" s="11"/>
      <c r="BS326" s="11"/>
      <c r="BT326" s="11"/>
      <c r="BU326" s="11"/>
      <c r="BV326" s="11"/>
      <c r="BW326" s="11"/>
      <c r="BX326" s="11"/>
      <c r="BY326" s="11"/>
      <c r="BZ326" s="11"/>
      <c r="CA326" s="11"/>
      <c r="CB326" s="11"/>
      <c r="CC326" s="11"/>
      <c r="CD326" s="11"/>
    </row>
    <row r="327" ht="15.75" customHeight="1">
      <c r="BP327" s="34"/>
      <c r="BQ327" s="11"/>
      <c r="BR327" s="11"/>
      <c r="BS327" s="11"/>
      <c r="BT327" s="11"/>
      <c r="BU327" s="11"/>
      <c r="BV327" s="11"/>
      <c r="BW327" s="11"/>
      <c r="BX327" s="11"/>
      <c r="BY327" s="11"/>
      <c r="BZ327" s="11"/>
      <c r="CA327" s="11"/>
      <c r="CB327" s="11"/>
      <c r="CC327" s="11"/>
      <c r="CD327" s="11"/>
    </row>
    <row r="328" ht="15.75" customHeight="1">
      <c r="BP328" s="34"/>
      <c r="BQ328" s="11"/>
      <c r="BR328" s="11"/>
      <c r="BS328" s="11"/>
      <c r="BT328" s="11"/>
      <c r="BU328" s="11"/>
      <c r="BV328" s="11"/>
      <c r="BW328" s="11"/>
      <c r="BX328" s="11"/>
      <c r="BY328" s="11"/>
      <c r="BZ328" s="11"/>
      <c r="CA328" s="11"/>
      <c r="CB328" s="11"/>
      <c r="CC328" s="11"/>
      <c r="CD328" s="11"/>
    </row>
    <row r="329" ht="15.75" customHeight="1">
      <c r="BP329" s="34"/>
      <c r="BQ329" s="11"/>
      <c r="BR329" s="11"/>
      <c r="BS329" s="11"/>
      <c r="BT329" s="11"/>
      <c r="BU329" s="11"/>
      <c r="BV329" s="11"/>
      <c r="BW329" s="11"/>
      <c r="BX329" s="11"/>
      <c r="BY329" s="11"/>
      <c r="BZ329" s="11"/>
      <c r="CA329" s="11"/>
      <c r="CB329" s="11"/>
      <c r="CC329" s="11"/>
      <c r="CD329" s="11"/>
    </row>
    <row r="330" ht="15.75" customHeight="1">
      <c r="BP330" s="34"/>
      <c r="BQ330" s="11"/>
      <c r="BR330" s="11"/>
      <c r="BS330" s="11"/>
      <c r="BT330" s="11"/>
      <c r="BU330" s="11"/>
      <c r="BV330" s="11"/>
      <c r="BW330" s="11"/>
      <c r="BX330" s="11"/>
      <c r="BY330" s="11"/>
      <c r="BZ330" s="11"/>
      <c r="CA330" s="11"/>
      <c r="CB330" s="11"/>
      <c r="CC330" s="11"/>
      <c r="CD330" s="11"/>
    </row>
    <row r="331" ht="15.75" customHeight="1">
      <c r="BP331" s="34"/>
      <c r="BQ331" s="11"/>
      <c r="BR331" s="11"/>
      <c r="BS331" s="11"/>
      <c r="BT331" s="11"/>
      <c r="BU331" s="11"/>
      <c r="BV331" s="11"/>
      <c r="BW331" s="11"/>
      <c r="BX331" s="11"/>
      <c r="BY331" s="11"/>
      <c r="BZ331" s="11"/>
      <c r="CA331" s="11"/>
      <c r="CB331" s="11"/>
      <c r="CC331" s="11"/>
      <c r="CD331" s="11"/>
    </row>
    <row r="332" ht="15.75" customHeight="1">
      <c r="BP332" s="34"/>
      <c r="BQ332" s="11"/>
      <c r="BR332" s="11"/>
      <c r="BS332" s="11"/>
      <c r="BT332" s="11"/>
      <c r="BU332" s="11"/>
      <c r="BV332" s="11"/>
      <c r="BW332" s="11"/>
      <c r="BX332" s="11"/>
      <c r="BY332" s="11"/>
      <c r="BZ332" s="11"/>
      <c r="CA332" s="11"/>
      <c r="CB332" s="11"/>
      <c r="CC332" s="11"/>
      <c r="CD332" s="11"/>
    </row>
    <row r="333" ht="15.75" customHeight="1">
      <c r="BP333" s="34"/>
      <c r="BQ333" s="11"/>
      <c r="BR333" s="11"/>
      <c r="BS333" s="11"/>
      <c r="BT333" s="11"/>
      <c r="BU333" s="11"/>
      <c r="BV333" s="11"/>
      <c r="BW333" s="11"/>
      <c r="BX333" s="11"/>
      <c r="BY333" s="11"/>
      <c r="BZ333" s="11"/>
      <c r="CA333" s="11"/>
      <c r="CB333" s="11"/>
      <c r="CC333" s="11"/>
      <c r="CD333" s="11"/>
    </row>
    <row r="334" ht="15.75" customHeight="1">
      <c r="BP334" s="34"/>
      <c r="BQ334" s="11"/>
      <c r="BR334" s="11"/>
      <c r="BS334" s="11"/>
      <c r="BT334" s="11"/>
      <c r="BU334" s="11"/>
      <c r="BV334" s="11"/>
      <c r="BW334" s="11"/>
      <c r="BX334" s="11"/>
      <c r="BY334" s="11"/>
      <c r="BZ334" s="11"/>
      <c r="CA334" s="11"/>
      <c r="CB334" s="11"/>
      <c r="CC334" s="11"/>
      <c r="CD334" s="11"/>
    </row>
    <row r="335" ht="15.75" customHeight="1">
      <c r="BP335" s="34"/>
      <c r="BQ335" s="11"/>
      <c r="BR335" s="11"/>
      <c r="BS335" s="11"/>
      <c r="BT335" s="11"/>
      <c r="BU335" s="11"/>
      <c r="BV335" s="11"/>
      <c r="BW335" s="11"/>
      <c r="BX335" s="11"/>
      <c r="BY335" s="11"/>
      <c r="BZ335" s="11"/>
      <c r="CA335" s="11"/>
      <c r="CB335" s="11"/>
      <c r="CC335" s="11"/>
      <c r="CD335" s="11"/>
    </row>
    <row r="336" ht="15.75" customHeight="1">
      <c r="BP336" s="34"/>
      <c r="BQ336" s="11"/>
      <c r="BR336" s="11"/>
      <c r="BS336" s="11"/>
      <c r="BT336" s="11"/>
      <c r="BU336" s="11"/>
      <c r="BV336" s="11"/>
      <c r="BW336" s="11"/>
      <c r="BX336" s="11"/>
      <c r="BY336" s="11"/>
      <c r="BZ336" s="11"/>
      <c r="CA336" s="11"/>
      <c r="CB336" s="11"/>
      <c r="CC336" s="11"/>
      <c r="CD336" s="11"/>
    </row>
    <row r="337" ht="15.75" customHeight="1">
      <c r="BP337" s="34"/>
      <c r="BQ337" s="11"/>
      <c r="BR337" s="11"/>
      <c r="BS337" s="11"/>
      <c r="BT337" s="11"/>
      <c r="BU337" s="11"/>
      <c r="BV337" s="11"/>
      <c r="BW337" s="11"/>
      <c r="BX337" s="11"/>
      <c r="BY337" s="11"/>
      <c r="BZ337" s="11"/>
      <c r="CA337" s="11"/>
      <c r="CB337" s="11"/>
      <c r="CC337" s="11"/>
      <c r="CD337" s="11"/>
    </row>
    <row r="338" ht="15.75" customHeight="1">
      <c r="BP338" s="34"/>
      <c r="BQ338" s="11"/>
      <c r="BR338" s="11"/>
      <c r="BS338" s="11"/>
      <c r="BT338" s="11"/>
      <c r="BU338" s="11"/>
      <c r="BV338" s="11"/>
      <c r="BW338" s="11"/>
      <c r="BX338" s="11"/>
      <c r="BY338" s="11"/>
      <c r="BZ338" s="11"/>
      <c r="CA338" s="11"/>
      <c r="CB338" s="11"/>
      <c r="CC338" s="11"/>
      <c r="CD338" s="11"/>
    </row>
    <row r="339" ht="15.75" customHeight="1">
      <c r="BP339" s="34"/>
      <c r="BQ339" s="11"/>
      <c r="BR339" s="11"/>
      <c r="BS339" s="11"/>
      <c r="BT339" s="11"/>
      <c r="BU339" s="11"/>
      <c r="BV339" s="11"/>
      <c r="BW339" s="11"/>
      <c r="BX339" s="11"/>
      <c r="BY339" s="11"/>
      <c r="BZ339" s="11"/>
      <c r="CA339" s="11"/>
      <c r="CB339" s="11"/>
      <c r="CC339" s="11"/>
      <c r="CD339" s="11"/>
    </row>
    <row r="340" ht="15.75" customHeight="1">
      <c r="BP340" s="34"/>
      <c r="BQ340" s="11"/>
      <c r="BR340" s="11"/>
      <c r="BS340" s="11"/>
      <c r="BT340" s="11"/>
      <c r="BU340" s="11"/>
      <c r="BV340" s="11"/>
      <c r="BW340" s="11"/>
      <c r="BX340" s="11"/>
      <c r="BY340" s="11"/>
      <c r="BZ340" s="11"/>
      <c r="CA340" s="11"/>
      <c r="CB340" s="11"/>
      <c r="CC340" s="11"/>
      <c r="CD340" s="11"/>
    </row>
    <row r="341" ht="15.75" customHeight="1">
      <c r="BP341" s="34"/>
      <c r="BQ341" s="11"/>
      <c r="BR341" s="11"/>
      <c r="BS341" s="11"/>
      <c r="BT341" s="11"/>
      <c r="BU341" s="11"/>
      <c r="BV341" s="11"/>
      <c r="BW341" s="11"/>
      <c r="BX341" s="11"/>
      <c r="BY341" s="11"/>
      <c r="BZ341" s="11"/>
      <c r="CA341" s="11"/>
      <c r="CB341" s="11"/>
      <c r="CC341" s="11"/>
      <c r="CD341" s="11"/>
    </row>
    <row r="342" ht="15.75" customHeight="1">
      <c r="BP342" s="34"/>
      <c r="BQ342" s="11"/>
      <c r="BR342" s="11"/>
      <c r="BS342" s="11"/>
      <c r="BT342" s="11"/>
      <c r="BU342" s="11"/>
      <c r="BV342" s="11"/>
      <c r="BW342" s="11"/>
      <c r="BX342" s="11"/>
      <c r="BY342" s="11"/>
      <c r="BZ342" s="11"/>
      <c r="CA342" s="11"/>
      <c r="CB342" s="11"/>
      <c r="CC342" s="11"/>
      <c r="CD342" s="11"/>
    </row>
    <row r="343" ht="15.75" customHeight="1">
      <c r="BP343" s="34"/>
      <c r="BQ343" s="11"/>
      <c r="BR343" s="11"/>
      <c r="BS343" s="11"/>
      <c r="BT343" s="11"/>
      <c r="BU343" s="11"/>
      <c r="BV343" s="11"/>
      <c r="BW343" s="11"/>
      <c r="BX343" s="11"/>
      <c r="BY343" s="11"/>
      <c r="BZ343" s="11"/>
      <c r="CA343" s="11"/>
      <c r="CB343" s="11"/>
      <c r="CC343" s="11"/>
      <c r="CD343" s="11"/>
    </row>
    <row r="344" ht="15.75" customHeight="1">
      <c r="BP344" s="34"/>
      <c r="BQ344" s="11"/>
      <c r="BR344" s="11"/>
      <c r="BS344" s="11"/>
      <c r="BT344" s="11"/>
      <c r="BU344" s="11"/>
      <c r="BV344" s="11"/>
      <c r="BW344" s="11"/>
      <c r="BX344" s="11"/>
      <c r="BY344" s="11"/>
      <c r="BZ344" s="11"/>
      <c r="CA344" s="11"/>
      <c r="CB344" s="11"/>
      <c r="CC344" s="11"/>
      <c r="CD344" s="11"/>
    </row>
    <row r="345" ht="15.75" customHeight="1">
      <c r="BP345" s="34"/>
      <c r="BQ345" s="11"/>
      <c r="BR345" s="11"/>
      <c r="BS345" s="11"/>
      <c r="BT345" s="11"/>
      <c r="BU345" s="11"/>
      <c r="BV345" s="11"/>
      <c r="BW345" s="11"/>
      <c r="BX345" s="11"/>
      <c r="BY345" s="11"/>
      <c r="BZ345" s="11"/>
      <c r="CA345" s="11"/>
      <c r="CB345" s="11"/>
      <c r="CC345" s="11"/>
      <c r="CD345" s="11"/>
    </row>
    <row r="346" ht="15.75" customHeight="1">
      <c r="BP346" s="34"/>
      <c r="BQ346" s="11"/>
      <c r="BR346" s="11"/>
      <c r="BS346" s="11"/>
      <c r="BT346" s="11"/>
      <c r="BU346" s="11"/>
      <c r="BV346" s="11"/>
      <c r="BW346" s="11"/>
      <c r="BX346" s="11"/>
      <c r="BY346" s="11"/>
      <c r="BZ346" s="11"/>
      <c r="CA346" s="11"/>
      <c r="CB346" s="11"/>
      <c r="CC346" s="11"/>
      <c r="CD346" s="11"/>
    </row>
    <row r="347" ht="15.75" customHeight="1">
      <c r="BP347" s="34"/>
      <c r="BQ347" s="11"/>
      <c r="BR347" s="11"/>
      <c r="BS347" s="11"/>
      <c r="BT347" s="11"/>
      <c r="BU347" s="11"/>
      <c r="BV347" s="11"/>
      <c r="BW347" s="11"/>
      <c r="BX347" s="11"/>
      <c r="BY347" s="11"/>
      <c r="BZ347" s="11"/>
      <c r="CA347" s="11"/>
      <c r="CB347" s="11"/>
      <c r="CC347" s="11"/>
      <c r="CD347" s="11"/>
    </row>
    <row r="348" ht="15.75" customHeight="1">
      <c r="BP348" s="34"/>
      <c r="BQ348" s="11"/>
      <c r="BR348" s="11"/>
      <c r="BS348" s="11"/>
      <c r="BT348" s="11"/>
      <c r="BU348" s="11"/>
      <c r="BV348" s="11"/>
      <c r="BW348" s="11"/>
      <c r="BX348" s="11"/>
      <c r="BY348" s="11"/>
      <c r="BZ348" s="11"/>
      <c r="CA348" s="11"/>
      <c r="CB348" s="11"/>
      <c r="CC348" s="11"/>
      <c r="CD348" s="11"/>
    </row>
    <row r="349" ht="15.75" customHeight="1">
      <c r="BP349" s="34"/>
      <c r="BQ349" s="11"/>
      <c r="BR349" s="11"/>
      <c r="BS349" s="11"/>
      <c r="BT349" s="11"/>
      <c r="BU349" s="11"/>
      <c r="BV349" s="11"/>
      <c r="BW349" s="11"/>
      <c r="BX349" s="11"/>
      <c r="BY349" s="11"/>
      <c r="BZ349" s="11"/>
      <c r="CA349" s="11"/>
      <c r="CB349" s="11"/>
      <c r="CC349" s="11"/>
      <c r="CD349" s="11"/>
    </row>
    <row r="350" ht="15.75" customHeight="1">
      <c r="BP350" s="34"/>
      <c r="BQ350" s="11"/>
      <c r="BR350" s="11"/>
      <c r="BS350" s="11"/>
      <c r="BT350" s="11"/>
      <c r="BU350" s="11"/>
      <c r="BV350" s="11"/>
      <c r="BW350" s="11"/>
      <c r="BX350" s="11"/>
      <c r="BY350" s="11"/>
      <c r="BZ350" s="11"/>
      <c r="CA350" s="11"/>
      <c r="CB350" s="11"/>
      <c r="CC350" s="11"/>
      <c r="CD350" s="11"/>
    </row>
    <row r="351" ht="15.75" customHeight="1">
      <c r="BP351" s="34"/>
      <c r="BQ351" s="11"/>
      <c r="BR351" s="11"/>
      <c r="BS351" s="11"/>
      <c r="BT351" s="11"/>
      <c r="BU351" s="11"/>
      <c r="BV351" s="11"/>
      <c r="BW351" s="11"/>
      <c r="BX351" s="11"/>
      <c r="BY351" s="11"/>
      <c r="BZ351" s="11"/>
      <c r="CA351" s="11"/>
      <c r="CB351" s="11"/>
      <c r="CC351" s="11"/>
      <c r="CD351" s="11"/>
    </row>
    <row r="352" ht="15.75" customHeight="1">
      <c r="BP352" s="34"/>
      <c r="BQ352" s="11"/>
      <c r="BR352" s="11"/>
      <c r="BS352" s="11"/>
      <c r="BT352" s="11"/>
      <c r="BU352" s="11"/>
      <c r="BV352" s="11"/>
      <c r="BW352" s="11"/>
      <c r="BX352" s="11"/>
      <c r="BY352" s="11"/>
      <c r="BZ352" s="11"/>
      <c r="CA352" s="11"/>
      <c r="CB352" s="11"/>
      <c r="CC352" s="11"/>
      <c r="CD352" s="11"/>
    </row>
    <row r="353" ht="15.75" customHeight="1">
      <c r="BP353" s="34"/>
      <c r="BQ353" s="11"/>
      <c r="BR353" s="11"/>
      <c r="BS353" s="11"/>
      <c r="BT353" s="11"/>
      <c r="BU353" s="11"/>
      <c r="BV353" s="11"/>
      <c r="BW353" s="11"/>
      <c r="BX353" s="11"/>
      <c r="BY353" s="11"/>
      <c r="BZ353" s="11"/>
      <c r="CA353" s="11"/>
      <c r="CB353" s="11"/>
      <c r="CC353" s="11"/>
      <c r="CD353" s="11"/>
    </row>
    <row r="354" ht="15.75" customHeight="1">
      <c r="BP354" s="34"/>
      <c r="BQ354" s="11"/>
      <c r="BR354" s="11"/>
      <c r="BS354" s="11"/>
      <c r="BT354" s="11"/>
      <c r="BU354" s="11"/>
      <c r="BV354" s="11"/>
      <c r="BW354" s="11"/>
      <c r="BX354" s="11"/>
      <c r="BY354" s="11"/>
      <c r="BZ354" s="11"/>
      <c r="CA354" s="11"/>
      <c r="CB354" s="11"/>
      <c r="CC354" s="11"/>
      <c r="CD354" s="11"/>
    </row>
    <row r="355" ht="15.75" customHeight="1">
      <c r="BP355" s="34"/>
      <c r="BQ355" s="11"/>
      <c r="BR355" s="11"/>
      <c r="BS355" s="11"/>
      <c r="BT355" s="11"/>
      <c r="BU355" s="11"/>
      <c r="BV355" s="11"/>
      <c r="BW355" s="11"/>
      <c r="BX355" s="11"/>
      <c r="BY355" s="11"/>
      <c r="BZ355" s="11"/>
      <c r="CA355" s="11"/>
      <c r="CB355" s="11"/>
      <c r="CC355" s="11"/>
      <c r="CD355" s="11"/>
    </row>
    <row r="356" ht="15.75" customHeight="1">
      <c r="BP356" s="34"/>
      <c r="BQ356" s="11"/>
      <c r="BR356" s="11"/>
      <c r="BS356" s="11"/>
      <c r="BT356" s="11"/>
      <c r="BU356" s="11"/>
      <c r="BV356" s="11"/>
      <c r="BW356" s="11"/>
      <c r="BX356" s="11"/>
      <c r="BY356" s="11"/>
      <c r="BZ356" s="11"/>
      <c r="CA356" s="11"/>
      <c r="CB356" s="11"/>
      <c r="CC356" s="11"/>
      <c r="CD356" s="11"/>
    </row>
    <row r="357" ht="15.75" customHeight="1">
      <c r="BP357" s="34"/>
      <c r="BQ357" s="11"/>
      <c r="BR357" s="11"/>
      <c r="BS357" s="11"/>
      <c r="BT357" s="11"/>
      <c r="BU357" s="11"/>
      <c r="BV357" s="11"/>
      <c r="BW357" s="11"/>
      <c r="BX357" s="11"/>
      <c r="BY357" s="11"/>
      <c r="BZ357" s="11"/>
      <c r="CA357" s="11"/>
      <c r="CB357" s="11"/>
      <c r="CC357" s="11"/>
      <c r="CD357" s="11"/>
    </row>
    <row r="358" ht="15.75" customHeight="1">
      <c r="BP358" s="34"/>
      <c r="BQ358" s="11"/>
      <c r="BR358" s="11"/>
      <c r="BS358" s="11"/>
      <c r="BT358" s="11"/>
      <c r="BU358" s="11"/>
      <c r="BV358" s="11"/>
      <c r="BW358" s="11"/>
      <c r="BX358" s="11"/>
      <c r="BY358" s="11"/>
      <c r="BZ358" s="11"/>
      <c r="CA358" s="11"/>
      <c r="CB358" s="11"/>
      <c r="CC358" s="11"/>
      <c r="CD358" s="11"/>
    </row>
    <row r="359" ht="15.75" customHeight="1">
      <c r="BP359" s="34"/>
      <c r="BQ359" s="11"/>
      <c r="BR359" s="11"/>
      <c r="BS359" s="11"/>
      <c r="BT359" s="11"/>
      <c r="BU359" s="11"/>
      <c r="BV359" s="11"/>
      <c r="BW359" s="11"/>
      <c r="BX359" s="11"/>
      <c r="BY359" s="11"/>
      <c r="BZ359" s="11"/>
      <c r="CA359" s="11"/>
      <c r="CB359" s="11"/>
      <c r="CC359" s="11"/>
      <c r="CD359" s="11"/>
    </row>
    <row r="360" ht="15.75" customHeight="1">
      <c r="BP360" s="34"/>
      <c r="BQ360" s="11"/>
      <c r="BR360" s="11"/>
      <c r="BS360" s="11"/>
      <c r="BT360" s="11"/>
      <c r="BU360" s="11"/>
      <c r="BV360" s="11"/>
      <c r="BW360" s="11"/>
      <c r="BX360" s="11"/>
      <c r="BY360" s="11"/>
      <c r="BZ360" s="11"/>
      <c r="CA360" s="11"/>
      <c r="CB360" s="11"/>
      <c r="CC360" s="11"/>
      <c r="CD360" s="11"/>
    </row>
    <row r="361" ht="15.75" customHeight="1">
      <c r="BP361" s="34"/>
      <c r="BQ361" s="11"/>
      <c r="BR361" s="11"/>
      <c r="BS361" s="11"/>
      <c r="BT361" s="11"/>
      <c r="BU361" s="11"/>
      <c r="BV361" s="11"/>
      <c r="BW361" s="11"/>
      <c r="BX361" s="11"/>
      <c r="BY361" s="11"/>
      <c r="BZ361" s="11"/>
      <c r="CA361" s="11"/>
      <c r="CB361" s="11"/>
      <c r="CC361" s="11"/>
      <c r="CD361" s="11"/>
    </row>
    <row r="362" ht="15.75" customHeight="1">
      <c r="BP362" s="34"/>
      <c r="BQ362" s="11"/>
      <c r="BR362" s="11"/>
      <c r="BS362" s="11"/>
      <c r="BT362" s="11"/>
      <c r="BU362" s="11"/>
      <c r="BV362" s="11"/>
      <c r="BW362" s="11"/>
      <c r="BX362" s="11"/>
      <c r="BY362" s="11"/>
      <c r="BZ362" s="11"/>
      <c r="CA362" s="11"/>
      <c r="CB362" s="11"/>
      <c r="CC362" s="11"/>
      <c r="CD362" s="11"/>
    </row>
    <row r="363" ht="15.75" customHeight="1">
      <c r="BP363" s="34"/>
      <c r="BQ363" s="11"/>
      <c r="BR363" s="11"/>
      <c r="BS363" s="11"/>
      <c r="BT363" s="11"/>
      <c r="BU363" s="11"/>
      <c r="BV363" s="11"/>
      <c r="BW363" s="11"/>
      <c r="BX363" s="11"/>
      <c r="BY363" s="11"/>
      <c r="BZ363" s="11"/>
      <c r="CA363" s="11"/>
      <c r="CB363" s="11"/>
      <c r="CC363" s="11"/>
      <c r="CD363" s="11"/>
    </row>
    <row r="364" ht="15.75" customHeight="1">
      <c r="BP364" s="34"/>
      <c r="BQ364" s="11"/>
      <c r="BR364" s="11"/>
      <c r="BS364" s="11"/>
      <c r="BT364" s="11"/>
      <c r="BU364" s="11"/>
      <c r="BV364" s="11"/>
      <c r="BW364" s="11"/>
      <c r="BX364" s="11"/>
      <c r="BY364" s="11"/>
      <c r="BZ364" s="11"/>
      <c r="CA364" s="11"/>
      <c r="CB364" s="11"/>
      <c r="CC364" s="11"/>
      <c r="CD364" s="11"/>
    </row>
    <row r="365" ht="15.75" customHeight="1">
      <c r="BP365" s="34"/>
      <c r="BQ365" s="11"/>
      <c r="BR365" s="11"/>
      <c r="BS365" s="11"/>
      <c r="BT365" s="11"/>
      <c r="BU365" s="11"/>
      <c r="BV365" s="11"/>
      <c r="BW365" s="11"/>
      <c r="BX365" s="11"/>
      <c r="BY365" s="11"/>
      <c r="BZ365" s="11"/>
      <c r="CA365" s="11"/>
      <c r="CB365" s="11"/>
      <c r="CC365" s="11"/>
      <c r="CD365" s="11"/>
    </row>
    <row r="366" ht="15.75" customHeight="1">
      <c r="BP366" s="34"/>
      <c r="BQ366" s="11"/>
      <c r="BR366" s="11"/>
      <c r="BS366" s="11"/>
      <c r="BT366" s="11"/>
      <c r="BU366" s="11"/>
      <c r="BV366" s="11"/>
      <c r="BW366" s="11"/>
      <c r="BX366" s="11"/>
      <c r="BY366" s="11"/>
      <c r="BZ366" s="11"/>
      <c r="CA366" s="11"/>
      <c r="CB366" s="11"/>
      <c r="CC366" s="11"/>
      <c r="CD366" s="11"/>
    </row>
    <row r="367" ht="15.75" customHeight="1">
      <c r="BP367" s="34"/>
      <c r="BQ367" s="11"/>
      <c r="BR367" s="11"/>
      <c r="BS367" s="11"/>
      <c r="BT367" s="11"/>
      <c r="BU367" s="11"/>
      <c r="BV367" s="11"/>
      <c r="BW367" s="11"/>
      <c r="BX367" s="11"/>
      <c r="BY367" s="11"/>
      <c r="BZ367" s="11"/>
      <c r="CA367" s="11"/>
      <c r="CB367" s="11"/>
      <c r="CC367" s="11"/>
      <c r="CD367" s="11"/>
    </row>
    <row r="368" ht="15.75" customHeight="1">
      <c r="BP368" s="34"/>
      <c r="BQ368" s="11"/>
      <c r="BR368" s="11"/>
      <c r="BS368" s="11"/>
      <c r="BT368" s="11"/>
      <c r="BU368" s="11"/>
      <c r="BV368" s="11"/>
      <c r="BW368" s="11"/>
      <c r="BX368" s="11"/>
      <c r="BY368" s="11"/>
      <c r="BZ368" s="11"/>
      <c r="CA368" s="11"/>
      <c r="CB368" s="11"/>
      <c r="CC368" s="11"/>
      <c r="CD368" s="11"/>
    </row>
    <row r="369" ht="15.75" customHeight="1">
      <c r="BP369" s="34"/>
      <c r="BQ369" s="11"/>
      <c r="BR369" s="11"/>
      <c r="BS369" s="11"/>
      <c r="BT369" s="11"/>
      <c r="BU369" s="11"/>
      <c r="BV369" s="11"/>
      <c r="BW369" s="11"/>
      <c r="BX369" s="11"/>
      <c r="BY369" s="11"/>
      <c r="BZ369" s="11"/>
      <c r="CA369" s="11"/>
      <c r="CB369" s="11"/>
      <c r="CC369" s="11"/>
      <c r="CD369" s="11"/>
    </row>
    <row r="370" ht="15.75" customHeight="1">
      <c r="BP370" s="34"/>
      <c r="BQ370" s="11"/>
      <c r="BR370" s="11"/>
      <c r="BS370" s="11"/>
      <c r="BT370" s="11"/>
      <c r="BU370" s="11"/>
      <c r="BV370" s="11"/>
      <c r="BW370" s="11"/>
      <c r="BX370" s="11"/>
      <c r="BY370" s="11"/>
      <c r="BZ370" s="11"/>
      <c r="CA370" s="11"/>
      <c r="CB370" s="11"/>
      <c r="CC370" s="11"/>
      <c r="CD370" s="11"/>
    </row>
    <row r="371" ht="15.75" customHeight="1">
      <c r="BP371" s="34"/>
      <c r="BQ371" s="11"/>
      <c r="BR371" s="11"/>
      <c r="BS371" s="11"/>
      <c r="BT371" s="11"/>
      <c r="BU371" s="11"/>
      <c r="BV371" s="11"/>
      <c r="BW371" s="11"/>
      <c r="BX371" s="11"/>
      <c r="BY371" s="11"/>
      <c r="BZ371" s="11"/>
      <c r="CA371" s="11"/>
      <c r="CB371" s="11"/>
      <c r="CC371" s="11"/>
      <c r="CD371" s="11"/>
    </row>
    <row r="372" ht="15.75" customHeight="1">
      <c r="BP372" s="34"/>
      <c r="BQ372" s="11"/>
      <c r="BR372" s="11"/>
      <c r="BS372" s="11"/>
      <c r="BT372" s="11"/>
      <c r="BU372" s="11"/>
      <c r="BV372" s="11"/>
      <c r="BW372" s="11"/>
      <c r="BX372" s="11"/>
      <c r="BY372" s="11"/>
      <c r="BZ372" s="11"/>
      <c r="CA372" s="11"/>
      <c r="CB372" s="11"/>
      <c r="CC372" s="11"/>
      <c r="CD372" s="11"/>
    </row>
    <row r="373" ht="15.75" customHeight="1">
      <c r="BP373" s="34"/>
      <c r="BQ373" s="11"/>
      <c r="BR373" s="11"/>
      <c r="BS373" s="11"/>
      <c r="BT373" s="11"/>
      <c r="BU373" s="11"/>
      <c r="BV373" s="11"/>
      <c r="BW373" s="11"/>
      <c r="BX373" s="11"/>
      <c r="BY373" s="11"/>
      <c r="BZ373" s="11"/>
      <c r="CA373" s="11"/>
      <c r="CB373" s="11"/>
      <c r="CC373" s="11"/>
      <c r="CD373" s="11"/>
    </row>
    <row r="374" ht="15.75" customHeight="1">
      <c r="BP374" s="34"/>
      <c r="BQ374" s="11"/>
      <c r="BR374" s="11"/>
      <c r="BS374" s="11"/>
      <c r="BT374" s="11"/>
      <c r="BU374" s="11"/>
      <c r="BV374" s="11"/>
      <c r="BW374" s="11"/>
      <c r="BX374" s="11"/>
      <c r="BY374" s="11"/>
      <c r="BZ374" s="11"/>
      <c r="CA374" s="11"/>
      <c r="CB374" s="11"/>
      <c r="CC374" s="11"/>
      <c r="CD374" s="11"/>
    </row>
    <row r="375" ht="15.75" customHeight="1">
      <c r="BP375" s="34"/>
      <c r="BQ375" s="11"/>
      <c r="BR375" s="11"/>
      <c r="BS375" s="11"/>
      <c r="BT375" s="11"/>
      <c r="BU375" s="11"/>
      <c r="BV375" s="11"/>
      <c r="BW375" s="11"/>
      <c r="BX375" s="11"/>
      <c r="BY375" s="11"/>
      <c r="BZ375" s="11"/>
      <c r="CA375" s="11"/>
      <c r="CB375" s="11"/>
      <c r="CC375" s="11"/>
      <c r="CD375" s="11"/>
    </row>
    <row r="376" ht="15.75" customHeight="1">
      <c r="BP376" s="34"/>
      <c r="BQ376" s="11"/>
      <c r="BR376" s="11"/>
      <c r="BS376" s="11"/>
      <c r="BT376" s="11"/>
      <c r="BU376" s="11"/>
      <c r="BV376" s="11"/>
      <c r="BW376" s="11"/>
      <c r="BX376" s="11"/>
      <c r="BY376" s="11"/>
      <c r="BZ376" s="11"/>
      <c r="CA376" s="11"/>
      <c r="CB376" s="11"/>
      <c r="CC376" s="11"/>
      <c r="CD376" s="11"/>
    </row>
    <row r="377" ht="15.75" customHeight="1">
      <c r="BP377" s="34"/>
      <c r="BQ377" s="11"/>
      <c r="BR377" s="11"/>
      <c r="BS377" s="11"/>
      <c r="BT377" s="11"/>
      <c r="BU377" s="11"/>
      <c r="BV377" s="11"/>
      <c r="BW377" s="11"/>
      <c r="BX377" s="11"/>
      <c r="BY377" s="11"/>
      <c r="BZ377" s="11"/>
      <c r="CA377" s="11"/>
      <c r="CB377" s="11"/>
      <c r="CC377" s="11"/>
      <c r="CD377" s="11"/>
    </row>
    <row r="378" ht="15.75" customHeight="1">
      <c r="BP378" s="34"/>
      <c r="BQ378" s="11"/>
      <c r="BR378" s="11"/>
      <c r="BS378" s="11"/>
      <c r="BT378" s="11"/>
      <c r="BU378" s="11"/>
      <c r="BV378" s="11"/>
      <c r="BW378" s="11"/>
      <c r="BX378" s="11"/>
      <c r="BY378" s="11"/>
      <c r="BZ378" s="11"/>
      <c r="CA378" s="11"/>
      <c r="CB378" s="11"/>
      <c r="CC378" s="11"/>
      <c r="CD378" s="11"/>
    </row>
    <row r="379" ht="15.75" customHeight="1">
      <c r="BP379" s="34"/>
      <c r="BQ379" s="11"/>
      <c r="BR379" s="11"/>
      <c r="BS379" s="11"/>
      <c r="BT379" s="11"/>
      <c r="BU379" s="11"/>
      <c r="BV379" s="11"/>
      <c r="BW379" s="11"/>
      <c r="BX379" s="11"/>
      <c r="BY379" s="11"/>
      <c r="BZ379" s="11"/>
      <c r="CA379" s="11"/>
      <c r="CB379" s="11"/>
      <c r="CC379" s="11"/>
      <c r="CD379" s="11"/>
    </row>
    <row r="380" ht="15.75" customHeight="1">
      <c r="BP380" s="34"/>
      <c r="BQ380" s="11"/>
      <c r="BR380" s="11"/>
      <c r="BS380" s="11"/>
      <c r="BT380" s="11"/>
      <c r="BU380" s="11"/>
      <c r="BV380" s="11"/>
      <c r="BW380" s="11"/>
      <c r="BX380" s="11"/>
      <c r="BY380" s="11"/>
      <c r="BZ380" s="11"/>
      <c r="CA380" s="11"/>
      <c r="CB380" s="11"/>
      <c r="CC380" s="11"/>
      <c r="CD380" s="11"/>
    </row>
    <row r="381" ht="15.75" customHeight="1">
      <c r="BP381" s="34"/>
      <c r="BQ381" s="11"/>
      <c r="BR381" s="11"/>
      <c r="BS381" s="11"/>
      <c r="BT381" s="11"/>
      <c r="BU381" s="11"/>
      <c r="BV381" s="11"/>
      <c r="BW381" s="11"/>
      <c r="BX381" s="11"/>
      <c r="BY381" s="11"/>
      <c r="BZ381" s="11"/>
      <c r="CA381" s="11"/>
      <c r="CB381" s="11"/>
      <c r="CC381" s="11"/>
      <c r="CD381" s="11"/>
    </row>
    <row r="382" ht="15.75" customHeight="1">
      <c r="BP382" s="34"/>
      <c r="BQ382" s="11"/>
      <c r="BR382" s="11"/>
      <c r="BS382" s="11"/>
      <c r="BT382" s="11"/>
      <c r="BU382" s="11"/>
      <c r="BV382" s="11"/>
      <c r="BW382" s="11"/>
      <c r="BX382" s="11"/>
      <c r="BY382" s="11"/>
      <c r="BZ382" s="11"/>
      <c r="CA382" s="11"/>
      <c r="CB382" s="11"/>
      <c r="CC382" s="11"/>
      <c r="CD382" s="11"/>
    </row>
    <row r="383" ht="15.75" customHeight="1">
      <c r="BP383" s="34"/>
      <c r="BQ383" s="11"/>
      <c r="BR383" s="11"/>
      <c r="BS383" s="11"/>
      <c r="BT383" s="11"/>
      <c r="BU383" s="11"/>
      <c r="BV383" s="11"/>
      <c r="BW383" s="11"/>
      <c r="BX383" s="11"/>
      <c r="BY383" s="11"/>
      <c r="BZ383" s="11"/>
      <c r="CA383" s="11"/>
      <c r="CB383" s="11"/>
      <c r="CC383" s="11"/>
      <c r="CD383" s="11"/>
    </row>
    <row r="384" ht="15.75" customHeight="1">
      <c r="BP384" s="34"/>
      <c r="BQ384" s="11"/>
      <c r="BR384" s="11"/>
      <c r="BS384" s="11"/>
      <c r="BT384" s="11"/>
      <c r="BU384" s="11"/>
      <c r="BV384" s="11"/>
      <c r="BW384" s="11"/>
      <c r="BX384" s="11"/>
      <c r="BY384" s="11"/>
      <c r="BZ384" s="11"/>
      <c r="CA384" s="11"/>
      <c r="CB384" s="11"/>
      <c r="CC384" s="11"/>
      <c r="CD384" s="11"/>
    </row>
    <row r="385" ht="15.75" customHeight="1">
      <c r="BP385" s="34"/>
      <c r="BQ385" s="11"/>
      <c r="BR385" s="11"/>
      <c r="BS385" s="11"/>
      <c r="BT385" s="11"/>
      <c r="BU385" s="11"/>
      <c r="BV385" s="11"/>
      <c r="BW385" s="11"/>
      <c r="BX385" s="11"/>
      <c r="BY385" s="11"/>
      <c r="BZ385" s="11"/>
      <c r="CA385" s="11"/>
      <c r="CB385" s="11"/>
      <c r="CC385" s="11"/>
      <c r="CD385" s="11"/>
    </row>
    <row r="386" ht="15.75" customHeight="1">
      <c r="BP386" s="34"/>
      <c r="BQ386" s="11"/>
      <c r="BR386" s="11"/>
      <c r="BS386" s="11"/>
      <c r="BT386" s="11"/>
      <c r="BU386" s="11"/>
      <c r="BV386" s="11"/>
      <c r="BW386" s="11"/>
      <c r="BX386" s="11"/>
      <c r="BY386" s="11"/>
      <c r="BZ386" s="11"/>
      <c r="CA386" s="11"/>
      <c r="CB386" s="11"/>
      <c r="CC386" s="11"/>
      <c r="CD386" s="11"/>
    </row>
    <row r="387" ht="15.75" customHeight="1">
      <c r="BP387" s="34"/>
      <c r="BQ387" s="11"/>
      <c r="BR387" s="11"/>
      <c r="BS387" s="11"/>
      <c r="BT387" s="11"/>
      <c r="BU387" s="11"/>
      <c r="BV387" s="11"/>
      <c r="BW387" s="11"/>
      <c r="BX387" s="11"/>
      <c r="BY387" s="11"/>
      <c r="BZ387" s="11"/>
      <c r="CA387" s="11"/>
      <c r="CB387" s="11"/>
      <c r="CC387" s="11"/>
      <c r="CD387" s="11"/>
    </row>
    <row r="388" ht="15.75" customHeight="1">
      <c r="BP388" s="34"/>
      <c r="BQ388" s="11"/>
      <c r="BR388" s="11"/>
      <c r="BS388" s="11"/>
      <c r="BT388" s="11"/>
      <c r="BU388" s="11"/>
      <c r="BV388" s="11"/>
      <c r="BW388" s="11"/>
      <c r="BX388" s="11"/>
      <c r="BY388" s="11"/>
      <c r="BZ388" s="11"/>
      <c r="CA388" s="11"/>
      <c r="CB388" s="11"/>
      <c r="CC388" s="11"/>
      <c r="CD388" s="11"/>
    </row>
    <row r="389" ht="15.75" customHeight="1">
      <c r="BP389" s="34"/>
      <c r="BQ389" s="11"/>
      <c r="BR389" s="11"/>
      <c r="BS389" s="11"/>
      <c r="BT389" s="11"/>
      <c r="BU389" s="11"/>
      <c r="BV389" s="11"/>
      <c r="BW389" s="11"/>
      <c r="BX389" s="11"/>
      <c r="BY389" s="11"/>
      <c r="BZ389" s="11"/>
      <c r="CA389" s="11"/>
      <c r="CB389" s="11"/>
      <c r="CC389" s="11"/>
      <c r="CD389" s="11"/>
    </row>
    <row r="390" ht="15.75" customHeight="1">
      <c r="BP390" s="34"/>
      <c r="BQ390" s="11"/>
      <c r="BR390" s="11"/>
      <c r="BS390" s="11"/>
      <c r="BT390" s="11"/>
      <c r="BU390" s="11"/>
      <c r="BV390" s="11"/>
      <c r="BW390" s="11"/>
      <c r="BX390" s="11"/>
      <c r="BY390" s="11"/>
      <c r="BZ390" s="11"/>
      <c r="CA390" s="11"/>
      <c r="CB390" s="11"/>
      <c r="CC390" s="11"/>
      <c r="CD390" s="11"/>
    </row>
    <row r="391" ht="15.75" customHeight="1">
      <c r="BP391" s="34"/>
      <c r="BQ391" s="11"/>
      <c r="BR391" s="11"/>
      <c r="BS391" s="11"/>
      <c r="BT391" s="11"/>
      <c r="BU391" s="11"/>
      <c r="BV391" s="11"/>
      <c r="BW391" s="11"/>
      <c r="BX391" s="11"/>
      <c r="BY391" s="11"/>
      <c r="BZ391" s="11"/>
      <c r="CA391" s="11"/>
      <c r="CB391" s="11"/>
      <c r="CC391" s="11"/>
      <c r="CD391" s="11"/>
    </row>
    <row r="392" ht="15.75" customHeight="1">
      <c r="BP392" s="34"/>
      <c r="BQ392" s="11"/>
      <c r="BR392" s="11"/>
      <c r="BS392" s="11"/>
      <c r="BT392" s="11"/>
      <c r="BU392" s="11"/>
      <c r="BV392" s="11"/>
      <c r="BW392" s="11"/>
      <c r="BX392" s="11"/>
      <c r="BY392" s="11"/>
      <c r="BZ392" s="11"/>
      <c r="CA392" s="11"/>
      <c r="CB392" s="11"/>
      <c r="CC392" s="11"/>
      <c r="CD392" s="11"/>
    </row>
    <row r="393" ht="15.75" customHeight="1">
      <c r="BP393" s="34"/>
      <c r="BQ393" s="11"/>
      <c r="BR393" s="11"/>
      <c r="BS393" s="11"/>
      <c r="BT393" s="11"/>
      <c r="BU393" s="11"/>
      <c r="BV393" s="11"/>
      <c r="BW393" s="11"/>
      <c r="BX393" s="11"/>
      <c r="BY393" s="11"/>
      <c r="BZ393" s="11"/>
      <c r="CA393" s="11"/>
      <c r="CB393" s="11"/>
      <c r="CC393" s="11"/>
      <c r="CD393" s="11"/>
    </row>
    <row r="394" ht="15.75" customHeight="1">
      <c r="BP394" s="34"/>
      <c r="BQ394" s="11"/>
      <c r="BR394" s="11"/>
      <c r="BS394" s="11"/>
      <c r="BT394" s="11"/>
      <c r="BU394" s="11"/>
      <c r="BV394" s="11"/>
      <c r="BW394" s="11"/>
      <c r="BX394" s="11"/>
      <c r="BY394" s="11"/>
      <c r="BZ394" s="11"/>
      <c r="CA394" s="11"/>
      <c r="CB394" s="11"/>
      <c r="CC394" s="11"/>
      <c r="CD394" s="11"/>
    </row>
    <row r="395" ht="15.75" customHeight="1">
      <c r="BP395" s="34"/>
      <c r="BQ395" s="11"/>
      <c r="BR395" s="11"/>
      <c r="BS395" s="11"/>
      <c r="BT395" s="11"/>
      <c r="BU395" s="11"/>
      <c r="BV395" s="11"/>
      <c r="BW395" s="11"/>
      <c r="BX395" s="11"/>
      <c r="BY395" s="11"/>
      <c r="BZ395" s="11"/>
      <c r="CA395" s="11"/>
      <c r="CB395" s="11"/>
      <c r="CC395" s="11"/>
      <c r="CD395" s="11"/>
    </row>
    <row r="396" ht="15.75" customHeight="1">
      <c r="BP396" s="34"/>
      <c r="BQ396" s="11"/>
      <c r="BR396" s="11"/>
      <c r="BS396" s="11"/>
      <c r="BT396" s="11"/>
      <c r="BU396" s="11"/>
      <c r="BV396" s="11"/>
      <c r="BW396" s="11"/>
      <c r="BX396" s="11"/>
      <c r="BY396" s="11"/>
      <c r="BZ396" s="11"/>
      <c r="CA396" s="11"/>
      <c r="CB396" s="11"/>
      <c r="CC396" s="11"/>
      <c r="CD396" s="11"/>
    </row>
    <row r="397" ht="15.75" customHeight="1">
      <c r="BP397" s="34"/>
      <c r="BQ397" s="11"/>
      <c r="BR397" s="11"/>
      <c r="BS397" s="11"/>
      <c r="BT397" s="11"/>
      <c r="BU397" s="11"/>
      <c r="BV397" s="11"/>
      <c r="BW397" s="11"/>
      <c r="BX397" s="11"/>
      <c r="BY397" s="11"/>
      <c r="BZ397" s="11"/>
      <c r="CA397" s="11"/>
      <c r="CB397" s="11"/>
      <c r="CC397" s="11"/>
      <c r="CD397" s="11"/>
    </row>
    <row r="398" ht="15.75" customHeight="1">
      <c r="BP398" s="34"/>
      <c r="BQ398" s="11"/>
      <c r="BR398" s="11"/>
      <c r="BS398" s="11"/>
      <c r="BT398" s="11"/>
      <c r="BU398" s="11"/>
      <c r="BV398" s="11"/>
      <c r="BW398" s="11"/>
      <c r="BX398" s="11"/>
      <c r="BY398" s="11"/>
      <c r="BZ398" s="11"/>
      <c r="CA398" s="11"/>
      <c r="CB398" s="11"/>
      <c r="CC398" s="11"/>
      <c r="CD398" s="11"/>
    </row>
    <row r="399" ht="15.75" customHeight="1">
      <c r="BP399" s="34"/>
      <c r="BQ399" s="11"/>
      <c r="BR399" s="11"/>
      <c r="BS399" s="11"/>
      <c r="BT399" s="11"/>
      <c r="BU399" s="11"/>
      <c r="BV399" s="11"/>
      <c r="BW399" s="11"/>
      <c r="BX399" s="11"/>
      <c r="BY399" s="11"/>
      <c r="BZ399" s="11"/>
      <c r="CA399" s="11"/>
      <c r="CB399" s="11"/>
      <c r="CC399" s="11"/>
      <c r="CD399" s="11"/>
    </row>
    <row r="400" ht="15.75" customHeight="1">
      <c r="BP400" s="34"/>
      <c r="BQ400" s="11"/>
      <c r="BR400" s="11"/>
      <c r="BS400" s="11"/>
      <c r="BT400" s="11"/>
      <c r="BU400" s="11"/>
      <c r="BV400" s="11"/>
      <c r="BW400" s="11"/>
      <c r="BX400" s="11"/>
      <c r="BY400" s="11"/>
      <c r="BZ400" s="11"/>
      <c r="CA400" s="11"/>
      <c r="CB400" s="11"/>
      <c r="CC400" s="11"/>
      <c r="CD400" s="11"/>
    </row>
    <row r="401" ht="15.75" customHeight="1">
      <c r="BP401" s="34"/>
      <c r="BQ401" s="11"/>
      <c r="BR401" s="11"/>
      <c r="BS401" s="11"/>
      <c r="BT401" s="11"/>
      <c r="BU401" s="11"/>
      <c r="BV401" s="11"/>
      <c r="BW401" s="11"/>
      <c r="BX401" s="11"/>
      <c r="BY401" s="11"/>
      <c r="BZ401" s="11"/>
      <c r="CA401" s="11"/>
      <c r="CB401" s="11"/>
      <c r="CC401" s="11"/>
      <c r="CD401" s="11"/>
    </row>
    <row r="402" ht="15.75" customHeight="1">
      <c r="BP402" s="34"/>
      <c r="BQ402" s="11"/>
      <c r="BR402" s="11"/>
      <c r="BS402" s="11"/>
      <c r="BT402" s="11"/>
      <c r="BU402" s="11"/>
      <c r="BV402" s="11"/>
      <c r="BW402" s="11"/>
      <c r="BX402" s="11"/>
      <c r="BY402" s="11"/>
      <c r="BZ402" s="11"/>
      <c r="CA402" s="11"/>
      <c r="CB402" s="11"/>
      <c r="CC402" s="11"/>
      <c r="CD402" s="11"/>
    </row>
    <row r="403" ht="15.75" customHeight="1">
      <c r="BP403" s="34"/>
      <c r="BQ403" s="11"/>
      <c r="BR403" s="11"/>
      <c r="BS403" s="11"/>
      <c r="BT403" s="11"/>
      <c r="BU403" s="11"/>
      <c r="BV403" s="11"/>
      <c r="BW403" s="11"/>
      <c r="BX403" s="11"/>
      <c r="BY403" s="11"/>
      <c r="BZ403" s="11"/>
      <c r="CA403" s="11"/>
      <c r="CB403" s="11"/>
      <c r="CC403" s="11"/>
      <c r="CD403" s="11"/>
    </row>
    <row r="404" ht="15.75" customHeight="1">
      <c r="BP404" s="34"/>
      <c r="BQ404" s="11"/>
      <c r="BR404" s="11"/>
      <c r="BS404" s="11"/>
      <c r="BT404" s="11"/>
      <c r="BU404" s="11"/>
      <c r="BV404" s="11"/>
      <c r="BW404" s="11"/>
      <c r="BX404" s="11"/>
      <c r="BY404" s="11"/>
      <c r="BZ404" s="11"/>
      <c r="CA404" s="11"/>
      <c r="CB404" s="11"/>
      <c r="CC404" s="11"/>
      <c r="CD404" s="11"/>
    </row>
    <row r="405" ht="15.75" customHeight="1">
      <c r="BP405" s="34"/>
      <c r="BQ405" s="11"/>
      <c r="BR405" s="11"/>
      <c r="BS405" s="11"/>
      <c r="BT405" s="11"/>
      <c r="BU405" s="11"/>
      <c r="BV405" s="11"/>
      <c r="BW405" s="11"/>
      <c r="BX405" s="11"/>
      <c r="BY405" s="11"/>
      <c r="BZ405" s="11"/>
      <c r="CA405" s="11"/>
      <c r="CB405" s="11"/>
      <c r="CC405" s="11"/>
      <c r="CD405" s="11"/>
    </row>
    <row r="406" ht="15.75" customHeight="1">
      <c r="BP406" s="34"/>
      <c r="BQ406" s="11"/>
      <c r="BR406" s="11"/>
      <c r="BS406" s="11"/>
      <c r="BT406" s="11"/>
      <c r="BU406" s="11"/>
      <c r="BV406" s="11"/>
      <c r="BW406" s="11"/>
      <c r="BX406" s="11"/>
      <c r="BY406" s="11"/>
      <c r="BZ406" s="11"/>
      <c r="CA406" s="11"/>
      <c r="CB406" s="11"/>
      <c r="CC406" s="11"/>
      <c r="CD406" s="11"/>
    </row>
    <row r="407" ht="15.75" customHeight="1">
      <c r="BP407" s="34"/>
      <c r="BQ407" s="11"/>
      <c r="BR407" s="11"/>
      <c r="BS407" s="11"/>
      <c r="BT407" s="11"/>
      <c r="BU407" s="11"/>
      <c r="BV407" s="11"/>
      <c r="BW407" s="11"/>
      <c r="BX407" s="11"/>
      <c r="BY407" s="11"/>
      <c r="BZ407" s="11"/>
      <c r="CA407" s="11"/>
      <c r="CB407" s="11"/>
      <c r="CC407" s="11"/>
      <c r="CD407" s="11"/>
    </row>
    <row r="408" ht="15.75" customHeight="1">
      <c r="BP408" s="34"/>
      <c r="BQ408" s="11"/>
      <c r="BR408" s="11"/>
      <c r="BS408" s="11"/>
      <c r="BT408" s="11"/>
      <c r="BU408" s="11"/>
      <c r="BV408" s="11"/>
      <c r="BW408" s="11"/>
      <c r="BX408" s="11"/>
      <c r="BY408" s="11"/>
      <c r="BZ408" s="11"/>
      <c r="CA408" s="11"/>
      <c r="CB408" s="11"/>
      <c r="CC408" s="11"/>
      <c r="CD408" s="11"/>
    </row>
    <row r="409" ht="15.75" customHeight="1">
      <c r="BP409" s="34"/>
      <c r="BQ409" s="11"/>
      <c r="BR409" s="11"/>
      <c r="BS409" s="11"/>
      <c r="BT409" s="11"/>
      <c r="BU409" s="11"/>
      <c r="BV409" s="11"/>
      <c r="BW409" s="11"/>
      <c r="BX409" s="11"/>
      <c r="BY409" s="11"/>
      <c r="BZ409" s="11"/>
      <c r="CA409" s="11"/>
      <c r="CB409" s="11"/>
      <c r="CC409" s="11"/>
      <c r="CD409" s="11"/>
    </row>
    <row r="410" ht="15.75" customHeight="1">
      <c r="BP410" s="34"/>
      <c r="BQ410" s="11"/>
      <c r="BR410" s="11"/>
      <c r="BS410" s="11"/>
      <c r="BT410" s="11"/>
      <c r="BU410" s="11"/>
      <c r="BV410" s="11"/>
      <c r="BW410" s="11"/>
      <c r="BX410" s="11"/>
      <c r="BY410" s="11"/>
      <c r="BZ410" s="11"/>
      <c r="CA410" s="11"/>
      <c r="CB410" s="11"/>
      <c r="CC410" s="11"/>
      <c r="CD410" s="11"/>
    </row>
    <row r="411" ht="15.75" customHeight="1">
      <c r="BP411" s="34"/>
      <c r="BQ411" s="11"/>
      <c r="BR411" s="11"/>
      <c r="BS411" s="11"/>
      <c r="BT411" s="11"/>
      <c r="BU411" s="11"/>
      <c r="BV411" s="11"/>
      <c r="BW411" s="11"/>
      <c r="BX411" s="11"/>
      <c r="BY411" s="11"/>
      <c r="BZ411" s="11"/>
      <c r="CA411" s="11"/>
      <c r="CB411" s="11"/>
      <c r="CC411" s="11"/>
      <c r="CD411" s="11"/>
    </row>
    <row r="412" ht="15.75" customHeight="1">
      <c r="BP412" s="34"/>
      <c r="BQ412" s="11"/>
      <c r="BR412" s="11"/>
      <c r="BS412" s="11"/>
      <c r="BT412" s="11"/>
      <c r="BU412" s="11"/>
      <c r="BV412" s="11"/>
      <c r="BW412" s="11"/>
      <c r="BX412" s="11"/>
      <c r="BY412" s="11"/>
      <c r="BZ412" s="11"/>
      <c r="CA412" s="11"/>
      <c r="CB412" s="11"/>
      <c r="CC412" s="11"/>
      <c r="CD412" s="11"/>
    </row>
    <row r="413" ht="15.75" customHeight="1">
      <c r="BP413" s="34"/>
      <c r="BQ413" s="11"/>
      <c r="BR413" s="11"/>
      <c r="BS413" s="11"/>
      <c r="BT413" s="11"/>
      <c r="BU413" s="11"/>
      <c r="BV413" s="11"/>
      <c r="BW413" s="11"/>
      <c r="BX413" s="11"/>
      <c r="BY413" s="11"/>
      <c r="BZ413" s="11"/>
      <c r="CA413" s="11"/>
      <c r="CB413" s="11"/>
      <c r="CC413" s="11"/>
      <c r="CD413" s="11"/>
    </row>
    <row r="414" ht="15.75" customHeight="1">
      <c r="BP414" s="34"/>
      <c r="BQ414" s="11"/>
      <c r="BR414" s="11"/>
      <c r="BS414" s="11"/>
      <c r="BT414" s="11"/>
      <c r="BU414" s="11"/>
      <c r="BV414" s="11"/>
      <c r="BW414" s="11"/>
      <c r="BX414" s="11"/>
      <c r="BY414" s="11"/>
      <c r="BZ414" s="11"/>
      <c r="CA414" s="11"/>
      <c r="CB414" s="11"/>
      <c r="CC414" s="11"/>
      <c r="CD414" s="11"/>
    </row>
    <row r="415" ht="15.75" customHeight="1">
      <c r="BP415" s="34"/>
      <c r="BQ415" s="11"/>
      <c r="BR415" s="11"/>
      <c r="BS415" s="11"/>
      <c r="BT415" s="11"/>
      <c r="BU415" s="11"/>
      <c r="BV415" s="11"/>
      <c r="BW415" s="11"/>
      <c r="BX415" s="11"/>
      <c r="BY415" s="11"/>
      <c r="BZ415" s="11"/>
      <c r="CA415" s="11"/>
      <c r="CB415" s="11"/>
      <c r="CC415" s="11"/>
      <c r="CD415" s="11"/>
    </row>
    <row r="416" ht="15.75" customHeight="1">
      <c r="BP416" s="34"/>
      <c r="BQ416" s="11"/>
      <c r="BR416" s="11"/>
      <c r="BS416" s="11"/>
      <c r="BT416" s="11"/>
      <c r="BU416" s="11"/>
      <c r="BV416" s="11"/>
      <c r="BW416" s="11"/>
      <c r="BX416" s="11"/>
      <c r="BY416" s="11"/>
      <c r="BZ416" s="11"/>
      <c r="CA416" s="11"/>
      <c r="CB416" s="11"/>
      <c r="CC416" s="11"/>
      <c r="CD416" s="11"/>
    </row>
    <row r="417" ht="15.75" customHeight="1">
      <c r="BP417" s="34"/>
      <c r="BQ417" s="11"/>
      <c r="BR417" s="11"/>
      <c r="BS417" s="11"/>
      <c r="BT417" s="11"/>
      <c r="BU417" s="11"/>
      <c r="BV417" s="11"/>
      <c r="BW417" s="11"/>
      <c r="BX417" s="11"/>
      <c r="BY417" s="11"/>
      <c r="BZ417" s="11"/>
      <c r="CA417" s="11"/>
      <c r="CB417" s="11"/>
      <c r="CC417" s="11"/>
      <c r="CD417" s="11"/>
    </row>
    <row r="418" ht="15.75" customHeight="1">
      <c r="BP418" s="34"/>
      <c r="BQ418" s="11"/>
      <c r="BR418" s="11"/>
      <c r="BS418" s="11"/>
      <c r="BT418" s="11"/>
      <c r="BU418" s="11"/>
      <c r="BV418" s="11"/>
      <c r="BW418" s="11"/>
      <c r="BX418" s="11"/>
      <c r="BY418" s="11"/>
      <c r="BZ418" s="11"/>
      <c r="CA418" s="11"/>
      <c r="CB418" s="11"/>
      <c r="CC418" s="11"/>
      <c r="CD418" s="11"/>
    </row>
    <row r="419" ht="15.75" customHeight="1">
      <c r="BP419" s="34"/>
      <c r="BQ419" s="11"/>
      <c r="BR419" s="11"/>
      <c r="BS419" s="11"/>
      <c r="BT419" s="11"/>
      <c r="BU419" s="11"/>
      <c r="BV419" s="11"/>
      <c r="BW419" s="11"/>
      <c r="BX419" s="11"/>
      <c r="BY419" s="11"/>
      <c r="BZ419" s="11"/>
      <c r="CA419" s="11"/>
      <c r="CB419" s="11"/>
      <c r="CC419" s="11"/>
      <c r="CD419" s="11"/>
    </row>
    <row r="420" ht="15.75" customHeight="1">
      <c r="BP420" s="34"/>
      <c r="BQ420" s="11"/>
      <c r="BR420" s="11"/>
      <c r="BS420" s="11"/>
      <c r="BT420" s="11"/>
      <c r="BU420" s="11"/>
      <c r="BV420" s="11"/>
      <c r="BW420" s="11"/>
      <c r="BX420" s="11"/>
      <c r="BY420" s="11"/>
      <c r="BZ420" s="11"/>
      <c r="CA420" s="11"/>
      <c r="CB420" s="11"/>
      <c r="CC420" s="11"/>
      <c r="CD420" s="11"/>
    </row>
    <row r="421" ht="15.75" customHeight="1">
      <c r="BP421" s="34"/>
      <c r="BQ421" s="11"/>
      <c r="BR421" s="11"/>
      <c r="BS421" s="11"/>
      <c r="BT421" s="11"/>
      <c r="BU421" s="11"/>
      <c r="BV421" s="11"/>
      <c r="BW421" s="11"/>
      <c r="BX421" s="11"/>
      <c r="BY421" s="11"/>
      <c r="BZ421" s="11"/>
      <c r="CA421" s="11"/>
      <c r="CB421" s="11"/>
      <c r="CC421" s="11"/>
      <c r="CD421" s="11"/>
    </row>
    <row r="422" ht="15.75" customHeight="1">
      <c r="BP422" s="34"/>
      <c r="BQ422" s="11"/>
      <c r="BR422" s="11"/>
      <c r="BS422" s="11"/>
      <c r="BT422" s="11"/>
      <c r="BU422" s="11"/>
      <c r="BV422" s="11"/>
      <c r="BW422" s="11"/>
      <c r="BX422" s="11"/>
      <c r="BY422" s="11"/>
      <c r="BZ422" s="11"/>
      <c r="CA422" s="11"/>
      <c r="CB422" s="11"/>
      <c r="CC422" s="11"/>
      <c r="CD422" s="11"/>
    </row>
    <row r="423" ht="15.75" customHeight="1">
      <c r="BP423" s="34"/>
      <c r="BQ423" s="11"/>
      <c r="BR423" s="11"/>
      <c r="BS423" s="11"/>
      <c r="BT423" s="11"/>
      <c r="BU423" s="11"/>
      <c r="BV423" s="11"/>
      <c r="BW423" s="11"/>
      <c r="BX423" s="11"/>
      <c r="BY423" s="11"/>
      <c r="BZ423" s="11"/>
      <c r="CA423" s="11"/>
      <c r="CB423" s="11"/>
      <c r="CC423" s="11"/>
      <c r="CD423" s="11"/>
    </row>
    <row r="424" ht="15.75" customHeight="1">
      <c r="BP424" s="34"/>
      <c r="BQ424" s="11"/>
      <c r="BR424" s="11"/>
      <c r="BS424" s="11"/>
      <c r="BT424" s="11"/>
      <c r="BU424" s="11"/>
      <c r="BV424" s="11"/>
      <c r="BW424" s="11"/>
      <c r="BX424" s="11"/>
      <c r="BY424" s="11"/>
      <c r="BZ424" s="11"/>
      <c r="CA424" s="11"/>
      <c r="CB424" s="11"/>
      <c r="CC424" s="11"/>
      <c r="CD424" s="11"/>
    </row>
    <row r="425" ht="15.75" customHeight="1">
      <c r="BP425" s="34"/>
      <c r="BQ425" s="11"/>
      <c r="BR425" s="11"/>
      <c r="BS425" s="11"/>
      <c r="BT425" s="11"/>
      <c r="BU425" s="11"/>
      <c r="BV425" s="11"/>
      <c r="BW425" s="11"/>
      <c r="BX425" s="11"/>
      <c r="BY425" s="11"/>
      <c r="BZ425" s="11"/>
      <c r="CA425" s="11"/>
      <c r="CB425" s="11"/>
      <c r="CC425" s="11"/>
      <c r="CD425" s="11"/>
    </row>
    <row r="426" ht="15.75" customHeight="1">
      <c r="BP426" s="34"/>
      <c r="BQ426" s="11"/>
      <c r="BR426" s="11"/>
      <c r="BS426" s="11"/>
      <c r="BT426" s="11"/>
      <c r="BU426" s="11"/>
      <c r="BV426" s="11"/>
      <c r="BW426" s="11"/>
      <c r="BX426" s="11"/>
      <c r="BY426" s="11"/>
      <c r="BZ426" s="11"/>
      <c r="CA426" s="11"/>
      <c r="CB426" s="11"/>
      <c r="CC426" s="11"/>
      <c r="CD426" s="11"/>
    </row>
    <row r="427" ht="15.75" customHeight="1">
      <c r="BP427" s="34"/>
      <c r="BQ427" s="11"/>
      <c r="BR427" s="11"/>
      <c r="BS427" s="11"/>
      <c r="BT427" s="11"/>
      <c r="BU427" s="11"/>
      <c r="BV427" s="11"/>
      <c r="BW427" s="11"/>
      <c r="BX427" s="11"/>
      <c r="BY427" s="11"/>
      <c r="BZ427" s="11"/>
      <c r="CA427" s="11"/>
      <c r="CB427" s="11"/>
      <c r="CC427" s="11"/>
      <c r="CD427" s="11"/>
    </row>
    <row r="428" ht="15.75" customHeight="1">
      <c r="BP428" s="34"/>
      <c r="BQ428" s="11"/>
      <c r="BR428" s="11"/>
      <c r="BS428" s="11"/>
      <c r="BT428" s="11"/>
      <c r="BU428" s="11"/>
      <c r="BV428" s="11"/>
      <c r="BW428" s="11"/>
      <c r="BX428" s="11"/>
      <c r="BY428" s="11"/>
      <c r="BZ428" s="11"/>
      <c r="CA428" s="11"/>
      <c r="CB428" s="11"/>
      <c r="CC428" s="11"/>
      <c r="CD428" s="11"/>
    </row>
    <row r="429" ht="15.75" customHeight="1">
      <c r="BP429" s="34"/>
      <c r="BQ429" s="11"/>
      <c r="BR429" s="11"/>
      <c r="BS429" s="11"/>
      <c r="BT429" s="11"/>
      <c r="BU429" s="11"/>
      <c r="BV429" s="11"/>
      <c r="BW429" s="11"/>
      <c r="BX429" s="11"/>
      <c r="BY429" s="11"/>
      <c r="BZ429" s="11"/>
      <c r="CA429" s="11"/>
      <c r="CB429" s="11"/>
      <c r="CC429" s="11"/>
      <c r="CD429" s="11"/>
    </row>
    <row r="430" ht="15.75" customHeight="1">
      <c r="BP430" s="34"/>
      <c r="BQ430" s="11"/>
      <c r="BR430" s="11"/>
      <c r="BS430" s="11"/>
      <c r="BT430" s="11"/>
      <c r="BU430" s="11"/>
      <c r="BV430" s="11"/>
      <c r="BW430" s="11"/>
      <c r="BX430" s="11"/>
      <c r="BY430" s="11"/>
      <c r="BZ430" s="11"/>
      <c r="CA430" s="11"/>
      <c r="CB430" s="11"/>
      <c r="CC430" s="11"/>
      <c r="CD430" s="11"/>
    </row>
    <row r="431" ht="15.75" customHeight="1">
      <c r="BP431" s="34"/>
      <c r="BQ431" s="11"/>
      <c r="BR431" s="11"/>
      <c r="BS431" s="11"/>
      <c r="BT431" s="11"/>
      <c r="BU431" s="11"/>
      <c r="BV431" s="11"/>
      <c r="BW431" s="11"/>
      <c r="BX431" s="11"/>
      <c r="BY431" s="11"/>
      <c r="BZ431" s="11"/>
      <c r="CA431" s="11"/>
      <c r="CB431" s="11"/>
      <c r="CC431" s="11"/>
      <c r="CD431" s="11"/>
    </row>
    <row r="432" ht="15.75" customHeight="1">
      <c r="BP432" s="34"/>
      <c r="BQ432" s="11"/>
      <c r="BR432" s="11"/>
      <c r="BS432" s="11"/>
      <c r="BT432" s="11"/>
      <c r="BU432" s="11"/>
      <c r="BV432" s="11"/>
      <c r="BW432" s="11"/>
      <c r="BX432" s="11"/>
      <c r="BY432" s="11"/>
      <c r="BZ432" s="11"/>
      <c r="CA432" s="11"/>
      <c r="CB432" s="11"/>
      <c r="CC432" s="11"/>
      <c r="CD432" s="11"/>
    </row>
    <row r="433" ht="15.75" customHeight="1">
      <c r="BP433" s="34"/>
      <c r="BQ433" s="11"/>
      <c r="BR433" s="11"/>
      <c r="BS433" s="11"/>
      <c r="BT433" s="11"/>
      <c r="BU433" s="11"/>
      <c r="BV433" s="11"/>
      <c r="BW433" s="11"/>
      <c r="BX433" s="11"/>
      <c r="BY433" s="11"/>
      <c r="BZ433" s="11"/>
      <c r="CA433" s="11"/>
      <c r="CB433" s="11"/>
      <c r="CC433" s="11"/>
      <c r="CD433" s="11"/>
    </row>
    <row r="434" ht="15.75" customHeight="1">
      <c r="BP434" s="34"/>
      <c r="BQ434" s="11"/>
      <c r="BR434" s="11"/>
      <c r="BS434" s="11"/>
      <c r="BT434" s="11"/>
      <c r="BU434" s="11"/>
      <c r="BV434" s="11"/>
      <c r="BW434" s="11"/>
      <c r="BX434" s="11"/>
      <c r="BY434" s="11"/>
      <c r="BZ434" s="11"/>
      <c r="CA434" s="11"/>
      <c r="CB434" s="11"/>
      <c r="CC434" s="11"/>
      <c r="CD434" s="11"/>
    </row>
    <row r="435" ht="15.75" customHeight="1">
      <c r="BP435" s="34"/>
      <c r="BQ435" s="11"/>
      <c r="BR435" s="11"/>
      <c r="BS435" s="11"/>
      <c r="BT435" s="11"/>
      <c r="BU435" s="11"/>
      <c r="BV435" s="11"/>
      <c r="BW435" s="11"/>
      <c r="BX435" s="11"/>
      <c r="BY435" s="11"/>
      <c r="BZ435" s="11"/>
      <c r="CA435" s="11"/>
      <c r="CB435" s="11"/>
      <c r="CC435" s="11"/>
      <c r="CD435" s="11"/>
    </row>
    <row r="436" ht="15.75" customHeight="1">
      <c r="BP436" s="34"/>
      <c r="BQ436" s="11"/>
      <c r="BR436" s="11"/>
      <c r="BS436" s="11"/>
      <c r="BT436" s="11"/>
      <c r="BU436" s="11"/>
      <c r="BV436" s="11"/>
      <c r="BW436" s="11"/>
      <c r="BX436" s="11"/>
      <c r="BY436" s="11"/>
      <c r="BZ436" s="11"/>
      <c r="CA436" s="11"/>
      <c r="CB436" s="11"/>
      <c r="CC436" s="11"/>
      <c r="CD436" s="11"/>
    </row>
    <row r="437" ht="15.75" customHeight="1">
      <c r="BP437" s="34"/>
      <c r="BQ437" s="11"/>
      <c r="BR437" s="11"/>
      <c r="BS437" s="11"/>
      <c r="BT437" s="11"/>
      <c r="BU437" s="11"/>
      <c r="BV437" s="11"/>
      <c r="BW437" s="11"/>
      <c r="BX437" s="11"/>
      <c r="BY437" s="11"/>
      <c r="BZ437" s="11"/>
      <c r="CA437" s="11"/>
      <c r="CB437" s="11"/>
      <c r="CC437" s="11"/>
      <c r="CD437" s="11"/>
    </row>
    <row r="438" ht="15.75" customHeight="1">
      <c r="BP438" s="34"/>
      <c r="BQ438" s="11"/>
      <c r="BR438" s="11"/>
      <c r="BS438" s="11"/>
      <c r="BT438" s="11"/>
      <c r="BU438" s="11"/>
      <c r="BV438" s="11"/>
      <c r="BW438" s="11"/>
      <c r="BX438" s="11"/>
      <c r="BY438" s="11"/>
      <c r="BZ438" s="11"/>
      <c r="CA438" s="11"/>
      <c r="CB438" s="11"/>
      <c r="CC438" s="11"/>
      <c r="CD438" s="11"/>
    </row>
    <row r="439" ht="15.75" customHeight="1">
      <c r="BP439" s="34"/>
      <c r="BQ439" s="11"/>
      <c r="BR439" s="11"/>
      <c r="BS439" s="11"/>
      <c r="BT439" s="11"/>
      <c r="BU439" s="11"/>
      <c r="BV439" s="11"/>
      <c r="BW439" s="11"/>
      <c r="BX439" s="11"/>
      <c r="BY439" s="11"/>
      <c r="BZ439" s="11"/>
      <c r="CA439" s="11"/>
      <c r="CB439" s="11"/>
      <c r="CC439" s="11"/>
      <c r="CD439" s="11"/>
    </row>
    <row r="440" ht="15.75" customHeight="1">
      <c r="BP440" s="34"/>
      <c r="BQ440" s="11"/>
      <c r="BR440" s="11"/>
      <c r="BS440" s="11"/>
      <c r="BT440" s="11"/>
      <c r="BU440" s="11"/>
      <c r="BV440" s="11"/>
      <c r="BW440" s="11"/>
      <c r="BX440" s="11"/>
      <c r="BY440" s="11"/>
      <c r="BZ440" s="11"/>
      <c r="CA440" s="11"/>
      <c r="CB440" s="11"/>
      <c r="CC440" s="11"/>
      <c r="CD440" s="11"/>
    </row>
    <row r="441" ht="15.75" customHeight="1">
      <c r="BP441" s="34"/>
      <c r="BQ441" s="11"/>
      <c r="BR441" s="11"/>
      <c r="BS441" s="11"/>
      <c r="BT441" s="11"/>
      <c r="BU441" s="11"/>
      <c r="BV441" s="11"/>
      <c r="BW441" s="11"/>
      <c r="BX441" s="11"/>
      <c r="BY441" s="11"/>
      <c r="BZ441" s="11"/>
      <c r="CA441" s="11"/>
      <c r="CB441" s="11"/>
      <c r="CC441" s="11"/>
      <c r="CD441" s="11"/>
    </row>
    <row r="442" ht="15.75" customHeight="1">
      <c r="BP442" s="34"/>
      <c r="BQ442" s="11"/>
      <c r="BR442" s="11"/>
      <c r="BS442" s="11"/>
      <c r="BT442" s="11"/>
      <c r="BU442" s="11"/>
      <c r="BV442" s="11"/>
      <c r="BW442" s="11"/>
      <c r="BX442" s="11"/>
      <c r="BY442" s="11"/>
      <c r="BZ442" s="11"/>
      <c r="CA442" s="11"/>
      <c r="CB442" s="11"/>
      <c r="CC442" s="11"/>
      <c r="CD442" s="11"/>
    </row>
    <row r="443" ht="15.75" customHeight="1">
      <c r="BP443" s="34"/>
      <c r="BQ443" s="11"/>
      <c r="BR443" s="11"/>
      <c r="BS443" s="11"/>
      <c r="BT443" s="11"/>
      <c r="BU443" s="11"/>
      <c r="BV443" s="11"/>
      <c r="BW443" s="11"/>
      <c r="BX443" s="11"/>
      <c r="BY443" s="11"/>
      <c r="BZ443" s="11"/>
      <c r="CA443" s="11"/>
      <c r="CB443" s="11"/>
      <c r="CC443" s="11"/>
      <c r="CD443" s="11"/>
    </row>
    <row r="444" ht="15.75" customHeight="1">
      <c r="BP444" s="34"/>
      <c r="BQ444" s="11"/>
      <c r="BR444" s="11"/>
      <c r="BS444" s="11"/>
      <c r="BT444" s="11"/>
      <c r="BU444" s="11"/>
      <c r="BV444" s="11"/>
      <c r="BW444" s="11"/>
      <c r="BX444" s="11"/>
      <c r="BY444" s="11"/>
      <c r="BZ444" s="11"/>
      <c r="CA444" s="11"/>
      <c r="CB444" s="11"/>
      <c r="CC444" s="11"/>
      <c r="CD444" s="11"/>
    </row>
    <row r="445" ht="15.75" customHeight="1">
      <c r="BP445" s="34"/>
      <c r="BQ445" s="11"/>
      <c r="BR445" s="11"/>
      <c r="BS445" s="11"/>
      <c r="BT445" s="11"/>
      <c r="BU445" s="11"/>
      <c r="BV445" s="11"/>
      <c r="BW445" s="11"/>
      <c r="BX445" s="11"/>
      <c r="BY445" s="11"/>
      <c r="BZ445" s="11"/>
      <c r="CA445" s="11"/>
      <c r="CB445" s="11"/>
      <c r="CC445" s="11"/>
      <c r="CD445" s="11"/>
    </row>
    <row r="446" ht="15.75" customHeight="1">
      <c r="BP446" s="34"/>
      <c r="BQ446" s="11"/>
      <c r="BR446" s="11"/>
      <c r="BS446" s="11"/>
      <c r="BT446" s="11"/>
      <c r="BU446" s="11"/>
      <c r="BV446" s="11"/>
      <c r="BW446" s="11"/>
      <c r="BX446" s="11"/>
      <c r="BY446" s="11"/>
      <c r="BZ446" s="11"/>
      <c r="CA446" s="11"/>
      <c r="CB446" s="11"/>
      <c r="CC446" s="11"/>
      <c r="CD446" s="11"/>
    </row>
    <row r="447" ht="15.75" customHeight="1">
      <c r="BP447" s="34"/>
      <c r="BQ447" s="11"/>
      <c r="BR447" s="11"/>
      <c r="BS447" s="11"/>
      <c r="BT447" s="11"/>
      <c r="BU447" s="11"/>
      <c r="BV447" s="11"/>
      <c r="BW447" s="11"/>
      <c r="BX447" s="11"/>
      <c r="BY447" s="11"/>
      <c r="BZ447" s="11"/>
      <c r="CA447" s="11"/>
      <c r="CB447" s="11"/>
      <c r="CC447" s="11"/>
      <c r="CD447" s="11"/>
    </row>
    <row r="448" ht="15.75" customHeight="1">
      <c r="BP448" s="34"/>
      <c r="BQ448" s="11"/>
      <c r="BR448" s="11"/>
      <c r="BS448" s="11"/>
      <c r="BT448" s="11"/>
      <c r="BU448" s="11"/>
      <c r="BV448" s="11"/>
      <c r="BW448" s="11"/>
      <c r="BX448" s="11"/>
      <c r="BY448" s="11"/>
      <c r="BZ448" s="11"/>
      <c r="CA448" s="11"/>
      <c r="CB448" s="11"/>
      <c r="CC448" s="11"/>
      <c r="CD448" s="11"/>
    </row>
    <row r="449" ht="15.75" customHeight="1">
      <c r="BP449" s="34"/>
      <c r="BQ449" s="11"/>
      <c r="BR449" s="11"/>
      <c r="BS449" s="11"/>
      <c r="BT449" s="11"/>
      <c r="BU449" s="11"/>
      <c r="BV449" s="11"/>
      <c r="BW449" s="11"/>
      <c r="BX449" s="11"/>
      <c r="BY449" s="11"/>
      <c r="BZ449" s="11"/>
      <c r="CA449" s="11"/>
      <c r="CB449" s="11"/>
      <c r="CC449" s="11"/>
      <c r="CD449" s="11"/>
    </row>
    <row r="450" ht="15.75" customHeight="1">
      <c r="BP450" s="34"/>
      <c r="BQ450" s="11"/>
      <c r="BR450" s="11"/>
      <c r="BS450" s="11"/>
      <c r="BT450" s="11"/>
      <c r="BU450" s="11"/>
      <c r="BV450" s="11"/>
      <c r="BW450" s="11"/>
      <c r="BX450" s="11"/>
      <c r="BY450" s="11"/>
      <c r="BZ450" s="11"/>
      <c r="CA450" s="11"/>
      <c r="CB450" s="11"/>
      <c r="CC450" s="11"/>
      <c r="CD450" s="11"/>
    </row>
    <row r="451" ht="15.75" customHeight="1">
      <c r="BP451" s="34"/>
      <c r="BQ451" s="11"/>
      <c r="BR451" s="11"/>
      <c r="BS451" s="11"/>
      <c r="BT451" s="11"/>
      <c r="BU451" s="11"/>
      <c r="BV451" s="11"/>
      <c r="BW451" s="11"/>
      <c r="BX451" s="11"/>
      <c r="BY451" s="11"/>
      <c r="BZ451" s="11"/>
      <c r="CA451" s="11"/>
      <c r="CB451" s="11"/>
      <c r="CC451" s="11"/>
      <c r="CD451" s="11"/>
    </row>
    <row r="452" ht="15.75" customHeight="1">
      <c r="BP452" s="34"/>
      <c r="BQ452" s="11"/>
      <c r="BR452" s="11"/>
      <c r="BS452" s="11"/>
      <c r="BT452" s="11"/>
      <c r="BU452" s="11"/>
      <c r="BV452" s="11"/>
      <c r="BW452" s="11"/>
      <c r="BX452" s="11"/>
      <c r="BY452" s="11"/>
      <c r="BZ452" s="11"/>
      <c r="CA452" s="11"/>
      <c r="CB452" s="11"/>
      <c r="CC452" s="11"/>
      <c r="CD452" s="11"/>
    </row>
    <row r="453" ht="15.75" customHeight="1">
      <c r="BP453" s="34"/>
      <c r="BQ453" s="11"/>
      <c r="BR453" s="11"/>
      <c r="BS453" s="11"/>
      <c r="BT453" s="11"/>
      <c r="BU453" s="11"/>
      <c r="BV453" s="11"/>
      <c r="BW453" s="11"/>
      <c r="BX453" s="11"/>
      <c r="BY453" s="11"/>
      <c r="BZ453" s="11"/>
      <c r="CA453" s="11"/>
      <c r="CB453" s="11"/>
      <c r="CC453" s="11"/>
      <c r="CD453" s="11"/>
    </row>
    <row r="454" ht="15.75" customHeight="1">
      <c r="BP454" s="34"/>
      <c r="BQ454" s="11"/>
      <c r="BR454" s="11"/>
      <c r="BS454" s="11"/>
      <c r="BT454" s="11"/>
      <c r="BU454" s="11"/>
      <c r="BV454" s="11"/>
      <c r="BW454" s="11"/>
      <c r="BX454" s="11"/>
      <c r="BY454" s="11"/>
      <c r="BZ454" s="11"/>
      <c r="CA454" s="11"/>
      <c r="CB454" s="11"/>
      <c r="CC454" s="11"/>
      <c r="CD454" s="11"/>
    </row>
    <row r="455" ht="15.75" customHeight="1">
      <c r="BP455" s="34"/>
      <c r="BQ455" s="11"/>
      <c r="BR455" s="11"/>
      <c r="BS455" s="11"/>
      <c r="BT455" s="11"/>
      <c r="BU455" s="11"/>
      <c r="BV455" s="11"/>
      <c r="BW455" s="11"/>
      <c r="BX455" s="11"/>
      <c r="BY455" s="11"/>
      <c r="BZ455" s="11"/>
      <c r="CA455" s="11"/>
      <c r="CB455" s="11"/>
      <c r="CC455" s="11"/>
      <c r="CD455" s="11"/>
    </row>
    <row r="456" ht="15.75" customHeight="1">
      <c r="BP456" s="34"/>
      <c r="BQ456" s="11"/>
      <c r="BR456" s="11"/>
      <c r="BS456" s="11"/>
      <c r="BT456" s="11"/>
      <c r="BU456" s="11"/>
      <c r="BV456" s="11"/>
      <c r="BW456" s="11"/>
      <c r="BX456" s="11"/>
      <c r="BY456" s="11"/>
      <c r="BZ456" s="11"/>
      <c r="CA456" s="11"/>
      <c r="CB456" s="11"/>
      <c r="CC456" s="11"/>
      <c r="CD456" s="11"/>
    </row>
    <row r="457" ht="15.75" customHeight="1">
      <c r="BP457" s="34"/>
      <c r="BQ457" s="11"/>
      <c r="BR457" s="11"/>
      <c r="BS457" s="11"/>
      <c r="BT457" s="11"/>
      <c r="BU457" s="11"/>
      <c r="BV457" s="11"/>
      <c r="BW457" s="11"/>
      <c r="BX457" s="11"/>
      <c r="BY457" s="11"/>
      <c r="BZ457" s="11"/>
      <c r="CA457" s="11"/>
      <c r="CB457" s="11"/>
      <c r="CC457" s="11"/>
      <c r="CD457" s="11"/>
    </row>
    <row r="458" ht="15.75" customHeight="1">
      <c r="BP458" s="34"/>
      <c r="BQ458" s="11"/>
      <c r="BR458" s="11"/>
      <c r="BS458" s="11"/>
      <c r="BT458" s="11"/>
      <c r="BU458" s="11"/>
      <c r="BV458" s="11"/>
      <c r="BW458" s="11"/>
      <c r="BX458" s="11"/>
      <c r="BY458" s="11"/>
      <c r="BZ458" s="11"/>
      <c r="CA458" s="11"/>
      <c r="CB458" s="11"/>
      <c r="CC458" s="11"/>
      <c r="CD458" s="11"/>
    </row>
    <row r="459" ht="15.75" customHeight="1">
      <c r="BP459" s="34"/>
      <c r="BQ459" s="11"/>
      <c r="BR459" s="11"/>
      <c r="BS459" s="11"/>
      <c r="BT459" s="11"/>
      <c r="BU459" s="11"/>
      <c r="BV459" s="11"/>
      <c r="BW459" s="11"/>
      <c r="BX459" s="11"/>
      <c r="BY459" s="11"/>
      <c r="BZ459" s="11"/>
      <c r="CA459" s="11"/>
      <c r="CB459" s="11"/>
      <c r="CC459" s="11"/>
      <c r="CD459" s="11"/>
    </row>
    <row r="460" ht="15.75" customHeight="1">
      <c r="BP460" s="34"/>
      <c r="BQ460" s="11"/>
      <c r="BR460" s="11"/>
      <c r="BS460" s="11"/>
      <c r="BT460" s="11"/>
      <c r="BU460" s="11"/>
      <c r="BV460" s="11"/>
      <c r="BW460" s="11"/>
      <c r="BX460" s="11"/>
      <c r="BY460" s="11"/>
      <c r="BZ460" s="11"/>
      <c r="CA460" s="11"/>
      <c r="CB460" s="11"/>
      <c r="CC460" s="11"/>
      <c r="CD460" s="11"/>
    </row>
    <row r="461" ht="15.75" customHeight="1">
      <c r="BP461" s="34"/>
      <c r="BQ461" s="11"/>
      <c r="BR461" s="11"/>
      <c r="BS461" s="11"/>
      <c r="BT461" s="11"/>
      <c r="BU461" s="11"/>
      <c r="BV461" s="11"/>
      <c r="BW461" s="11"/>
      <c r="BX461" s="11"/>
      <c r="BY461" s="11"/>
      <c r="BZ461" s="11"/>
      <c r="CA461" s="11"/>
      <c r="CB461" s="11"/>
      <c r="CC461" s="11"/>
      <c r="CD461" s="11"/>
    </row>
    <row r="462" ht="15.75" customHeight="1">
      <c r="BP462" s="34"/>
      <c r="BQ462" s="11"/>
      <c r="BR462" s="11"/>
      <c r="BS462" s="11"/>
      <c r="BT462" s="11"/>
      <c r="BU462" s="11"/>
      <c r="BV462" s="11"/>
      <c r="BW462" s="11"/>
      <c r="BX462" s="11"/>
      <c r="BY462" s="11"/>
      <c r="BZ462" s="11"/>
      <c r="CA462" s="11"/>
      <c r="CB462" s="11"/>
      <c r="CC462" s="11"/>
      <c r="CD462" s="11"/>
    </row>
    <row r="463" ht="15.75" customHeight="1">
      <c r="BP463" s="34"/>
      <c r="BQ463" s="11"/>
      <c r="BR463" s="11"/>
      <c r="BS463" s="11"/>
      <c r="BT463" s="11"/>
      <c r="BU463" s="11"/>
      <c r="BV463" s="11"/>
      <c r="BW463" s="11"/>
      <c r="BX463" s="11"/>
      <c r="BY463" s="11"/>
      <c r="BZ463" s="11"/>
      <c r="CA463" s="11"/>
      <c r="CB463" s="11"/>
      <c r="CC463" s="11"/>
      <c r="CD463" s="11"/>
    </row>
    <row r="464" ht="15.75" customHeight="1">
      <c r="BP464" s="34"/>
      <c r="BQ464" s="11"/>
      <c r="BR464" s="11"/>
      <c r="BS464" s="11"/>
      <c r="BT464" s="11"/>
      <c r="BU464" s="11"/>
      <c r="BV464" s="11"/>
      <c r="BW464" s="11"/>
      <c r="BX464" s="11"/>
      <c r="BY464" s="11"/>
      <c r="BZ464" s="11"/>
      <c r="CA464" s="11"/>
      <c r="CB464" s="11"/>
      <c r="CC464" s="11"/>
      <c r="CD464" s="11"/>
    </row>
    <row r="465" ht="15.75" customHeight="1">
      <c r="BP465" s="34"/>
      <c r="BQ465" s="11"/>
      <c r="BR465" s="11"/>
      <c r="BS465" s="11"/>
      <c r="BT465" s="11"/>
      <c r="BU465" s="11"/>
      <c r="BV465" s="11"/>
      <c r="BW465" s="11"/>
      <c r="BX465" s="11"/>
      <c r="BY465" s="11"/>
      <c r="BZ465" s="11"/>
      <c r="CA465" s="11"/>
      <c r="CB465" s="11"/>
      <c r="CC465" s="11"/>
      <c r="CD465" s="11"/>
    </row>
    <row r="466" ht="15.75" customHeight="1">
      <c r="BP466" s="34"/>
      <c r="BQ466" s="11"/>
      <c r="BR466" s="11"/>
      <c r="BS466" s="11"/>
      <c r="BT466" s="11"/>
      <c r="BU466" s="11"/>
      <c r="BV466" s="11"/>
      <c r="BW466" s="11"/>
      <c r="BX466" s="11"/>
      <c r="BY466" s="11"/>
      <c r="BZ466" s="11"/>
      <c r="CA466" s="11"/>
      <c r="CB466" s="11"/>
      <c r="CC466" s="11"/>
      <c r="CD466" s="11"/>
    </row>
    <row r="467" ht="15.75" customHeight="1">
      <c r="BP467" s="34"/>
      <c r="BQ467" s="11"/>
      <c r="BR467" s="11"/>
      <c r="BS467" s="11"/>
      <c r="BT467" s="11"/>
      <c r="BU467" s="11"/>
      <c r="BV467" s="11"/>
      <c r="BW467" s="11"/>
      <c r="BX467" s="11"/>
      <c r="BY467" s="11"/>
      <c r="BZ467" s="11"/>
      <c r="CA467" s="11"/>
      <c r="CB467" s="11"/>
      <c r="CC467" s="11"/>
      <c r="CD467" s="11"/>
    </row>
    <row r="468" ht="15.75" customHeight="1">
      <c r="BP468" s="34"/>
      <c r="BQ468" s="11"/>
      <c r="BR468" s="11"/>
      <c r="BS468" s="11"/>
      <c r="BT468" s="11"/>
      <c r="BU468" s="11"/>
      <c r="BV468" s="11"/>
      <c r="BW468" s="11"/>
      <c r="BX468" s="11"/>
      <c r="BY468" s="11"/>
      <c r="BZ468" s="11"/>
      <c r="CA468" s="11"/>
      <c r="CB468" s="11"/>
      <c r="CC468" s="11"/>
      <c r="CD468" s="11"/>
    </row>
    <row r="469" ht="15.75" customHeight="1">
      <c r="BP469" s="34"/>
      <c r="BQ469" s="11"/>
      <c r="BR469" s="11"/>
      <c r="BS469" s="11"/>
      <c r="BT469" s="11"/>
      <c r="BU469" s="11"/>
      <c r="BV469" s="11"/>
      <c r="BW469" s="11"/>
      <c r="BX469" s="11"/>
      <c r="BY469" s="11"/>
      <c r="BZ469" s="11"/>
      <c r="CA469" s="11"/>
      <c r="CB469" s="11"/>
      <c r="CC469" s="11"/>
      <c r="CD469" s="11"/>
    </row>
    <row r="470" ht="15.75" customHeight="1">
      <c r="BP470" s="34"/>
      <c r="BQ470" s="11"/>
      <c r="BR470" s="11"/>
      <c r="BS470" s="11"/>
      <c r="BT470" s="11"/>
      <c r="BU470" s="11"/>
      <c r="BV470" s="11"/>
      <c r="BW470" s="11"/>
      <c r="BX470" s="11"/>
      <c r="BY470" s="11"/>
      <c r="BZ470" s="11"/>
      <c r="CA470" s="11"/>
      <c r="CB470" s="11"/>
      <c r="CC470" s="11"/>
      <c r="CD470" s="11"/>
    </row>
    <row r="471" ht="15.75" customHeight="1">
      <c r="BP471" s="34"/>
      <c r="BQ471" s="11"/>
      <c r="BR471" s="11"/>
      <c r="BS471" s="11"/>
      <c r="BT471" s="11"/>
      <c r="BU471" s="11"/>
      <c r="BV471" s="11"/>
      <c r="BW471" s="11"/>
      <c r="BX471" s="11"/>
      <c r="BY471" s="11"/>
      <c r="BZ471" s="11"/>
      <c r="CA471" s="11"/>
      <c r="CB471" s="11"/>
      <c r="CC471" s="11"/>
      <c r="CD471" s="11"/>
    </row>
    <row r="472" ht="15.75" customHeight="1">
      <c r="BP472" s="34"/>
      <c r="BQ472" s="11"/>
      <c r="BR472" s="11"/>
      <c r="BS472" s="11"/>
      <c r="BT472" s="11"/>
      <c r="BU472" s="11"/>
      <c r="BV472" s="11"/>
      <c r="BW472" s="11"/>
      <c r="BX472" s="11"/>
      <c r="BY472" s="11"/>
      <c r="BZ472" s="11"/>
      <c r="CA472" s="11"/>
      <c r="CB472" s="11"/>
      <c r="CC472" s="11"/>
      <c r="CD472" s="11"/>
    </row>
    <row r="473" ht="15.75" customHeight="1">
      <c r="BP473" s="34"/>
      <c r="BQ473" s="11"/>
      <c r="BR473" s="11"/>
      <c r="BS473" s="11"/>
      <c r="BT473" s="11"/>
      <c r="BU473" s="11"/>
      <c r="BV473" s="11"/>
      <c r="BW473" s="11"/>
      <c r="BX473" s="11"/>
      <c r="BY473" s="11"/>
      <c r="BZ473" s="11"/>
      <c r="CA473" s="11"/>
      <c r="CB473" s="11"/>
      <c r="CC473" s="11"/>
      <c r="CD473" s="11"/>
    </row>
    <row r="474" ht="15.75" customHeight="1">
      <c r="BP474" s="34"/>
      <c r="BQ474" s="11"/>
      <c r="BR474" s="11"/>
      <c r="BS474" s="11"/>
      <c r="BT474" s="11"/>
      <c r="BU474" s="11"/>
      <c r="BV474" s="11"/>
      <c r="BW474" s="11"/>
      <c r="BX474" s="11"/>
      <c r="BY474" s="11"/>
      <c r="BZ474" s="11"/>
      <c r="CA474" s="11"/>
      <c r="CB474" s="11"/>
      <c r="CC474" s="11"/>
      <c r="CD474" s="11"/>
    </row>
    <row r="475" ht="15.75" customHeight="1">
      <c r="BP475" s="34"/>
      <c r="BQ475" s="11"/>
      <c r="BR475" s="11"/>
      <c r="BS475" s="11"/>
      <c r="BT475" s="11"/>
      <c r="BU475" s="11"/>
      <c r="BV475" s="11"/>
      <c r="BW475" s="11"/>
      <c r="BX475" s="11"/>
      <c r="BY475" s="11"/>
      <c r="BZ475" s="11"/>
      <c r="CA475" s="11"/>
      <c r="CB475" s="11"/>
      <c r="CC475" s="11"/>
      <c r="CD475" s="11"/>
    </row>
    <row r="476" ht="15.75" customHeight="1">
      <c r="BP476" s="34"/>
      <c r="BQ476" s="11"/>
      <c r="BR476" s="11"/>
      <c r="BS476" s="11"/>
      <c r="BT476" s="11"/>
      <c r="BU476" s="11"/>
      <c r="BV476" s="11"/>
      <c r="BW476" s="11"/>
      <c r="BX476" s="11"/>
      <c r="BY476" s="11"/>
      <c r="BZ476" s="11"/>
      <c r="CA476" s="11"/>
      <c r="CB476" s="11"/>
      <c r="CC476" s="11"/>
      <c r="CD476" s="11"/>
    </row>
    <row r="477" ht="15.75" customHeight="1">
      <c r="BP477" s="34"/>
      <c r="BQ477" s="11"/>
      <c r="BR477" s="11"/>
      <c r="BS477" s="11"/>
      <c r="BT477" s="11"/>
      <c r="BU477" s="11"/>
      <c r="BV477" s="11"/>
      <c r="BW477" s="11"/>
      <c r="BX477" s="11"/>
      <c r="BY477" s="11"/>
      <c r="BZ477" s="11"/>
      <c r="CA477" s="11"/>
      <c r="CB477" s="11"/>
      <c r="CC477" s="11"/>
      <c r="CD477" s="11"/>
    </row>
    <row r="478" ht="15.75" customHeight="1">
      <c r="BP478" s="34"/>
      <c r="BQ478" s="11"/>
      <c r="BR478" s="11"/>
      <c r="BS478" s="11"/>
      <c r="BT478" s="11"/>
      <c r="BU478" s="11"/>
      <c r="BV478" s="11"/>
      <c r="BW478" s="11"/>
      <c r="BX478" s="11"/>
      <c r="BY478" s="11"/>
      <c r="BZ478" s="11"/>
      <c r="CA478" s="11"/>
      <c r="CB478" s="11"/>
      <c r="CC478" s="11"/>
      <c r="CD478" s="11"/>
    </row>
    <row r="479" ht="15.75" customHeight="1">
      <c r="BP479" s="34"/>
      <c r="BQ479" s="11"/>
      <c r="BR479" s="11"/>
      <c r="BS479" s="11"/>
      <c r="BT479" s="11"/>
      <c r="BU479" s="11"/>
      <c r="BV479" s="11"/>
      <c r="BW479" s="11"/>
      <c r="BX479" s="11"/>
      <c r="BY479" s="11"/>
      <c r="BZ479" s="11"/>
      <c r="CA479" s="11"/>
      <c r="CB479" s="11"/>
      <c r="CC479" s="11"/>
      <c r="CD479" s="11"/>
    </row>
    <row r="480" ht="15.75" customHeight="1">
      <c r="BP480" s="34"/>
      <c r="BQ480" s="11"/>
      <c r="BR480" s="11"/>
      <c r="BS480" s="11"/>
      <c r="BT480" s="11"/>
      <c r="BU480" s="11"/>
      <c r="BV480" s="11"/>
      <c r="BW480" s="11"/>
      <c r="BX480" s="11"/>
      <c r="BY480" s="11"/>
      <c r="BZ480" s="11"/>
      <c r="CA480" s="11"/>
      <c r="CB480" s="11"/>
      <c r="CC480" s="11"/>
      <c r="CD480" s="11"/>
    </row>
    <row r="481" ht="15.75" customHeight="1">
      <c r="BP481" s="34"/>
      <c r="BQ481" s="11"/>
      <c r="BR481" s="11"/>
      <c r="BS481" s="11"/>
      <c r="BT481" s="11"/>
      <c r="BU481" s="11"/>
      <c r="BV481" s="11"/>
      <c r="BW481" s="11"/>
      <c r="BX481" s="11"/>
      <c r="BY481" s="11"/>
      <c r="BZ481" s="11"/>
      <c r="CA481" s="11"/>
      <c r="CB481" s="11"/>
      <c r="CC481" s="11"/>
      <c r="CD481" s="11"/>
    </row>
    <row r="482" ht="15.75" customHeight="1">
      <c r="BP482" s="34"/>
      <c r="BQ482" s="11"/>
      <c r="BR482" s="11"/>
      <c r="BS482" s="11"/>
      <c r="BT482" s="11"/>
      <c r="BU482" s="11"/>
      <c r="BV482" s="11"/>
      <c r="BW482" s="11"/>
      <c r="BX482" s="11"/>
      <c r="BY482" s="11"/>
      <c r="BZ482" s="11"/>
      <c r="CA482" s="11"/>
      <c r="CB482" s="11"/>
      <c r="CC482" s="11"/>
      <c r="CD482" s="11"/>
    </row>
    <row r="483" ht="15.75" customHeight="1">
      <c r="BP483" s="34"/>
      <c r="BQ483" s="11"/>
      <c r="BR483" s="11"/>
      <c r="BS483" s="11"/>
      <c r="BT483" s="11"/>
      <c r="BU483" s="11"/>
      <c r="BV483" s="11"/>
      <c r="BW483" s="11"/>
      <c r="BX483" s="11"/>
      <c r="BY483" s="11"/>
      <c r="BZ483" s="11"/>
      <c r="CA483" s="11"/>
      <c r="CB483" s="11"/>
      <c r="CC483" s="11"/>
      <c r="CD483" s="11"/>
    </row>
    <row r="484" ht="15.75" customHeight="1">
      <c r="BP484" s="34"/>
      <c r="BQ484" s="11"/>
      <c r="BR484" s="11"/>
      <c r="BS484" s="11"/>
      <c r="BT484" s="11"/>
      <c r="BU484" s="11"/>
      <c r="BV484" s="11"/>
      <c r="BW484" s="11"/>
      <c r="BX484" s="11"/>
      <c r="BY484" s="11"/>
      <c r="BZ484" s="11"/>
      <c r="CA484" s="11"/>
      <c r="CB484" s="11"/>
      <c r="CC484" s="11"/>
      <c r="CD484" s="11"/>
    </row>
    <row r="485" ht="15.75" customHeight="1">
      <c r="BP485" s="34"/>
      <c r="BQ485" s="11"/>
      <c r="BR485" s="11"/>
      <c r="BS485" s="11"/>
      <c r="BT485" s="11"/>
      <c r="BU485" s="11"/>
      <c r="BV485" s="11"/>
      <c r="BW485" s="11"/>
      <c r="BX485" s="11"/>
      <c r="BY485" s="11"/>
      <c r="BZ485" s="11"/>
      <c r="CA485" s="11"/>
      <c r="CB485" s="11"/>
      <c r="CC485" s="11"/>
      <c r="CD485" s="11"/>
    </row>
    <row r="486" ht="15.75" customHeight="1">
      <c r="BP486" s="34"/>
      <c r="BQ486" s="11"/>
      <c r="BR486" s="11"/>
      <c r="BS486" s="11"/>
      <c r="BT486" s="11"/>
      <c r="BU486" s="11"/>
      <c r="BV486" s="11"/>
      <c r="BW486" s="11"/>
      <c r="BX486" s="11"/>
      <c r="BY486" s="11"/>
      <c r="BZ486" s="11"/>
      <c r="CA486" s="11"/>
      <c r="CB486" s="11"/>
      <c r="CC486" s="11"/>
      <c r="CD486" s="11"/>
    </row>
    <row r="487" ht="15.75" customHeight="1">
      <c r="BP487" s="34"/>
      <c r="BQ487" s="11"/>
      <c r="BR487" s="11"/>
      <c r="BS487" s="11"/>
      <c r="BT487" s="11"/>
      <c r="BU487" s="11"/>
      <c r="BV487" s="11"/>
      <c r="BW487" s="11"/>
      <c r="BX487" s="11"/>
      <c r="BY487" s="11"/>
      <c r="BZ487" s="11"/>
      <c r="CA487" s="11"/>
      <c r="CB487" s="11"/>
      <c r="CC487" s="11"/>
      <c r="CD487" s="11"/>
    </row>
    <row r="488" ht="15.75" customHeight="1">
      <c r="BP488" s="34"/>
      <c r="BQ488" s="11"/>
      <c r="BR488" s="11"/>
      <c r="BS488" s="11"/>
      <c r="BT488" s="11"/>
      <c r="BU488" s="11"/>
      <c r="BV488" s="11"/>
      <c r="BW488" s="11"/>
      <c r="BX488" s="11"/>
      <c r="BY488" s="11"/>
      <c r="BZ488" s="11"/>
      <c r="CA488" s="11"/>
      <c r="CB488" s="11"/>
      <c r="CC488" s="11"/>
      <c r="CD488" s="11"/>
    </row>
    <row r="489" ht="15.75" customHeight="1">
      <c r="BP489" s="34"/>
      <c r="BQ489" s="11"/>
      <c r="BR489" s="11"/>
      <c r="BS489" s="11"/>
      <c r="BT489" s="11"/>
      <c r="BU489" s="11"/>
      <c r="BV489" s="11"/>
      <c r="BW489" s="11"/>
      <c r="BX489" s="11"/>
      <c r="BY489" s="11"/>
      <c r="BZ489" s="11"/>
      <c r="CA489" s="11"/>
      <c r="CB489" s="11"/>
      <c r="CC489" s="11"/>
      <c r="CD489" s="11"/>
    </row>
    <row r="490" ht="15.75" customHeight="1">
      <c r="BP490" s="34"/>
      <c r="BQ490" s="11"/>
      <c r="BR490" s="11"/>
      <c r="BS490" s="11"/>
      <c r="BT490" s="11"/>
      <c r="BU490" s="11"/>
      <c r="BV490" s="11"/>
      <c r="BW490" s="11"/>
      <c r="BX490" s="11"/>
      <c r="BY490" s="11"/>
      <c r="BZ490" s="11"/>
      <c r="CA490" s="11"/>
      <c r="CB490" s="11"/>
      <c r="CC490" s="11"/>
      <c r="CD490" s="11"/>
    </row>
    <row r="491" ht="15.75" customHeight="1">
      <c r="BP491" s="34"/>
      <c r="BQ491" s="11"/>
      <c r="BR491" s="11"/>
      <c r="BS491" s="11"/>
      <c r="BT491" s="11"/>
      <c r="BU491" s="11"/>
      <c r="BV491" s="11"/>
      <c r="BW491" s="11"/>
      <c r="BX491" s="11"/>
      <c r="BY491" s="11"/>
      <c r="BZ491" s="11"/>
      <c r="CA491" s="11"/>
      <c r="CB491" s="11"/>
      <c r="CC491" s="11"/>
      <c r="CD491" s="11"/>
    </row>
    <row r="492" ht="15.75" customHeight="1">
      <c r="BP492" s="34"/>
      <c r="BQ492" s="11"/>
      <c r="BR492" s="11"/>
      <c r="BS492" s="11"/>
      <c r="BT492" s="11"/>
      <c r="BU492" s="11"/>
      <c r="BV492" s="11"/>
      <c r="BW492" s="11"/>
      <c r="BX492" s="11"/>
      <c r="BY492" s="11"/>
      <c r="BZ492" s="11"/>
      <c r="CA492" s="11"/>
      <c r="CB492" s="11"/>
      <c r="CC492" s="11"/>
      <c r="CD492" s="11"/>
    </row>
    <row r="493" ht="15.75" customHeight="1">
      <c r="BP493" s="34"/>
      <c r="BQ493" s="11"/>
      <c r="BR493" s="11"/>
      <c r="BS493" s="11"/>
      <c r="BT493" s="11"/>
      <c r="BU493" s="11"/>
      <c r="BV493" s="11"/>
      <c r="BW493" s="11"/>
      <c r="BX493" s="11"/>
      <c r="BY493" s="11"/>
      <c r="BZ493" s="11"/>
      <c r="CA493" s="11"/>
      <c r="CB493" s="11"/>
      <c r="CC493" s="11"/>
      <c r="CD493" s="11"/>
    </row>
    <row r="494" ht="15.75" customHeight="1">
      <c r="BP494" s="34"/>
      <c r="BQ494" s="11"/>
      <c r="BR494" s="11"/>
      <c r="BS494" s="11"/>
      <c r="BT494" s="11"/>
      <c r="BU494" s="11"/>
      <c r="BV494" s="11"/>
      <c r="BW494" s="11"/>
      <c r="BX494" s="11"/>
      <c r="BY494" s="11"/>
      <c r="BZ494" s="11"/>
      <c r="CA494" s="11"/>
      <c r="CB494" s="11"/>
      <c r="CC494" s="11"/>
      <c r="CD494" s="11"/>
    </row>
    <row r="495" ht="15.75" customHeight="1">
      <c r="BP495" s="34"/>
      <c r="BQ495" s="11"/>
      <c r="BR495" s="11"/>
      <c r="BS495" s="11"/>
      <c r="BT495" s="11"/>
      <c r="BU495" s="11"/>
      <c r="BV495" s="11"/>
      <c r="BW495" s="11"/>
      <c r="BX495" s="11"/>
      <c r="BY495" s="11"/>
      <c r="BZ495" s="11"/>
      <c r="CA495" s="11"/>
      <c r="CB495" s="11"/>
      <c r="CC495" s="11"/>
      <c r="CD495" s="11"/>
    </row>
    <row r="496" ht="15.75" customHeight="1">
      <c r="BP496" s="34"/>
      <c r="BQ496" s="11"/>
      <c r="BR496" s="11"/>
      <c r="BS496" s="11"/>
      <c r="BT496" s="11"/>
      <c r="BU496" s="11"/>
      <c r="BV496" s="11"/>
      <c r="BW496" s="11"/>
      <c r="BX496" s="11"/>
      <c r="BY496" s="11"/>
      <c r="BZ496" s="11"/>
      <c r="CA496" s="11"/>
      <c r="CB496" s="11"/>
      <c r="CC496" s="11"/>
      <c r="CD496" s="11"/>
    </row>
    <row r="497" ht="15.75" customHeight="1">
      <c r="BP497" s="34"/>
      <c r="BQ497" s="11"/>
      <c r="BR497" s="11"/>
      <c r="BS497" s="11"/>
      <c r="BT497" s="11"/>
      <c r="BU497" s="11"/>
      <c r="BV497" s="11"/>
      <c r="BW497" s="11"/>
      <c r="BX497" s="11"/>
      <c r="BY497" s="11"/>
      <c r="BZ497" s="11"/>
      <c r="CA497" s="11"/>
      <c r="CB497" s="11"/>
      <c r="CC497" s="11"/>
      <c r="CD497" s="11"/>
    </row>
    <row r="498" ht="15.75" customHeight="1">
      <c r="BP498" s="34"/>
      <c r="BQ498" s="11"/>
      <c r="BR498" s="11"/>
      <c r="BS498" s="11"/>
      <c r="BT498" s="11"/>
      <c r="BU498" s="11"/>
      <c r="BV498" s="11"/>
      <c r="BW498" s="11"/>
      <c r="BX498" s="11"/>
      <c r="BY498" s="11"/>
      <c r="BZ498" s="11"/>
      <c r="CA498" s="11"/>
      <c r="CB498" s="11"/>
      <c r="CC498" s="11"/>
      <c r="CD498" s="11"/>
    </row>
    <row r="499" ht="15.75" customHeight="1">
      <c r="BP499" s="34"/>
      <c r="BQ499" s="11"/>
      <c r="BR499" s="11"/>
      <c r="BS499" s="11"/>
      <c r="BT499" s="11"/>
      <c r="BU499" s="11"/>
      <c r="BV499" s="11"/>
      <c r="BW499" s="11"/>
      <c r="BX499" s="11"/>
      <c r="BY499" s="11"/>
      <c r="BZ499" s="11"/>
      <c r="CA499" s="11"/>
      <c r="CB499" s="11"/>
      <c r="CC499" s="11"/>
      <c r="CD499" s="11"/>
    </row>
    <row r="500" ht="15.75" customHeight="1">
      <c r="BP500" s="34"/>
      <c r="BQ500" s="11"/>
      <c r="BR500" s="11"/>
      <c r="BS500" s="11"/>
      <c r="BT500" s="11"/>
      <c r="BU500" s="11"/>
      <c r="BV500" s="11"/>
      <c r="BW500" s="11"/>
      <c r="BX500" s="11"/>
      <c r="BY500" s="11"/>
      <c r="BZ500" s="11"/>
      <c r="CA500" s="11"/>
      <c r="CB500" s="11"/>
      <c r="CC500" s="11"/>
      <c r="CD500" s="11"/>
    </row>
    <row r="501" ht="15.75" customHeight="1">
      <c r="BP501" s="34"/>
      <c r="BQ501" s="11"/>
      <c r="BR501" s="11"/>
      <c r="BS501" s="11"/>
      <c r="BT501" s="11"/>
      <c r="BU501" s="11"/>
      <c r="BV501" s="11"/>
      <c r="BW501" s="11"/>
      <c r="BX501" s="11"/>
      <c r="BY501" s="11"/>
      <c r="BZ501" s="11"/>
      <c r="CA501" s="11"/>
      <c r="CB501" s="11"/>
      <c r="CC501" s="11"/>
      <c r="CD501" s="11"/>
    </row>
    <row r="502" ht="15.75" customHeight="1">
      <c r="BP502" s="34"/>
      <c r="BQ502" s="11"/>
      <c r="BR502" s="11"/>
      <c r="BS502" s="11"/>
      <c r="BT502" s="11"/>
      <c r="BU502" s="11"/>
      <c r="BV502" s="11"/>
      <c r="BW502" s="11"/>
      <c r="BX502" s="11"/>
      <c r="BY502" s="11"/>
      <c r="BZ502" s="11"/>
      <c r="CA502" s="11"/>
      <c r="CB502" s="11"/>
      <c r="CC502" s="11"/>
      <c r="CD502" s="11"/>
    </row>
    <row r="503" ht="15.75" customHeight="1">
      <c r="BP503" s="34"/>
      <c r="BQ503" s="11"/>
      <c r="BR503" s="11"/>
      <c r="BS503" s="11"/>
      <c r="BT503" s="11"/>
      <c r="BU503" s="11"/>
      <c r="BV503" s="11"/>
      <c r="BW503" s="11"/>
      <c r="BX503" s="11"/>
      <c r="BY503" s="11"/>
      <c r="BZ503" s="11"/>
      <c r="CA503" s="11"/>
      <c r="CB503" s="11"/>
      <c r="CC503" s="11"/>
      <c r="CD503" s="11"/>
    </row>
    <row r="504" ht="15.75" customHeight="1">
      <c r="BP504" s="34"/>
      <c r="BQ504" s="11"/>
      <c r="BR504" s="11"/>
      <c r="BS504" s="11"/>
      <c r="BT504" s="11"/>
      <c r="BU504" s="11"/>
      <c r="BV504" s="11"/>
      <c r="BW504" s="11"/>
      <c r="BX504" s="11"/>
      <c r="BY504" s="11"/>
      <c r="BZ504" s="11"/>
      <c r="CA504" s="11"/>
      <c r="CB504" s="11"/>
      <c r="CC504" s="11"/>
      <c r="CD504" s="11"/>
    </row>
    <row r="505" ht="15.75" customHeight="1">
      <c r="BP505" s="34"/>
      <c r="BQ505" s="11"/>
      <c r="BR505" s="11"/>
      <c r="BS505" s="11"/>
      <c r="BT505" s="11"/>
      <c r="BU505" s="11"/>
      <c r="BV505" s="11"/>
      <c r="BW505" s="11"/>
      <c r="BX505" s="11"/>
      <c r="BY505" s="11"/>
      <c r="BZ505" s="11"/>
      <c r="CA505" s="11"/>
      <c r="CB505" s="11"/>
      <c r="CC505" s="11"/>
      <c r="CD505" s="11"/>
    </row>
    <row r="506" ht="15.75" customHeight="1">
      <c r="BP506" s="34"/>
      <c r="BQ506" s="11"/>
      <c r="BR506" s="11"/>
      <c r="BS506" s="11"/>
      <c r="BT506" s="11"/>
      <c r="BU506" s="11"/>
      <c r="BV506" s="11"/>
      <c r="BW506" s="11"/>
      <c r="BX506" s="11"/>
      <c r="BY506" s="11"/>
      <c r="BZ506" s="11"/>
      <c r="CA506" s="11"/>
      <c r="CB506" s="11"/>
      <c r="CC506" s="11"/>
      <c r="CD506" s="11"/>
    </row>
    <row r="507" ht="15.75" customHeight="1">
      <c r="BP507" s="34"/>
      <c r="BQ507" s="11"/>
      <c r="BR507" s="11"/>
      <c r="BS507" s="11"/>
      <c r="BT507" s="11"/>
      <c r="BU507" s="11"/>
      <c r="BV507" s="11"/>
      <c r="BW507" s="11"/>
      <c r="BX507" s="11"/>
      <c r="BY507" s="11"/>
      <c r="BZ507" s="11"/>
      <c r="CA507" s="11"/>
      <c r="CB507" s="11"/>
      <c r="CC507" s="11"/>
      <c r="CD507" s="11"/>
    </row>
    <row r="508" ht="15.75" customHeight="1">
      <c r="BP508" s="34"/>
      <c r="BQ508" s="11"/>
      <c r="BR508" s="11"/>
      <c r="BS508" s="11"/>
      <c r="BT508" s="11"/>
      <c r="BU508" s="11"/>
      <c r="BV508" s="11"/>
      <c r="BW508" s="11"/>
      <c r="BX508" s="11"/>
      <c r="BY508" s="11"/>
      <c r="BZ508" s="11"/>
      <c r="CA508" s="11"/>
      <c r="CB508" s="11"/>
      <c r="CC508" s="11"/>
      <c r="CD508" s="11"/>
    </row>
    <row r="509" ht="15.75" customHeight="1">
      <c r="BP509" s="34"/>
      <c r="BQ509" s="11"/>
      <c r="BR509" s="11"/>
      <c r="BS509" s="11"/>
      <c r="BT509" s="11"/>
      <c r="BU509" s="11"/>
      <c r="BV509" s="11"/>
      <c r="BW509" s="11"/>
      <c r="BX509" s="11"/>
      <c r="BY509" s="11"/>
      <c r="BZ509" s="11"/>
      <c r="CA509" s="11"/>
      <c r="CB509" s="11"/>
      <c r="CC509" s="11"/>
      <c r="CD509" s="11"/>
    </row>
    <row r="510" ht="15.75" customHeight="1">
      <c r="BP510" s="34"/>
      <c r="BQ510" s="11"/>
      <c r="BR510" s="11"/>
      <c r="BS510" s="11"/>
      <c r="BT510" s="11"/>
      <c r="BU510" s="11"/>
      <c r="BV510" s="11"/>
      <c r="BW510" s="11"/>
      <c r="BX510" s="11"/>
      <c r="BY510" s="11"/>
      <c r="BZ510" s="11"/>
      <c r="CA510" s="11"/>
      <c r="CB510" s="11"/>
      <c r="CC510" s="11"/>
      <c r="CD510" s="11"/>
    </row>
    <row r="511" ht="15.75" customHeight="1">
      <c r="BP511" s="34"/>
      <c r="BQ511" s="11"/>
      <c r="BR511" s="11"/>
      <c r="BS511" s="11"/>
      <c r="BT511" s="11"/>
      <c r="BU511" s="11"/>
      <c r="BV511" s="11"/>
      <c r="BW511" s="11"/>
      <c r="BX511" s="11"/>
      <c r="BY511" s="11"/>
      <c r="BZ511" s="11"/>
      <c r="CA511" s="11"/>
      <c r="CB511" s="11"/>
      <c r="CC511" s="11"/>
      <c r="CD511" s="11"/>
    </row>
    <row r="512" ht="15.75" customHeight="1">
      <c r="BP512" s="34"/>
      <c r="BQ512" s="11"/>
      <c r="BR512" s="11"/>
      <c r="BS512" s="11"/>
      <c r="BT512" s="11"/>
      <c r="BU512" s="11"/>
      <c r="BV512" s="11"/>
      <c r="BW512" s="11"/>
      <c r="BX512" s="11"/>
      <c r="BY512" s="11"/>
      <c r="BZ512" s="11"/>
      <c r="CA512" s="11"/>
      <c r="CB512" s="11"/>
      <c r="CC512" s="11"/>
      <c r="CD512" s="11"/>
    </row>
    <row r="513" ht="15.75" customHeight="1">
      <c r="BP513" s="34"/>
      <c r="BQ513" s="11"/>
      <c r="BR513" s="11"/>
      <c r="BS513" s="11"/>
      <c r="BT513" s="11"/>
      <c r="BU513" s="11"/>
      <c r="BV513" s="11"/>
      <c r="BW513" s="11"/>
      <c r="BX513" s="11"/>
      <c r="BY513" s="11"/>
      <c r="BZ513" s="11"/>
      <c r="CA513" s="11"/>
      <c r="CB513" s="11"/>
      <c r="CC513" s="11"/>
      <c r="CD513" s="11"/>
    </row>
    <row r="514" ht="15.75" customHeight="1">
      <c r="BP514" s="34"/>
      <c r="BQ514" s="11"/>
      <c r="BR514" s="11"/>
      <c r="BS514" s="11"/>
      <c r="BT514" s="11"/>
      <c r="BU514" s="11"/>
      <c r="BV514" s="11"/>
      <c r="BW514" s="11"/>
      <c r="BX514" s="11"/>
      <c r="BY514" s="11"/>
      <c r="BZ514" s="11"/>
      <c r="CA514" s="11"/>
      <c r="CB514" s="11"/>
      <c r="CC514" s="11"/>
      <c r="CD514" s="11"/>
    </row>
    <row r="515" ht="15.75" customHeight="1">
      <c r="BP515" s="34"/>
      <c r="BQ515" s="11"/>
      <c r="BR515" s="11"/>
      <c r="BS515" s="11"/>
      <c r="BT515" s="11"/>
      <c r="BU515" s="11"/>
      <c r="BV515" s="11"/>
      <c r="BW515" s="11"/>
      <c r="BX515" s="11"/>
      <c r="BY515" s="11"/>
      <c r="BZ515" s="11"/>
      <c r="CA515" s="11"/>
      <c r="CB515" s="11"/>
      <c r="CC515" s="11"/>
      <c r="CD515" s="11"/>
    </row>
    <row r="516" ht="15.75" customHeight="1">
      <c r="BP516" s="34"/>
      <c r="BQ516" s="11"/>
      <c r="BR516" s="11"/>
      <c r="BS516" s="11"/>
      <c r="BT516" s="11"/>
      <c r="BU516" s="11"/>
      <c r="BV516" s="11"/>
      <c r="BW516" s="11"/>
      <c r="BX516" s="11"/>
      <c r="BY516" s="11"/>
      <c r="BZ516" s="11"/>
      <c r="CA516" s="11"/>
      <c r="CB516" s="11"/>
      <c r="CC516" s="11"/>
      <c r="CD516" s="11"/>
    </row>
    <row r="517" ht="15.75" customHeight="1">
      <c r="BP517" s="34"/>
      <c r="BQ517" s="11"/>
      <c r="BR517" s="11"/>
      <c r="BS517" s="11"/>
      <c r="BT517" s="11"/>
      <c r="BU517" s="11"/>
      <c r="BV517" s="11"/>
      <c r="BW517" s="11"/>
      <c r="BX517" s="11"/>
      <c r="BY517" s="11"/>
      <c r="BZ517" s="11"/>
      <c r="CA517" s="11"/>
      <c r="CB517" s="11"/>
      <c r="CC517" s="11"/>
      <c r="CD517" s="11"/>
    </row>
    <row r="518" ht="15.75" customHeight="1">
      <c r="BP518" s="34"/>
      <c r="BQ518" s="11"/>
      <c r="BR518" s="11"/>
      <c r="BS518" s="11"/>
      <c r="BT518" s="11"/>
      <c r="BU518" s="11"/>
      <c r="BV518" s="11"/>
      <c r="BW518" s="11"/>
      <c r="BX518" s="11"/>
      <c r="BY518" s="11"/>
      <c r="BZ518" s="11"/>
      <c r="CA518" s="11"/>
      <c r="CB518" s="11"/>
      <c r="CC518" s="11"/>
      <c r="CD518" s="11"/>
    </row>
    <row r="519" ht="15.75" customHeight="1">
      <c r="BP519" s="34"/>
      <c r="BQ519" s="11"/>
      <c r="BR519" s="11"/>
      <c r="BS519" s="11"/>
      <c r="BT519" s="11"/>
      <c r="BU519" s="11"/>
      <c r="BV519" s="11"/>
      <c r="BW519" s="11"/>
      <c r="BX519" s="11"/>
      <c r="BY519" s="11"/>
      <c r="BZ519" s="11"/>
      <c r="CA519" s="11"/>
      <c r="CB519" s="11"/>
      <c r="CC519" s="11"/>
      <c r="CD519" s="11"/>
    </row>
    <row r="520" ht="15.75" customHeight="1">
      <c r="BP520" s="34"/>
      <c r="BQ520" s="11"/>
      <c r="BR520" s="11"/>
      <c r="BS520" s="11"/>
      <c r="BT520" s="11"/>
      <c r="BU520" s="11"/>
      <c r="BV520" s="11"/>
      <c r="BW520" s="11"/>
      <c r="BX520" s="11"/>
      <c r="BY520" s="11"/>
      <c r="BZ520" s="11"/>
      <c r="CA520" s="11"/>
      <c r="CB520" s="11"/>
      <c r="CC520" s="11"/>
      <c r="CD520" s="11"/>
    </row>
    <row r="521" ht="15.75" customHeight="1">
      <c r="BP521" s="34"/>
      <c r="BQ521" s="11"/>
      <c r="BR521" s="11"/>
      <c r="BS521" s="11"/>
      <c r="BT521" s="11"/>
      <c r="BU521" s="11"/>
      <c r="BV521" s="11"/>
      <c r="BW521" s="11"/>
      <c r="BX521" s="11"/>
      <c r="BY521" s="11"/>
      <c r="BZ521" s="11"/>
      <c r="CA521" s="11"/>
      <c r="CB521" s="11"/>
      <c r="CC521" s="11"/>
      <c r="CD521" s="11"/>
    </row>
    <row r="522" ht="15.75" customHeight="1">
      <c r="BP522" s="34"/>
      <c r="BQ522" s="11"/>
      <c r="BR522" s="11"/>
      <c r="BS522" s="11"/>
      <c r="BT522" s="11"/>
      <c r="BU522" s="11"/>
      <c r="BV522" s="11"/>
      <c r="BW522" s="11"/>
      <c r="BX522" s="11"/>
      <c r="BY522" s="11"/>
      <c r="BZ522" s="11"/>
      <c r="CA522" s="11"/>
      <c r="CB522" s="11"/>
      <c r="CC522" s="11"/>
      <c r="CD522" s="11"/>
    </row>
    <row r="523" ht="15.75" customHeight="1">
      <c r="BP523" s="34"/>
      <c r="BQ523" s="11"/>
      <c r="BR523" s="11"/>
      <c r="BS523" s="11"/>
      <c r="BT523" s="11"/>
      <c r="BU523" s="11"/>
      <c r="BV523" s="11"/>
      <c r="BW523" s="11"/>
      <c r="BX523" s="11"/>
      <c r="BY523" s="11"/>
      <c r="BZ523" s="11"/>
      <c r="CA523" s="11"/>
      <c r="CB523" s="11"/>
      <c r="CC523" s="11"/>
      <c r="CD523" s="11"/>
    </row>
    <row r="524" ht="15.75" customHeight="1">
      <c r="BP524" s="34"/>
      <c r="BQ524" s="11"/>
      <c r="BR524" s="11"/>
      <c r="BS524" s="11"/>
      <c r="BT524" s="11"/>
      <c r="BU524" s="11"/>
      <c r="BV524" s="11"/>
      <c r="BW524" s="11"/>
      <c r="BX524" s="11"/>
      <c r="BY524" s="11"/>
      <c r="BZ524" s="11"/>
      <c r="CA524" s="11"/>
      <c r="CB524" s="11"/>
      <c r="CC524" s="11"/>
      <c r="CD524" s="11"/>
    </row>
    <row r="525" ht="15.75" customHeight="1">
      <c r="BP525" s="34"/>
      <c r="BQ525" s="11"/>
      <c r="BR525" s="11"/>
      <c r="BS525" s="11"/>
      <c r="BT525" s="11"/>
      <c r="BU525" s="11"/>
      <c r="BV525" s="11"/>
      <c r="BW525" s="11"/>
      <c r="BX525" s="11"/>
      <c r="BY525" s="11"/>
      <c r="BZ525" s="11"/>
      <c r="CA525" s="11"/>
      <c r="CB525" s="11"/>
      <c r="CC525" s="11"/>
      <c r="CD525" s="11"/>
    </row>
    <row r="526" ht="15.75" customHeight="1">
      <c r="BP526" s="34"/>
      <c r="BQ526" s="11"/>
      <c r="BR526" s="11"/>
      <c r="BS526" s="11"/>
      <c r="BT526" s="11"/>
      <c r="BU526" s="11"/>
      <c r="BV526" s="11"/>
      <c r="BW526" s="11"/>
      <c r="BX526" s="11"/>
      <c r="BY526" s="11"/>
      <c r="BZ526" s="11"/>
      <c r="CA526" s="11"/>
      <c r="CB526" s="11"/>
      <c r="CC526" s="11"/>
      <c r="CD526" s="11"/>
    </row>
    <row r="527" ht="15.75" customHeight="1">
      <c r="BP527" s="34"/>
      <c r="BQ527" s="11"/>
      <c r="BR527" s="11"/>
      <c r="BS527" s="11"/>
      <c r="BT527" s="11"/>
      <c r="BU527" s="11"/>
      <c r="BV527" s="11"/>
      <c r="BW527" s="11"/>
      <c r="BX527" s="11"/>
      <c r="BY527" s="11"/>
      <c r="BZ527" s="11"/>
      <c r="CA527" s="11"/>
      <c r="CB527" s="11"/>
      <c r="CC527" s="11"/>
      <c r="CD527" s="11"/>
    </row>
    <row r="528" ht="15.75" customHeight="1">
      <c r="BP528" s="34"/>
      <c r="BQ528" s="11"/>
      <c r="BR528" s="11"/>
      <c r="BS528" s="11"/>
      <c r="BT528" s="11"/>
      <c r="BU528" s="11"/>
      <c r="BV528" s="11"/>
      <c r="BW528" s="11"/>
      <c r="BX528" s="11"/>
      <c r="BY528" s="11"/>
      <c r="BZ528" s="11"/>
      <c r="CA528" s="11"/>
      <c r="CB528" s="11"/>
      <c r="CC528" s="11"/>
      <c r="CD528" s="11"/>
    </row>
    <row r="529" ht="15.75" customHeight="1">
      <c r="BP529" s="34"/>
      <c r="BQ529" s="11"/>
      <c r="BR529" s="11"/>
      <c r="BS529" s="11"/>
      <c r="BT529" s="11"/>
      <c r="BU529" s="11"/>
      <c r="BV529" s="11"/>
      <c r="BW529" s="11"/>
      <c r="BX529" s="11"/>
      <c r="BY529" s="11"/>
      <c r="BZ529" s="11"/>
      <c r="CA529" s="11"/>
      <c r="CB529" s="11"/>
      <c r="CC529" s="11"/>
      <c r="CD529" s="11"/>
    </row>
    <row r="530" ht="15.75" customHeight="1">
      <c r="BP530" s="34"/>
      <c r="BQ530" s="11"/>
      <c r="BR530" s="11"/>
      <c r="BS530" s="11"/>
      <c r="BT530" s="11"/>
      <c r="BU530" s="11"/>
      <c r="BV530" s="11"/>
      <c r="BW530" s="11"/>
      <c r="BX530" s="11"/>
      <c r="BY530" s="11"/>
      <c r="BZ530" s="11"/>
      <c r="CA530" s="11"/>
      <c r="CB530" s="11"/>
      <c r="CC530" s="11"/>
      <c r="CD530" s="11"/>
    </row>
    <row r="531" ht="15.75" customHeight="1">
      <c r="BP531" s="34"/>
      <c r="BQ531" s="11"/>
      <c r="BR531" s="11"/>
      <c r="BS531" s="11"/>
      <c r="BT531" s="11"/>
      <c r="BU531" s="11"/>
      <c r="BV531" s="11"/>
      <c r="BW531" s="11"/>
      <c r="BX531" s="11"/>
      <c r="BY531" s="11"/>
      <c r="BZ531" s="11"/>
      <c r="CA531" s="11"/>
      <c r="CB531" s="11"/>
      <c r="CC531" s="11"/>
      <c r="CD531" s="11"/>
    </row>
    <row r="532" ht="15.75" customHeight="1">
      <c r="BP532" s="34"/>
      <c r="BQ532" s="11"/>
      <c r="BR532" s="11"/>
      <c r="BS532" s="11"/>
      <c r="BT532" s="11"/>
      <c r="BU532" s="11"/>
      <c r="BV532" s="11"/>
      <c r="BW532" s="11"/>
      <c r="BX532" s="11"/>
      <c r="BY532" s="11"/>
      <c r="BZ532" s="11"/>
      <c r="CA532" s="11"/>
      <c r="CB532" s="11"/>
      <c r="CC532" s="11"/>
      <c r="CD532" s="11"/>
    </row>
    <row r="533" ht="15.75" customHeight="1">
      <c r="BP533" s="34"/>
      <c r="BQ533" s="11"/>
      <c r="BR533" s="11"/>
      <c r="BS533" s="11"/>
      <c r="BT533" s="11"/>
      <c r="BU533" s="11"/>
      <c r="BV533" s="11"/>
      <c r="BW533" s="11"/>
      <c r="BX533" s="11"/>
      <c r="BY533" s="11"/>
      <c r="BZ533" s="11"/>
      <c r="CA533" s="11"/>
      <c r="CB533" s="11"/>
      <c r="CC533" s="11"/>
      <c r="CD533" s="11"/>
    </row>
    <row r="534" ht="15.75" customHeight="1">
      <c r="BP534" s="34"/>
      <c r="BQ534" s="11"/>
      <c r="BR534" s="11"/>
      <c r="BS534" s="11"/>
      <c r="BT534" s="11"/>
      <c r="BU534" s="11"/>
      <c r="BV534" s="11"/>
      <c r="BW534" s="11"/>
      <c r="BX534" s="11"/>
      <c r="BY534" s="11"/>
      <c r="BZ534" s="11"/>
      <c r="CA534" s="11"/>
      <c r="CB534" s="11"/>
      <c r="CC534" s="11"/>
      <c r="CD534" s="11"/>
    </row>
    <row r="535" ht="15.75" customHeight="1">
      <c r="BP535" s="34"/>
      <c r="BQ535" s="11"/>
      <c r="BR535" s="11"/>
      <c r="BS535" s="11"/>
      <c r="BT535" s="11"/>
      <c r="BU535" s="11"/>
      <c r="BV535" s="11"/>
      <c r="BW535" s="11"/>
      <c r="BX535" s="11"/>
      <c r="BY535" s="11"/>
      <c r="BZ535" s="11"/>
      <c r="CA535" s="11"/>
      <c r="CB535" s="11"/>
      <c r="CC535" s="11"/>
      <c r="CD535" s="11"/>
    </row>
    <row r="536" ht="15.75" customHeight="1">
      <c r="BP536" s="34"/>
      <c r="BQ536" s="11"/>
      <c r="BR536" s="11"/>
      <c r="BS536" s="11"/>
      <c r="BT536" s="11"/>
      <c r="BU536" s="11"/>
      <c r="BV536" s="11"/>
      <c r="BW536" s="11"/>
      <c r="BX536" s="11"/>
      <c r="BY536" s="11"/>
      <c r="BZ536" s="11"/>
      <c r="CA536" s="11"/>
      <c r="CB536" s="11"/>
      <c r="CC536" s="11"/>
      <c r="CD536" s="11"/>
    </row>
    <row r="537" ht="15.75" customHeight="1">
      <c r="BP537" s="34"/>
      <c r="BQ537" s="11"/>
      <c r="BR537" s="11"/>
      <c r="BS537" s="11"/>
      <c r="BT537" s="11"/>
      <c r="BU537" s="11"/>
      <c r="BV537" s="11"/>
      <c r="BW537" s="11"/>
      <c r="BX537" s="11"/>
      <c r="BY537" s="11"/>
      <c r="BZ537" s="11"/>
      <c r="CA537" s="11"/>
      <c r="CB537" s="11"/>
      <c r="CC537" s="11"/>
      <c r="CD537" s="11"/>
    </row>
    <row r="538" ht="15.75" customHeight="1">
      <c r="BP538" s="34"/>
      <c r="BQ538" s="11"/>
      <c r="BR538" s="11"/>
      <c r="BS538" s="11"/>
      <c r="BT538" s="11"/>
      <c r="BU538" s="11"/>
      <c r="BV538" s="11"/>
      <c r="BW538" s="11"/>
      <c r="BX538" s="11"/>
      <c r="BY538" s="11"/>
      <c r="BZ538" s="11"/>
      <c r="CA538" s="11"/>
      <c r="CB538" s="11"/>
      <c r="CC538" s="11"/>
      <c r="CD538" s="11"/>
    </row>
    <row r="539" ht="15.75" customHeight="1">
      <c r="BP539" s="34"/>
      <c r="BQ539" s="11"/>
      <c r="BR539" s="11"/>
      <c r="BS539" s="11"/>
      <c r="BT539" s="11"/>
      <c r="BU539" s="11"/>
      <c r="BV539" s="11"/>
      <c r="BW539" s="11"/>
      <c r="BX539" s="11"/>
      <c r="BY539" s="11"/>
      <c r="BZ539" s="11"/>
      <c r="CA539" s="11"/>
      <c r="CB539" s="11"/>
      <c r="CC539" s="11"/>
      <c r="CD539" s="11"/>
    </row>
    <row r="540" ht="15.75" customHeight="1">
      <c r="BP540" s="34"/>
      <c r="BQ540" s="11"/>
      <c r="BR540" s="11"/>
      <c r="BS540" s="11"/>
      <c r="BT540" s="11"/>
      <c r="BU540" s="11"/>
      <c r="BV540" s="11"/>
      <c r="BW540" s="11"/>
      <c r="BX540" s="11"/>
      <c r="BY540" s="11"/>
      <c r="BZ540" s="11"/>
      <c r="CA540" s="11"/>
      <c r="CB540" s="11"/>
      <c r="CC540" s="11"/>
      <c r="CD540" s="11"/>
    </row>
    <row r="541" ht="15.75" customHeight="1">
      <c r="BP541" s="34"/>
      <c r="BQ541" s="11"/>
      <c r="BR541" s="11"/>
      <c r="BS541" s="11"/>
      <c r="BT541" s="11"/>
      <c r="BU541" s="11"/>
      <c r="BV541" s="11"/>
      <c r="BW541" s="11"/>
      <c r="BX541" s="11"/>
      <c r="BY541" s="11"/>
      <c r="BZ541" s="11"/>
      <c r="CA541" s="11"/>
      <c r="CB541" s="11"/>
      <c r="CC541" s="11"/>
      <c r="CD541" s="11"/>
    </row>
    <row r="542" ht="15.75" customHeight="1">
      <c r="BP542" s="34"/>
      <c r="BQ542" s="11"/>
      <c r="BR542" s="11"/>
      <c r="BS542" s="11"/>
      <c r="BT542" s="11"/>
      <c r="BU542" s="11"/>
      <c r="BV542" s="11"/>
      <c r="BW542" s="11"/>
      <c r="BX542" s="11"/>
      <c r="BY542" s="11"/>
      <c r="BZ542" s="11"/>
      <c r="CA542" s="11"/>
      <c r="CB542" s="11"/>
      <c r="CC542" s="11"/>
      <c r="CD542" s="11"/>
    </row>
    <row r="543" ht="15.75" customHeight="1">
      <c r="BP543" s="34"/>
      <c r="BQ543" s="11"/>
      <c r="BR543" s="11"/>
      <c r="BS543" s="11"/>
      <c r="BT543" s="11"/>
      <c r="BU543" s="11"/>
      <c r="BV543" s="11"/>
      <c r="BW543" s="11"/>
      <c r="BX543" s="11"/>
      <c r="BY543" s="11"/>
      <c r="BZ543" s="11"/>
      <c r="CA543" s="11"/>
      <c r="CB543" s="11"/>
      <c r="CC543" s="11"/>
      <c r="CD543" s="11"/>
    </row>
    <row r="544" ht="15.75" customHeight="1">
      <c r="BP544" s="34"/>
      <c r="BQ544" s="11"/>
      <c r="BR544" s="11"/>
      <c r="BS544" s="11"/>
      <c r="BT544" s="11"/>
      <c r="BU544" s="11"/>
      <c r="BV544" s="11"/>
      <c r="BW544" s="11"/>
      <c r="BX544" s="11"/>
      <c r="BY544" s="11"/>
      <c r="BZ544" s="11"/>
      <c r="CA544" s="11"/>
      <c r="CB544" s="11"/>
      <c r="CC544" s="11"/>
      <c r="CD544" s="11"/>
    </row>
    <row r="545" ht="15.75" customHeight="1">
      <c r="BP545" s="34"/>
      <c r="BQ545" s="11"/>
      <c r="BR545" s="11"/>
      <c r="BS545" s="11"/>
      <c r="BT545" s="11"/>
      <c r="BU545" s="11"/>
      <c r="BV545" s="11"/>
      <c r="BW545" s="11"/>
      <c r="BX545" s="11"/>
      <c r="BY545" s="11"/>
      <c r="BZ545" s="11"/>
      <c r="CA545" s="11"/>
      <c r="CB545" s="11"/>
      <c r="CC545" s="11"/>
      <c r="CD545" s="11"/>
    </row>
    <row r="546" ht="15.75" customHeight="1">
      <c r="BP546" s="34"/>
      <c r="BQ546" s="11"/>
      <c r="BR546" s="11"/>
      <c r="BS546" s="11"/>
      <c r="BT546" s="11"/>
      <c r="BU546" s="11"/>
      <c r="BV546" s="11"/>
      <c r="BW546" s="11"/>
      <c r="BX546" s="11"/>
      <c r="BY546" s="11"/>
      <c r="BZ546" s="11"/>
      <c r="CA546" s="11"/>
      <c r="CB546" s="11"/>
      <c r="CC546" s="11"/>
      <c r="CD546" s="11"/>
    </row>
    <row r="547" ht="15.75" customHeight="1">
      <c r="BP547" s="34"/>
      <c r="BQ547" s="11"/>
      <c r="BR547" s="11"/>
      <c r="BS547" s="11"/>
      <c r="BT547" s="11"/>
      <c r="BU547" s="11"/>
      <c r="BV547" s="11"/>
      <c r="BW547" s="11"/>
      <c r="BX547" s="11"/>
      <c r="BY547" s="11"/>
      <c r="BZ547" s="11"/>
      <c r="CA547" s="11"/>
      <c r="CB547" s="11"/>
      <c r="CC547" s="11"/>
      <c r="CD547" s="11"/>
    </row>
    <row r="548" ht="15.75" customHeight="1">
      <c r="BP548" s="34"/>
      <c r="BQ548" s="11"/>
      <c r="BR548" s="11"/>
      <c r="BS548" s="11"/>
      <c r="BT548" s="11"/>
      <c r="BU548" s="11"/>
      <c r="BV548" s="11"/>
      <c r="BW548" s="11"/>
      <c r="BX548" s="11"/>
      <c r="BY548" s="11"/>
      <c r="BZ548" s="11"/>
      <c r="CA548" s="11"/>
      <c r="CB548" s="11"/>
      <c r="CC548" s="11"/>
      <c r="CD548" s="11"/>
    </row>
    <row r="549" ht="15.75" customHeight="1">
      <c r="BP549" s="34"/>
      <c r="BQ549" s="11"/>
      <c r="BR549" s="11"/>
      <c r="BS549" s="11"/>
      <c r="BT549" s="11"/>
      <c r="BU549" s="11"/>
      <c r="BV549" s="11"/>
      <c r="BW549" s="11"/>
      <c r="BX549" s="11"/>
      <c r="BY549" s="11"/>
      <c r="BZ549" s="11"/>
      <c r="CA549" s="11"/>
      <c r="CB549" s="11"/>
      <c r="CC549" s="11"/>
      <c r="CD549" s="11"/>
    </row>
    <row r="550" ht="15.75" customHeight="1">
      <c r="BP550" s="34"/>
      <c r="BQ550" s="11"/>
      <c r="BR550" s="11"/>
      <c r="BS550" s="11"/>
      <c r="BT550" s="11"/>
      <c r="BU550" s="11"/>
      <c r="BV550" s="11"/>
      <c r="BW550" s="11"/>
      <c r="BX550" s="11"/>
      <c r="BY550" s="11"/>
      <c r="BZ550" s="11"/>
      <c r="CA550" s="11"/>
      <c r="CB550" s="11"/>
      <c r="CC550" s="11"/>
      <c r="CD550" s="11"/>
    </row>
    <row r="551" ht="15.75" customHeight="1">
      <c r="BP551" s="34"/>
      <c r="BQ551" s="11"/>
      <c r="BR551" s="11"/>
      <c r="BS551" s="11"/>
      <c r="BT551" s="11"/>
      <c r="BU551" s="11"/>
      <c r="BV551" s="11"/>
      <c r="BW551" s="11"/>
      <c r="BX551" s="11"/>
      <c r="BY551" s="11"/>
      <c r="BZ551" s="11"/>
      <c r="CA551" s="11"/>
      <c r="CB551" s="11"/>
      <c r="CC551" s="11"/>
      <c r="CD551" s="11"/>
    </row>
    <row r="552" ht="15.75" customHeight="1">
      <c r="BP552" s="34"/>
      <c r="BQ552" s="11"/>
      <c r="BR552" s="11"/>
      <c r="BS552" s="11"/>
      <c r="BT552" s="11"/>
      <c r="BU552" s="11"/>
      <c r="BV552" s="11"/>
      <c r="BW552" s="11"/>
      <c r="BX552" s="11"/>
      <c r="BY552" s="11"/>
      <c r="BZ552" s="11"/>
      <c r="CA552" s="11"/>
      <c r="CB552" s="11"/>
      <c r="CC552" s="11"/>
      <c r="CD552" s="11"/>
    </row>
    <row r="553" ht="15.75" customHeight="1">
      <c r="BP553" s="34"/>
      <c r="BQ553" s="11"/>
      <c r="BR553" s="11"/>
      <c r="BS553" s="11"/>
      <c r="BT553" s="11"/>
      <c r="BU553" s="11"/>
      <c r="BV553" s="11"/>
      <c r="BW553" s="11"/>
      <c r="BX553" s="11"/>
      <c r="BY553" s="11"/>
      <c r="BZ553" s="11"/>
      <c r="CA553" s="11"/>
      <c r="CB553" s="11"/>
      <c r="CC553" s="11"/>
      <c r="CD553" s="11"/>
    </row>
    <row r="554" ht="15.75" customHeight="1">
      <c r="BP554" s="34"/>
      <c r="BQ554" s="11"/>
      <c r="BR554" s="11"/>
      <c r="BS554" s="11"/>
      <c r="BT554" s="11"/>
      <c r="BU554" s="11"/>
      <c r="BV554" s="11"/>
      <c r="BW554" s="11"/>
      <c r="BX554" s="11"/>
      <c r="BY554" s="11"/>
      <c r="BZ554" s="11"/>
      <c r="CA554" s="11"/>
      <c r="CB554" s="11"/>
      <c r="CC554" s="11"/>
      <c r="CD554" s="11"/>
    </row>
    <row r="555" ht="15.75" customHeight="1">
      <c r="BP555" s="34"/>
      <c r="BQ555" s="11"/>
      <c r="BR555" s="11"/>
      <c r="BS555" s="11"/>
      <c r="BT555" s="11"/>
      <c r="BU555" s="11"/>
      <c r="BV555" s="11"/>
      <c r="BW555" s="11"/>
      <c r="BX555" s="11"/>
      <c r="BY555" s="11"/>
      <c r="BZ555" s="11"/>
      <c r="CA555" s="11"/>
      <c r="CB555" s="11"/>
      <c r="CC555" s="11"/>
      <c r="CD555" s="11"/>
    </row>
    <row r="556" ht="15.75" customHeight="1">
      <c r="BP556" s="34"/>
      <c r="BQ556" s="11"/>
      <c r="BR556" s="11"/>
      <c r="BS556" s="11"/>
      <c r="BT556" s="11"/>
      <c r="BU556" s="11"/>
      <c r="BV556" s="11"/>
      <c r="BW556" s="11"/>
      <c r="BX556" s="11"/>
      <c r="BY556" s="11"/>
      <c r="BZ556" s="11"/>
      <c r="CA556" s="11"/>
      <c r="CB556" s="11"/>
      <c r="CC556" s="11"/>
      <c r="CD556" s="11"/>
    </row>
    <row r="557" ht="15.75" customHeight="1">
      <c r="BP557" s="34"/>
      <c r="BQ557" s="11"/>
      <c r="BR557" s="11"/>
      <c r="BS557" s="11"/>
      <c r="BT557" s="11"/>
      <c r="BU557" s="11"/>
      <c r="BV557" s="11"/>
      <c r="BW557" s="11"/>
      <c r="BX557" s="11"/>
      <c r="BY557" s="11"/>
      <c r="BZ557" s="11"/>
      <c r="CA557" s="11"/>
      <c r="CB557" s="11"/>
      <c r="CC557" s="11"/>
      <c r="CD557" s="11"/>
    </row>
    <row r="558" ht="15.75" customHeight="1">
      <c r="BP558" s="34"/>
      <c r="BQ558" s="11"/>
      <c r="BR558" s="11"/>
      <c r="BS558" s="11"/>
      <c r="BT558" s="11"/>
      <c r="BU558" s="11"/>
      <c r="BV558" s="11"/>
      <c r="BW558" s="11"/>
      <c r="BX558" s="11"/>
      <c r="BY558" s="11"/>
      <c r="BZ558" s="11"/>
      <c r="CA558" s="11"/>
      <c r="CB558" s="11"/>
      <c r="CC558" s="11"/>
      <c r="CD558" s="11"/>
    </row>
    <row r="559" ht="15.75" customHeight="1">
      <c r="BP559" s="34"/>
      <c r="BQ559" s="11"/>
      <c r="BR559" s="11"/>
      <c r="BS559" s="11"/>
      <c r="BT559" s="11"/>
      <c r="BU559" s="11"/>
      <c r="BV559" s="11"/>
      <c r="BW559" s="11"/>
      <c r="BX559" s="11"/>
      <c r="BY559" s="11"/>
      <c r="BZ559" s="11"/>
      <c r="CA559" s="11"/>
      <c r="CB559" s="11"/>
      <c r="CC559" s="11"/>
      <c r="CD559" s="11"/>
    </row>
    <row r="560" ht="15.75" customHeight="1">
      <c r="BP560" s="34"/>
      <c r="BQ560" s="11"/>
      <c r="BR560" s="11"/>
      <c r="BS560" s="11"/>
      <c r="BT560" s="11"/>
      <c r="BU560" s="11"/>
      <c r="BV560" s="11"/>
      <c r="BW560" s="11"/>
      <c r="BX560" s="11"/>
      <c r="BY560" s="11"/>
      <c r="BZ560" s="11"/>
      <c r="CA560" s="11"/>
      <c r="CB560" s="11"/>
      <c r="CC560" s="11"/>
      <c r="CD560" s="11"/>
    </row>
    <row r="561" ht="15.75" customHeight="1">
      <c r="BP561" s="34"/>
      <c r="BQ561" s="11"/>
      <c r="BR561" s="11"/>
      <c r="BS561" s="11"/>
      <c r="BT561" s="11"/>
      <c r="BU561" s="11"/>
      <c r="BV561" s="11"/>
      <c r="BW561" s="11"/>
      <c r="BX561" s="11"/>
      <c r="BY561" s="11"/>
      <c r="BZ561" s="11"/>
      <c r="CA561" s="11"/>
      <c r="CB561" s="11"/>
      <c r="CC561" s="11"/>
      <c r="CD561" s="11"/>
    </row>
    <row r="562" ht="15.75" customHeight="1">
      <c r="BP562" s="34"/>
      <c r="BQ562" s="11"/>
      <c r="BR562" s="11"/>
      <c r="BS562" s="11"/>
      <c r="BT562" s="11"/>
      <c r="BU562" s="11"/>
      <c r="BV562" s="11"/>
      <c r="BW562" s="11"/>
      <c r="BX562" s="11"/>
      <c r="BY562" s="11"/>
      <c r="BZ562" s="11"/>
      <c r="CA562" s="11"/>
      <c r="CB562" s="11"/>
      <c r="CC562" s="11"/>
      <c r="CD562" s="11"/>
    </row>
    <row r="563" ht="15.75" customHeight="1">
      <c r="BP563" s="34"/>
      <c r="BQ563" s="11"/>
      <c r="BR563" s="11"/>
      <c r="BS563" s="11"/>
      <c r="BT563" s="11"/>
      <c r="BU563" s="11"/>
      <c r="BV563" s="11"/>
      <c r="BW563" s="11"/>
      <c r="BX563" s="11"/>
      <c r="BY563" s="11"/>
      <c r="BZ563" s="11"/>
      <c r="CA563" s="11"/>
      <c r="CB563" s="11"/>
      <c r="CC563" s="11"/>
      <c r="CD563" s="11"/>
    </row>
    <row r="564" ht="15.75" customHeight="1">
      <c r="BP564" s="34"/>
      <c r="BQ564" s="11"/>
      <c r="BR564" s="11"/>
      <c r="BS564" s="11"/>
      <c r="BT564" s="11"/>
      <c r="BU564" s="11"/>
      <c r="BV564" s="11"/>
      <c r="BW564" s="11"/>
      <c r="BX564" s="11"/>
      <c r="BY564" s="11"/>
      <c r="BZ564" s="11"/>
      <c r="CA564" s="11"/>
      <c r="CB564" s="11"/>
      <c r="CC564" s="11"/>
      <c r="CD564" s="11"/>
    </row>
    <row r="565" ht="15.75" customHeight="1">
      <c r="BP565" s="34"/>
      <c r="BQ565" s="11"/>
      <c r="BR565" s="11"/>
      <c r="BS565" s="11"/>
      <c r="BT565" s="11"/>
      <c r="BU565" s="11"/>
      <c r="BV565" s="11"/>
      <c r="BW565" s="11"/>
      <c r="BX565" s="11"/>
      <c r="BY565" s="11"/>
      <c r="BZ565" s="11"/>
      <c r="CA565" s="11"/>
      <c r="CB565" s="11"/>
      <c r="CC565" s="11"/>
      <c r="CD565" s="11"/>
    </row>
    <row r="566" ht="15.75" customHeight="1">
      <c r="BP566" s="34"/>
      <c r="BQ566" s="11"/>
      <c r="BR566" s="11"/>
      <c r="BS566" s="11"/>
      <c r="BT566" s="11"/>
      <c r="BU566" s="11"/>
      <c r="BV566" s="11"/>
      <c r="BW566" s="11"/>
      <c r="BX566" s="11"/>
      <c r="BY566" s="11"/>
      <c r="BZ566" s="11"/>
      <c r="CA566" s="11"/>
      <c r="CB566" s="11"/>
      <c r="CC566" s="11"/>
      <c r="CD566" s="11"/>
    </row>
    <row r="567" ht="15.75" customHeight="1">
      <c r="BP567" s="34"/>
      <c r="BQ567" s="11"/>
      <c r="BR567" s="11"/>
      <c r="BS567" s="11"/>
      <c r="BT567" s="11"/>
      <c r="BU567" s="11"/>
      <c r="BV567" s="11"/>
      <c r="BW567" s="11"/>
      <c r="BX567" s="11"/>
      <c r="BY567" s="11"/>
      <c r="BZ567" s="11"/>
      <c r="CA567" s="11"/>
      <c r="CB567" s="11"/>
      <c r="CC567" s="11"/>
      <c r="CD567" s="11"/>
    </row>
    <row r="568" ht="15.75" customHeight="1">
      <c r="BP568" s="34"/>
      <c r="BQ568" s="11"/>
      <c r="BR568" s="11"/>
      <c r="BS568" s="11"/>
      <c r="BT568" s="11"/>
      <c r="BU568" s="11"/>
      <c r="BV568" s="11"/>
      <c r="BW568" s="11"/>
      <c r="BX568" s="11"/>
      <c r="BY568" s="11"/>
      <c r="BZ568" s="11"/>
      <c r="CA568" s="11"/>
      <c r="CB568" s="11"/>
      <c r="CC568" s="11"/>
      <c r="CD568" s="11"/>
    </row>
    <row r="569" ht="15.75" customHeight="1">
      <c r="BP569" s="34"/>
      <c r="BQ569" s="11"/>
      <c r="BR569" s="11"/>
      <c r="BS569" s="11"/>
      <c r="BT569" s="11"/>
      <c r="BU569" s="11"/>
      <c r="BV569" s="11"/>
      <c r="BW569" s="11"/>
      <c r="BX569" s="11"/>
      <c r="BY569" s="11"/>
      <c r="BZ569" s="11"/>
      <c r="CA569" s="11"/>
      <c r="CB569" s="11"/>
      <c r="CC569" s="11"/>
      <c r="CD569" s="11"/>
    </row>
    <row r="570" ht="15.75" customHeight="1">
      <c r="BP570" s="34"/>
      <c r="BQ570" s="11"/>
      <c r="BR570" s="11"/>
      <c r="BS570" s="11"/>
      <c r="BT570" s="11"/>
      <c r="BU570" s="11"/>
      <c r="BV570" s="11"/>
      <c r="BW570" s="11"/>
      <c r="BX570" s="11"/>
      <c r="BY570" s="11"/>
      <c r="BZ570" s="11"/>
      <c r="CA570" s="11"/>
      <c r="CB570" s="11"/>
      <c r="CC570" s="11"/>
      <c r="CD570" s="11"/>
    </row>
    <row r="571" ht="15.75" customHeight="1">
      <c r="BP571" s="34"/>
      <c r="BQ571" s="11"/>
      <c r="BR571" s="11"/>
      <c r="BS571" s="11"/>
      <c r="BT571" s="11"/>
      <c r="BU571" s="11"/>
      <c r="BV571" s="11"/>
      <c r="BW571" s="11"/>
      <c r="BX571" s="11"/>
      <c r="BY571" s="11"/>
      <c r="BZ571" s="11"/>
      <c r="CA571" s="11"/>
      <c r="CB571" s="11"/>
      <c r="CC571" s="11"/>
      <c r="CD571" s="11"/>
    </row>
    <row r="572" ht="15.75" customHeight="1">
      <c r="BP572" s="34"/>
      <c r="BQ572" s="11"/>
      <c r="BR572" s="11"/>
      <c r="BS572" s="11"/>
      <c r="BT572" s="11"/>
      <c r="BU572" s="11"/>
      <c r="BV572" s="11"/>
      <c r="BW572" s="11"/>
      <c r="BX572" s="11"/>
      <c r="BY572" s="11"/>
      <c r="BZ572" s="11"/>
      <c r="CA572" s="11"/>
      <c r="CB572" s="11"/>
      <c r="CC572" s="11"/>
      <c r="CD572" s="11"/>
    </row>
    <row r="573" ht="15.75" customHeight="1">
      <c r="BP573" s="34"/>
      <c r="BQ573" s="11"/>
      <c r="BR573" s="11"/>
      <c r="BS573" s="11"/>
      <c r="BT573" s="11"/>
      <c r="BU573" s="11"/>
      <c r="BV573" s="11"/>
      <c r="BW573" s="11"/>
      <c r="BX573" s="11"/>
      <c r="BY573" s="11"/>
      <c r="BZ573" s="11"/>
      <c r="CA573" s="11"/>
      <c r="CB573" s="11"/>
      <c r="CC573" s="11"/>
      <c r="CD573" s="11"/>
    </row>
    <row r="574" ht="15.75" customHeight="1">
      <c r="BP574" s="34"/>
      <c r="BQ574" s="11"/>
      <c r="BR574" s="11"/>
      <c r="BS574" s="11"/>
      <c r="BT574" s="11"/>
      <c r="BU574" s="11"/>
      <c r="BV574" s="11"/>
      <c r="BW574" s="11"/>
      <c r="BX574" s="11"/>
      <c r="BY574" s="11"/>
      <c r="BZ574" s="11"/>
      <c r="CA574" s="11"/>
      <c r="CB574" s="11"/>
      <c r="CC574" s="11"/>
      <c r="CD574" s="11"/>
    </row>
    <row r="575" ht="15.75" customHeight="1">
      <c r="BP575" s="34"/>
      <c r="BQ575" s="11"/>
      <c r="BR575" s="11"/>
      <c r="BS575" s="11"/>
      <c r="BT575" s="11"/>
      <c r="BU575" s="11"/>
      <c r="BV575" s="11"/>
      <c r="BW575" s="11"/>
      <c r="BX575" s="11"/>
      <c r="BY575" s="11"/>
      <c r="BZ575" s="11"/>
      <c r="CA575" s="11"/>
      <c r="CB575" s="11"/>
      <c r="CC575" s="11"/>
      <c r="CD575" s="11"/>
    </row>
    <row r="576" ht="15.75" customHeight="1">
      <c r="BP576" s="34"/>
      <c r="BQ576" s="11"/>
      <c r="BR576" s="11"/>
      <c r="BS576" s="11"/>
      <c r="BT576" s="11"/>
      <c r="BU576" s="11"/>
      <c r="BV576" s="11"/>
      <c r="BW576" s="11"/>
      <c r="BX576" s="11"/>
      <c r="BY576" s="11"/>
      <c r="BZ576" s="11"/>
      <c r="CA576" s="11"/>
      <c r="CB576" s="11"/>
      <c r="CC576" s="11"/>
      <c r="CD576" s="11"/>
    </row>
    <row r="577" ht="15.75" customHeight="1">
      <c r="BP577" s="34"/>
      <c r="BQ577" s="11"/>
      <c r="BR577" s="11"/>
      <c r="BS577" s="11"/>
      <c r="BT577" s="11"/>
      <c r="BU577" s="11"/>
      <c r="BV577" s="11"/>
      <c r="BW577" s="11"/>
      <c r="BX577" s="11"/>
      <c r="BY577" s="11"/>
      <c r="BZ577" s="11"/>
      <c r="CA577" s="11"/>
      <c r="CB577" s="11"/>
      <c r="CC577" s="11"/>
      <c r="CD577" s="11"/>
    </row>
    <row r="578" ht="15.75" customHeight="1">
      <c r="BP578" s="34"/>
      <c r="BQ578" s="11"/>
      <c r="BR578" s="11"/>
      <c r="BS578" s="11"/>
      <c r="BT578" s="11"/>
      <c r="BU578" s="11"/>
      <c r="BV578" s="11"/>
      <c r="BW578" s="11"/>
      <c r="BX578" s="11"/>
      <c r="BY578" s="11"/>
      <c r="BZ578" s="11"/>
      <c r="CA578" s="11"/>
      <c r="CB578" s="11"/>
      <c r="CC578" s="11"/>
      <c r="CD578" s="11"/>
    </row>
    <row r="579" ht="15.75" customHeight="1">
      <c r="BP579" s="34"/>
      <c r="BQ579" s="11"/>
      <c r="BR579" s="11"/>
      <c r="BS579" s="11"/>
      <c r="BT579" s="11"/>
      <c r="BU579" s="11"/>
      <c r="BV579" s="11"/>
      <c r="BW579" s="11"/>
      <c r="BX579" s="11"/>
      <c r="BY579" s="11"/>
      <c r="BZ579" s="11"/>
      <c r="CA579" s="11"/>
      <c r="CB579" s="11"/>
      <c r="CC579" s="11"/>
      <c r="CD579" s="11"/>
    </row>
    <row r="580" ht="15.75" customHeight="1">
      <c r="BP580" s="34"/>
      <c r="BQ580" s="11"/>
      <c r="BR580" s="11"/>
      <c r="BS580" s="11"/>
      <c r="BT580" s="11"/>
      <c r="BU580" s="11"/>
      <c r="BV580" s="11"/>
      <c r="BW580" s="11"/>
      <c r="BX580" s="11"/>
      <c r="BY580" s="11"/>
      <c r="BZ580" s="11"/>
      <c r="CA580" s="11"/>
      <c r="CB580" s="11"/>
      <c r="CC580" s="11"/>
      <c r="CD580" s="11"/>
    </row>
    <row r="581" ht="15.75" customHeight="1">
      <c r="BP581" s="34"/>
      <c r="BQ581" s="11"/>
      <c r="BR581" s="11"/>
      <c r="BS581" s="11"/>
      <c r="BT581" s="11"/>
      <c r="BU581" s="11"/>
      <c r="BV581" s="11"/>
      <c r="BW581" s="11"/>
      <c r="BX581" s="11"/>
      <c r="BY581" s="11"/>
      <c r="BZ581" s="11"/>
      <c r="CA581" s="11"/>
      <c r="CB581" s="11"/>
      <c r="CC581" s="11"/>
      <c r="CD581" s="11"/>
    </row>
    <row r="582" ht="15.75" customHeight="1">
      <c r="BP582" s="34"/>
      <c r="BQ582" s="11"/>
      <c r="BR582" s="11"/>
      <c r="BS582" s="11"/>
      <c r="BT582" s="11"/>
      <c r="BU582" s="11"/>
      <c r="BV582" s="11"/>
      <c r="BW582" s="11"/>
      <c r="BX582" s="11"/>
      <c r="BY582" s="11"/>
      <c r="BZ582" s="11"/>
      <c r="CA582" s="11"/>
      <c r="CB582" s="11"/>
      <c r="CC582" s="11"/>
      <c r="CD582" s="11"/>
    </row>
    <row r="583" ht="15.75" customHeight="1">
      <c r="BP583" s="34"/>
      <c r="BQ583" s="11"/>
      <c r="BR583" s="11"/>
      <c r="BS583" s="11"/>
      <c r="BT583" s="11"/>
      <c r="BU583" s="11"/>
      <c r="BV583" s="11"/>
      <c r="BW583" s="11"/>
      <c r="BX583" s="11"/>
      <c r="BY583" s="11"/>
      <c r="BZ583" s="11"/>
      <c r="CA583" s="11"/>
      <c r="CB583" s="11"/>
      <c r="CC583" s="11"/>
      <c r="CD583" s="11"/>
    </row>
    <row r="584" ht="15.75" customHeight="1">
      <c r="BP584" s="34"/>
      <c r="BQ584" s="11"/>
      <c r="BR584" s="11"/>
      <c r="BS584" s="11"/>
      <c r="BT584" s="11"/>
      <c r="BU584" s="11"/>
      <c r="BV584" s="11"/>
      <c r="BW584" s="11"/>
      <c r="BX584" s="11"/>
      <c r="BY584" s="11"/>
      <c r="BZ584" s="11"/>
      <c r="CA584" s="11"/>
      <c r="CB584" s="11"/>
      <c r="CC584" s="11"/>
      <c r="CD584" s="11"/>
    </row>
    <row r="585" ht="15.75" customHeight="1">
      <c r="BP585" s="34"/>
      <c r="BQ585" s="11"/>
      <c r="BR585" s="11"/>
      <c r="BS585" s="11"/>
      <c r="BT585" s="11"/>
      <c r="BU585" s="11"/>
      <c r="BV585" s="11"/>
      <c r="BW585" s="11"/>
      <c r="BX585" s="11"/>
      <c r="BY585" s="11"/>
      <c r="BZ585" s="11"/>
      <c r="CA585" s="11"/>
      <c r="CB585" s="11"/>
      <c r="CC585" s="11"/>
      <c r="CD585" s="11"/>
    </row>
    <row r="586" ht="15.75" customHeight="1">
      <c r="BP586" s="34"/>
      <c r="BQ586" s="11"/>
      <c r="BR586" s="11"/>
      <c r="BS586" s="11"/>
      <c r="BT586" s="11"/>
      <c r="BU586" s="11"/>
      <c r="BV586" s="11"/>
      <c r="BW586" s="11"/>
      <c r="BX586" s="11"/>
      <c r="BY586" s="11"/>
      <c r="BZ586" s="11"/>
      <c r="CA586" s="11"/>
      <c r="CB586" s="11"/>
      <c r="CC586" s="11"/>
      <c r="CD586" s="11"/>
    </row>
    <row r="587" ht="15.75" customHeight="1">
      <c r="BP587" s="34"/>
      <c r="BQ587" s="11"/>
      <c r="BR587" s="11"/>
      <c r="BS587" s="11"/>
      <c r="BT587" s="11"/>
      <c r="BU587" s="11"/>
      <c r="BV587" s="11"/>
      <c r="BW587" s="11"/>
      <c r="BX587" s="11"/>
      <c r="BY587" s="11"/>
      <c r="BZ587" s="11"/>
      <c r="CA587" s="11"/>
      <c r="CB587" s="11"/>
      <c r="CC587" s="11"/>
      <c r="CD587" s="11"/>
    </row>
    <row r="588" ht="15.75" customHeight="1">
      <c r="BP588" s="34"/>
      <c r="BQ588" s="11"/>
      <c r="BR588" s="11"/>
      <c r="BS588" s="11"/>
      <c r="BT588" s="11"/>
      <c r="BU588" s="11"/>
      <c r="BV588" s="11"/>
      <c r="BW588" s="11"/>
      <c r="BX588" s="11"/>
      <c r="BY588" s="11"/>
      <c r="BZ588" s="11"/>
      <c r="CA588" s="11"/>
      <c r="CB588" s="11"/>
      <c r="CC588" s="11"/>
      <c r="CD588" s="11"/>
    </row>
    <row r="589" ht="15.75" customHeight="1">
      <c r="BP589" s="34"/>
      <c r="BQ589" s="11"/>
      <c r="BR589" s="11"/>
      <c r="BS589" s="11"/>
      <c r="BT589" s="11"/>
      <c r="BU589" s="11"/>
      <c r="BV589" s="11"/>
      <c r="BW589" s="11"/>
      <c r="BX589" s="11"/>
      <c r="BY589" s="11"/>
      <c r="BZ589" s="11"/>
      <c r="CA589" s="11"/>
      <c r="CB589" s="11"/>
      <c r="CC589" s="11"/>
      <c r="CD589" s="11"/>
    </row>
    <row r="590" ht="15.75" customHeight="1">
      <c r="BP590" s="34"/>
      <c r="BQ590" s="11"/>
      <c r="BR590" s="11"/>
      <c r="BS590" s="11"/>
      <c r="BT590" s="11"/>
      <c r="BU590" s="11"/>
      <c r="BV590" s="11"/>
      <c r="BW590" s="11"/>
      <c r="BX590" s="11"/>
      <c r="BY590" s="11"/>
      <c r="BZ590" s="11"/>
      <c r="CA590" s="11"/>
      <c r="CB590" s="11"/>
      <c r="CC590" s="11"/>
      <c r="CD590" s="11"/>
    </row>
    <row r="591" ht="15.75" customHeight="1">
      <c r="BP591" s="34"/>
      <c r="BQ591" s="11"/>
      <c r="BR591" s="11"/>
      <c r="BS591" s="11"/>
      <c r="BT591" s="11"/>
      <c r="BU591" s="11"/>
      <c r="BV591" s="11"/>
      <c r="BW591" s="11"/>
      <c r="BX591" s="11"/>
      <c r="BY591" s="11"/>
      <c r="BZ591" s="11"/>
      <c r="CA591" s="11"/>
      <c r="CB591" s="11"/>
      <c r="CC591" s="11"/>
      <c r="CD591" s="11"/>
    </row>
    <row r="592" ht="15.75" customHeight="1">
      <c r="BP592" s="34"/>
      <c r="BQ592" s="11"/>
      <c r="BR592" s="11"/>
      <c r="BS592" s="11"/>
      <c r="BT592" s="11"/>
      <c r="BU592" s="11"/>
      <c r="BV592" s="11"/>
      <c r="BW592" s="11"/>
      <c r="BX592" s="11"/>
      <c r="BY592" s="11"/>
      <c r="BZ592" s="11"/>
      <c r="CA592" s="11"/>
      <c r="CB592" s="11"/>
      <c r="CC592" s="11"/>
      <c r="CD592" s="11"/>
    </row>
    <row r="593" ht="15.75" customHeight="1">
      <c r="BP593" s="34"/>
      <c r="BQ593" s="11"/>
      <c r="BR593" s="11"/>
      <c r="BS593" s="11"/>
      <c r="BT593" s="11"/>
      <c r="BU593" s="11"/>
      <c r="BV593" s="11"/>
      <c r="BW593" s="11"/>
      <c r="BX593" s="11"/>
      <c r="BY593" s="11"/>
      <c r="BZ593" s="11"/>
      <c r="CA593" s="11"/>
      <c r="CB593" s="11"/>
      <c r="CC593" s="11"/>
      <c r="CD593" s="11"/>
    </row>
    <row r="594" ht="15.75" customHeight="1">
      <c r="BP594" s="34"/>
      <c r="BQ594" s="11"/>
      <c r="BR594" s="11"/>
      <c r="BS594" s="11"/>
      <c r="BT594" s="11"/>
      <c r="BU594" s="11"/>
      <c r="BV594" s="11"/>
      <c r="BW594" s="11"/>
      <c r="BX594" s="11"/>
      <c r="BY594" s="11"/>
      <c r="BZ594" s="11"/>
      <c r="CA594" s="11"/>
      <c r="CB594" s="11"/>
      <c r="CC594" s="11"/>
      <c r="CD594" s="11"/>
    </row>
    <row r="595" ht="15.75" customHeight="1">
      <c r="BP595" s="34"/>
      <c r="BQ595" s="11"/>
      <c r="BR595" s="11"/>
      <c r="BS595" s="11"/>
      <c r="BT595" s="11"/>
      <c r="BU595" s="11"/>
      <c r="BV595" s="11"/>
      <c r="BW595" s="11"/>
      <c r="BX595" s="11"/>
      <c r="BY595" s="11"/>
      <c r="BZ595" s="11"/>
      <c r="CA595" s="11"/>
      <c r="CB595" s="11"/>
      <c r="CC595" s="11"/>
      <c r="CD595" s="11"/>
    </row>
    <row r="596" ht="15.75" customHeight="1">
      <c r="BP596" s="34"/>
      <c r="BQ596" s="11"/>
      <c r="BR596" s="11"/>
      <c r="BS596" s="11"/>
      <c r="BT596" s="11"/>
      <c r="BU596" s="11"/>
      <c r="BV596" s="11"/>
      <c r="BW596" s="11"/>
      <c r="BX596" s="11"/>
      <c r="BY596" s="11"/>
      <c r="BZ596" s="11"/>
      <c r="CA596" s="11"/>
      <c r="CB596" s="11"/>
      <c r="CC596" s="11"/>
      <c r="CD596" s="11"/>
    </row>
    <row r="597" ht="15.75" customHeight="1">
      <c r="BP597" s="34"/>
      <c r="BQ597" s="11"/>
      <c r="BR597" s="11"/>
      <c r="BS597" s="11"/>
      <c r="BT597" s="11"/>
      <c r="BU597" s="11"/>
      <c r="BV597" s="11"/>
      <c r="BW597" s="11"/>
      <c r="BX597" s="11"/>
      <c r="BY597" s="11"/>
      <c r="BZ597" s="11"/>
      <c r="CA597" s="11"/>
      <c r="CB597" s="11"/>
      <c r="CC597" s="11"/>
      <c r="CD597" s="11"/>
    </row>
    <row r="598" ht="15.75" customHeight="1">
      <c r="BP598" s="34"/>
      <c r="BQ598" s="11"/>
      <c r="BR598" s="11"/>
      <c r="BS598" s="11"/>
      <c r="BT598" s="11"/>
      <c r="BU598" s="11"/>
      <c r="BV598" s="11"/>
      <c r="BW598" s="11"/>
      <c r="BX598" s="11"/>
      <c r="BY598" s="11"/>
      <c r="BZ598" s="11"/>
      <c r="CA598" s="11"/>
      <c r="CB598" s="11"/>
      <c r="CC598" s="11"/>
      <c r="CD598" s="11"/>
    </row>
    <row r="599" ht="15.75" customHeight="1">
      <c r="BP599" s="34"/>
      <c r="BQ599" s="11"/>
      <c r="BR599" s="11"/>
      <c r="BS599" s="11"/>
      <c r="BT599" s="11"/>
      <c r="BU599" s="11"/>
      <c r="BV599" s="11"/>
      <c r="BW599" s="11"/>
      <c r="BX599" s="11"/>
      <c r="BY599" s="11"/>
      <c r="BZ599" s="11"/>
      <c r="CA599" s="11"/>
      <c r="CB599" s="11"/>
      <c r="CC599" s="11"/>
      <c r="CD599" s="11"/>
    </row>
    <row r="600" ht="15.75" customHeight="1">
      <c r="BP600" s="34"/>
      <c r="BQ600" s="11"/>
      <c r="BR600" s="11"/>
      <c r="BS600" s="11"/>
      <c r="BT600" s="11"/>
      <c r="BU600" s="11"/>
      <c r="BV600" s="11"/>
      <c r="BW600" s="11"/>
      <c r="BX600" s="11"/>
      <c r="BY600" s="11"/>
      <c r="BZ600" s="11"/>
      <c r="CA600" s="11"/>
      <c r="CB600" s="11"/>
      <c r="CC600" s="11"/>
      <c r="CD600" s="11"/>
    </row>
    <row r="601" ht="15.75" customHeight="1">
      <c r="BP601" s="34"/>
      <c r="BQ601" s="11"/>
      <c r="BR601" s="11"/>
      <c r="BS601" s="11"/>
      <c r="BT601" s="11"/>
      <c r="BU601" s="11"/>
      <c r="BV601" s="11"/>
      <c r="BW601" s="11"/>
      <c r="BX601" s="11"/>
      <c r="BY601" s="11"/>
      <c r="BZ601" s="11"/>
      <c r="CA601" s="11"/>
      <c r="CB601" s="11"/>
      <c r="CC601" s="11"/>
      <c r="CD601" s="11"/>
    </row>
    <row r="602" ht="15.75" customHeight="1">
      <c r="BP602" s="34"/>
      <c r="BQ602" s="11"/>
      <c r="BR602" s="11"/>
      <c r="BS602" s="11"/>
      <c r="BT602" s="11"/>
      <c r="BU602" s="11"/>
      <c r="BV602" s="11"/>
      <c r="BW602" s="11"/>
      <c r="BX602" s="11"/>
      <c r="BY602" s="11"/>
      <c r="BZ602" s="11"/>
      <c r="CA602" s="11"/>
      <c r="CB602" s="11"/>
      <c r="CC602" s="11"/>
      <c r="CD602" s="11"/>
    </row>
    <row r="603" ht="15.75" customHeight="1">
      <c r="BP603" s="34"/>
      <c r="BQ603" s="11"/>
      <c r="BR603" s="11"/>
      <c r="BS603" s="11"/>
      <c r="BT603" s="11"/>
      <c r="BU603" s="11"/>
      <c r="BV603" s="11"/>
      <c r="BW603" s="11"/>
      <c r="BX603" s="11"/>
      <c r="BY603" s="11"/>
      <c r="BZ603" s="11"/>
      <c r="CA603" s="11"/>
      <c r="CB603" s="11"/>
      <c r="CC603" s="11"/>
      <c r="CD603" s="11"/>
    </row>
    <row r="604" ht="15.75" customHeight="1">
      <c r="BP604" s="34"/>
      <c r="BQ604" s="11"/>
      <c r="BR604" s="11"/>
      <c r="BS604" s="11"/>
      <c r="BT604" s="11"/>
      <c r="BU604" s="11"/>
      <c r="BV604" s="11"/>
      <c r="BW604" s="11"/>
      <c r="BX604" s="11"/>
      <c r="BY604" s="11"/>
      <c r="BZ604" s="11"/>
      <c r="CA604" s="11"/>
      <c r="CB604" s="11"/>
      <c r="CC604" s="11"/>
      <c r="CD604" s="11"/>
    </row>
    <row r="605" ht="15.75" customHeight="1">
      <c r="BP605" s="34"/>
      <c r="BQ605" s="11"/>
      <c r="BR605" s="11"/>
      <c r="BS605" s="11"/>
      <c r="BT605" s="11"/>
      <c r="BU605" s="11"/>
      <c r="BV605" s="11"/>
      <c r="BW605" s="11"/>
      <c r="BX605" s="11"/>
      <c r="BY605" s="11"/>
      <c r="BZ605" s="11"/>
      <c r="CA605" s="11"/>
      <c r="CB605" s="11"/>
      <c r="CC605" s="11"/>
      <c r="CD605" s="11"/>
    </row>
    <row r="606" ht="15.75" customHeight="1">
      <c r="BP606" s="34"/>
      <c r="BQ606" s="11"/>
      <c r="BR606" s="11"/>
      <c r="BS606" s="11"/>
      <c r="BT606" s="11"/>
      <c r="BU606" s="11"/>
      <c r="BV606" s="11"/>
      <c r="BW606" s="11"/>
      <c r="BX606" s="11"/>
      <c r="BY606" s="11"/>
      <c r="BZ606" s="11"/>
      <c r="CA606" s="11"/>
      <c r="CB606" s="11"/>
      <c r="CC606" s="11"/>
      <c r="CD606" s="11"/>
    </row>
    <row r="607" ht="15.75" customHeight="1">
      <c r="BP607" s="34"/>
      <c r="BQ607" s="11"/>
      <c r="BR607" s="11"/>
      <c r="BS607" s="11"/>
      <c r="BT607" s="11"/>
      <c r="BU607" s="11"/>
      <c r="BV607" s="11"/>
      <c r="BW607" s="11"/>
      <c r="BX607" s="11"/>
      <c r="BY607" s="11"/>
      <c r="BZ607" s="11"/>
      <c r="CA607" s="11"/>
      <c r="CB607" s="11"/>
      <c r="CC607" s="11"/>
      <c r="CD607" s="11"/>
    </row>
    <row r="608" ht="15.75" customHeight="1">
      <c r="BP608" s="34"/>
      <c r="BQ608" s="11"/>
      <c r="BR608" s="11"/>
      <c r="BS608" s="11"/>
      <c r="BT608" s="11"/>
      <c r="BU608" s="11"/>
      <c r="BV608" s="11"/>
      <c r="BW608" s="11"/>
      <c r="BX608" s="11"/>
      <c r="BY608" s="11"/>
      <c r="BZ608" s="11"/>
      <c r="CA608" s="11"/>
      <c r="CB608" s="11"/>
      <c r="CC608" s="11"/>
      <c r="CD608" s="11"/>
    </row>
    <row r="609" ht="15.75" customHeight="1">
      <c r="BP609" s="34"/>
      <c r="BQ609" s="11"/>
      <c r="BR609" s="11"/>
      <c r="BS609" s="11"/>
      <c r="BT609" s="11"/>
      <c r="BU609" s="11"/>
      <c r="BV609" s="11"/>
      <c r="BW609" s="11"/>
      <c r="BX609" s="11"/>
      <c r="BY609" s="11"/>
      <c r="BZ609" s="11"/>
      <c r="CA609" s="11"/>
      <c r="CB609" s="11"/>
      <c r="CC609" s="11"/>
      <c r="CD609" s="11"/>
    </row>
    <row r="610" ht="15.75" customHeight="1">
      <c r="BP610" s="34"/>
      <c r="BQ610" s="11"/>
      <c r="BR610" s="11"/>
      <c r="BS610" s="11"/>
      <c r="BT610" s="11"/>
      <c r="BU610" s="11"/>
      <c r="BV610" s="11"/>
      <c r="BW610" s="11"/>
      <c r="BX610" s="11"/>
      <c r="BY610" s="11"/>
      <c r="BZ610" s="11"/>
      <c r="CA610" s="11"/>
      <c r="CB610" s="11"/>
      <c r="CC610" s="11"/>
      <c r="CD610" s="11"/>
    </row>
    <row r="611" ht="15.75" customHeight="1">
      <c r="BP611" s="34"/>
      <c r="BQ611" s="11"/>
      <c r="BR611" s="11"/>
      <c r="BS611" s="11"/>
      <c r="BT611" s="11"/>
      <c r="BU611" s="11"/>
      <c r="BV611" s="11"/>
      <c r="BW611" s="11"/>
      <c r="BX611" s="11"/>
      <c r="BY611" s="11"/>
      <c r="BZ611" s="11"/>
      <c r="CA611" s="11"/>
      <c r="CB611" s="11"/>
      <c r="CC611" s="11"/>
      <c r="CD611" s="11"/>
    </row>
    <row r="612" ht="15.75" customHeight="1">
      <c r="BP612" s="34"/>
      <c r="BQ612" s="11"/>
      <c r="BR612" s="11"/>
      <c r="BS612" s="11"/>
      <c r="BT612" s="11"/>
      <c r="BU612" s="11"/>
      <c r="BV612" s="11"/>
      <c r="BW612" s="11"/>
      <c r="BX612" s="11"/>
      <c r="BY612" s="11"/>
      <c r="BZ612" s="11"/>
      <c r="CA612" s="11"/>
      <c r="CB612" s="11"/>
      <c r="CC612" s="11"/>
      <c r="CD612" s="11"/>
    </row>
    <row r="613" ht="15.75" customHeight="1">
      <c r="BP613" s="34"/>
      <c r="BQ613" s="11"/>
      <c r="BR613" s="11"/>
      <c r="BS613" s="11"/>
      <c r="BT613" s="11"/>
      <c r="BU613" s="11"/>
      <c r="BV613" s="11"/>
      <c r="BW613" s="11"/>
      <c r="BX613" s="11"/>
      <c r="BY613" s="11"/>
      <c r="BZ613" s="11"/>
      <c r="CA613" s="11"/>
      <c r="CB613" s="11"/>
      <c r="CC613" s="11"/>
      <c r="CD613" s="11"/>
    </row>
    <row r="614" ht="15.75" customHeight="1">
      <c r="BP614" s="34"/>
      <c r="BQ614" s="11"/>
      <c r="BR614" s="11"/>
      <c r="BS614" s="11"/>
      <c r="BT614" s="11"/>
      <c r="BU614" s="11"/>
      <c r="BV614" s="11"/>
      <c r="BW614" s="11"/>
      <c r="BX614" s="11"/>
      <c r="BY614" s="11"/>
      <c r="BZ614" s="11"/>
      <c r="CA614" s="11"/>
      <c r="CB614" s="11"/>
      <c r="CC614" s="11"/>
      <c r="CD614" s="11"/>
    </row>
    <row r="615" ht="15.75" customHeight="1">
      <c r="BP615" s="34"/>
      <c r="BQ615" s="11"/>
      <c r="BR615" s="11"/>
      <c r="BS615" s="11"/>
      <c r="BT615" s="11"/>
      <c r="BU615" s="11"/>
      <c r="BV615" s="11"/>
      <c r="BW615" s="11"/>
      <c r="BX615" s="11"/>
      <c r="BY615" s="11"/>
      <c r="BZ615" s="11"/>
      <c r="CA615" s="11"/>
      <c r="CB615" s="11"/>
      <c r="CC615" s="11"/>
      <c r="CD615" s="11"/>
    </row>
    <row r="616" ht="15.75" customHeight="1">
      <c r="BP616" s="34"/>
      <c r="BQ616" s="11"/>
      <c r="BR616" s="11"/>
      <c r="BS616" s="11"/>
      <c r="BT616" s="11"/>
      <c r="BU616" s="11"/>
      <c r="BV616" s="11"/>
      <c r="BW616" s="11"/>
      <c r="BX616" s="11"/>
      <c r="BY616" s="11"/>
      <c r="BZ616" s="11"/>
      <c r="CA616" s="11"/>
      <c r="CB616" s="11"/>
      <c r="CC616" s="11"/>
      <c r="CD616" s="11"/>
    </row>
    <row r="617" ht="15.75" customHeight="1">
      <c r="BP617" s="34"/>
      <c r="BQ617" s="11"/>
      <c r="BR617" s="11"/>
      <c r="BS617" s="11"/>
      <c r="BT617" s="11"/>
      <c r="BU617" s="11"/>
      <c r="BV617" s="11"/>
      <c r="BW617" s="11"/>
      <c r="BX617" s="11"/>
      <c r="BY617" s="11"/>
      <c r="BZ617" s="11"/>
      <c r="CA617" s="11"/>
      <c r="CB617" s="11"/>
      <c r="CC617" s="11"/>
      <c r="CD617" s="11"/>
    </row>
    <row r="618" ht="15.75" customHeight="1">
      <c r="BP618" s="34"/>
      <c r="BQ618" s="11"/>
      <c r="BR618" s="11"/>
      <c r="BS618" s="11"/>
      <c r="BT618" s="11"/>
      <c r="BU618" s="11"/>
      <c r="BV618" s="11"/>
      <c r="BW618" s="11"/>
      <c r="BX618" s="11"/>
      <c r="BY618" s="11"/>
      <c r="BZ618" s="11"/>
      <c r="CA618" s="11"/>
      <c r="CB618" s="11"/>
      <c r="CC618" s="11"/>
      <c r="CD618" s="11"/>
    </row>
    <row r="619" ht="15.75" customHeight="1">
      <c r="BP619" s="34"/>
      <c r="BQ619" s="11"/>
      <c r="BR619" s="11"/>
      <c r="BS619" s="11"/>
      <c r="BT619" s="11"/>
      <c r="BU619" s="11"/>
      <c r="BV619" s="11"/>
      <c r="BW619" s="11"/>
      <c r="BX619" s="11"/>
      <c r="BY619" s="11"/>
      <c r="BZ619" s="11"/>
      <c r="CA619" s="11"/>
      <c r="CB619" s="11"/>
      <c r="CC619" s="11"/>
      <c r="CD619" s="11"/>
    </row>
    <row r="620" ht="15.75" customHeight="1">
      <c r="BP620" s="34"/>
      <c r="BQ620" s="11"/>
      <c r="BR620" s="11"/>
      <c r="BS620" s="11"/>
      <c r="BT620" s="11"/>
      <c r="BU620" s="11"/>
      <c r="BV620" s="11"/>
      <c r="BW620" s="11"/>
      <c r="BX620" s="11"/>
      <c r="BY620" s="11"/>
      <c r="BZ620" s="11"/>
      <c r="CA620" s="11"/>
      <c r="CB620" s="11"/>
      <c r="CC620" s="11"/>
      <c r="CD620" s="11"/>
    </row>
    <row r="621" ht="15.75" customHeight="1">
      <c r="BP621" s="34"/>
      <c r="BQ621" s="11"/>
      <c r="BR621" s="11"/>
      <c r="BS621" s="11"/>
      <c r="BT621" s="11"/>
      <c r="BU621" s="11"/>
      <c r="BV621" s="11"/>
      <c r="BW621" s="11"/>
      <c r="BX621" s="11"/>
      <c r="BY621" s="11"/>
      <c r="BZ621" s="11"/>
      <c r="CA621" s="11"/>
      <c r="CB621" s="11"/>
      <c r="CC621" s="11"/>
      <c r="CD621" s="11"/>
    </row>
    <row r="622" ht="15.75" customHeight="1">
      <c r="BP622" s="34"/>
      <c r="BQ622" s="11"/>
      <c r="BR622" s="11"/>
      <c r="BS622" s="11"/>
      <c r="BT622" s="11"/>
      <c r="BU622" s="11"/>
      <c r="BV622" s="11"/>
      <c r="BW622" s="11"/>
      <c r="BX622" s="11"/>
      <c r="BY622" s="11"/>
      <c r="BZ622" s="11"/>
      <c r="CA622" s="11"/>
      <c r="CB622" s="11"/>
      <c r="CC622" s="11"/>
      <c r="CD622" s="11"/>
    </row>
    <row r="623" ht="15.75" customHeight="1">
      <c r="BP623" s="34"/>
      <c r="BQ623" s="11"/>
      <c r="BR623" s="11"/>
      <c r="BS623" s="11"/>
      <c r="BT623" s="11"/>
      <c r="BU623" s="11"/>
      <c r="BV623" s="11"/>
      <c r="BW623" s="11"/>
      <c r="BX623" s="11"/>
      <c r="BY623" s="11"/>
      <c r="BZ623" s="11"/>
      <c r="CA623" s="11"/>
      <c r="CB623" s="11"/>
      <c r="CC623" s="11"/>
      <c r="CD623" s="11"/>
    </row>
    <row r="624" ht="15.75" customHeight="1">
      <c r="BP624" s="34"/>
      <c r="BQ624" s="11"/>
      <c r="BR624" s="11"/>
      <c r="BS624" s="11"/>
      <c r="BT624" s="11"/>
      <c r="BU624" s="11"/>
      <c r="BV624" s="11"/>
      <c r="BW624" s="11"/>
      <c r="BX624" s="11"/>
      <c r="BY624" s="11"/>
      <c r="BZ624" s="11"/>
      <c r="CA624" s="11"/>
      <c r="CB624" s="11"/>
      <c r="CC624" s="11"/>
      <c r="CD624" s="11"/>
    </row>
    <row r="625" ht="15.75" customHeight="1">
      <c r="BP625" s="34"/>
      <c r="BQ625" s="11"/>
      <c r="BR625" s="11"/>
      <c r="BS625" s="11"/>
      <c r="BT625" s="11"/>
      <c r="BU625" s="11"/>
      <c r="BV625" s="11"/>
      <c r="BW625" s="11"/>
      <c r="BX625" s="11"/>
      <c r="BY625" s="11"/>
      <c r="BZ625" s="11"/>
      <c r="CA625" s="11"/>
      <c r="CB625" s="11"/>
      <c r="CC625" s="11"/>
      <c r="CD625" s="11"/>
    </row>
    <row r="626" ht="15.75" customHeight="1">
      <c r="BP626" s="34"/>
      <c r="BQ626" s="11"/>
      <c r="BR626" s="11"/>
      <c r="BS626" s="11"/>
      <c r="BT626" s="11"/>
      <c r="BU626" s="11"/>
      <c r="BV626" s="11"/>
      <c r="BW626" s="11"/>
      <c r="BX626" s="11"/>
      <c r="BY626" s="11"/>
      <c r="BZ626" s="11"/>
      <c r="CA626" s="11"/>
      <c r="CB626" s="11"/>
      <c r="CC626" s="11"/>
      <c r="CD626" s="11"/>
    </row>
    <row r="627" ht="15.75" customHeight="1">
      <c r="BP627" s="34"/>
      <c r="BQ627" s="11"/>
      <c r="BR627" s="11"/>
      <c r="BS627" s="11"/>
      <c r="BT627" s="11"/>
      <c r="BU627" s="11"/>
      <c r="BV627" s="11"/>
      <c r="BW627" s="11"/>
      <c r="BX627" s="11"/>
      <c r="BY627" s="11"/>
      <c r="BZ627" s="11"/>
      <c r="CA627" s="11"/>
      <c r="CB627" s="11"/>
      <c r="CC627" s="11"/>
      <c r="CD627" s="11"/>
    </row>
    <row r="628" ht="15.75" customHeight="1">
      <c r="BP628" s="34"/>
      <c r="BQ628" s="11"/>
      <c r="BR628" s="11"/>
      <c r="BS628" s="11"/>
      <c r="BT628" s="11"/>
      <c r="BU628" s="11"/>
      <c r="BV628" s="11"/>
      <c r="BW628" s="11"/>
      <c r="BX628" s="11"/>
      <c r="BY628" s="11"/>
      <c r="BZ628" s="11"/>
      <c r="CA628" s="11"/>
      <c r="CB628" s="11"/>
      <c r="CC628" s="11"/>
      <c r="CD628" s="11"/>
    </row>
    <row r="629" ht="15.75" customHeight="1">
      <c r="BP629" s="34"/>
      <c r="BQ629" s="11"/>
      <c r="BR629" s="11"/>
      <c r="BS629" s="11"/>
      <c r="BT629" s="11"/>
      <c r="BU629" s="11"/>
      <c r="BV629" s="11"/>
      <c r="BW629" s="11"/>
      <c r="BX629" s="11"/>
      <c r="BY629" s="11"/>
      <c r="BZ629" s="11"/>
      <c r="CA629" s="11"/>
      <c r="CB629" s="11"/>
      <c r="CC629" s="11"/>
      <c r="CD629" s="11"/>
    </row>
    <row r="630" ht="15.75" customHeight="1">
      <c r="BP630" s="34"/>
      <c r="BQ630" s="11"/>
      <c r="BR630" s="11"/>
      <c r="BS630" s="11"/>
      <c r="BT630" s="11"/>
      <c r="BU630" s="11"/>
      <c r="BV630" s="11"/>
      <c r="BW630" s="11"/>
      <c r="BX630" s="11"/>
      <c r="BY630" s="11"/>
      <c r="BZ630" s="11"/>
      <c r="CA630" s="11"/>
      <c r="CB630" s="11"/>
      <c r="CC630" s="11"/>
      <c r="CD630" s="11"/>
    </row>
    <row r="631" ht="15.75" customHeight="1">
      <c r="BP631" s="34"/>
      <c r="BQ631" s="11"/>
      <c r="BR631" s="11"/>
      <c r="BS631" s="11"/>
      <c r="BT631" s="11"/>
      <c r="BU631" s="11"/>
      <c r="BV631" s="11"/>
      <c r="BW631" s="11"/>
      <c r="BX631" s="11"/>
      <c r="BY631" s="11"/>
      <c r="BZ631" s="11"/>
      <c r="CA631" s="11"/>
      <c r="CB631" s="11"/>
      <c r="CC631" s="11"/>
      <c r="CD631" s="11"/>
    </row>
    <row r="632" ht="15.75" customHeight="1">
      <c r="BP632" s="34"/>
      <c r="BQ632" s="11"/>
      <c r="BR632" s="11"/>
      <c r="BS632" s="11"/>
      <c r="BT632" s="11"/>
      <c r="BU632" s="11"/>
      <c r="BV632" s="11"/>
      <c r="BW632" s="11"/>
      <c r="BX632" s="11"/>
      <c r="BY632" s="11"/>
      <c r="BZ632" s="11"/>
      <c r="CA632" s="11"/>
      <c r="CB632" s="11"/>
      <c r="CC632" s="11"/>
      <c r="CD632" s="11"/>
    </row>
    <row r="633" ht="15.75" customHeight="1">
      <c r="BP633" s="34"/>
      <c r="BQ633" s="11"/>
      <c r="BR633" s="11"/>
      <c r="BS633" s="11"/>
      <c r="BT633" s="11"/>
      <c r="BU633" s="11"/>
      <c r="BV633" s="11"/>
      <c r="BW633" s="11"/>
      <c r="BX633" s="11"/>
      <c r="BY633" s="11"/>
      <c r="BZ633" s="11"/>
      <c r="CA633" s="11"/>
      <c r="CB633" s="11"/>
      <c r="CC633" s="11"/>
      <c r="CD633" s="11"/>
    </row>
    <row r="634" ht="15.75" customHeight="1">
      <c r="BP634" s="34"/>
      <c r="BQ634" s="11"/>
      <c r="BR634" s="11"/>
      <c r="BS634" s="11"/>
      <c r="BT634" s="11"/>
      <c r="BU634" s="11"/>
      <c r="BV634" s="11"/>
      <c r="BW634" s="11"/>
      <c r="BX634" s="11"/>
      <c r="BY634" s="11"/>
      <c r="BZ634" s="11"/>
      <c r="CA634" s="11"/>
      <c r="CB634" s="11"/>
      <c r="CC634" s="11"/>
      <c r="CD634" s="11"/>
    </row>
    <row r="635" ht="15.75" customHeight="1">
      <c r="BP635" s="34"/>
      <c r="BQ635" s="11"/>
      <c r="BR635" s="11"/>
      <c r="BS635" s="11"/>
      <c r="BT635" s="11"/>
      <c r="BU635" s="11"/>
      <c r="BV635" s="11"/>
      <c r="BW635" s="11"/>
      <c r="BX635" s="11"/>
      <c r="BY635" s="11"/>
      <c r="BZ635" s="11"/>
      <c r="CA635" s="11"/>
      <c r="CB635" s="11"/>
      <c r="CC635" s="11"/>
      <c r="CD635" s="11"/>
    </row>
    <row r="636" ht="15.75" customHeight="1">
      <c r="BP636" s="34"/>
      <c r="BQ636" s="11"/>
      <c r="BR636" s="11"/>
      <c r="BS636" s="11"/>
      <c r="BT636" s="11"/>
      <c r="BU636" s="11"/>
      <c r="BV636" s="11"/>
      <c r="BW636" s="11"/>
      <c r="BX636" s="11"/>
      <c r="BY636" s="11"/>
      <c r="BZ636" s="11"/>
      <c r="CA636" s="11"/>
      <c r="CB636" s="11"/>
      <c r="CC636" s="11"/>
      <c r="CD636" s="11"/>
    </row>
    <row r="637" ht="15.75" customHeight="1">
      <c r="BP637" s="34"/>
      <c r="BQ637" s="11"/>
      <c r="BR637" s="11"/>
      <c r="BS637" s="11"/>
      <c r="BT637" s="11"/>
      <c r="BU637" s="11"/>
      <c r="BV637" s="11"/>
      <c r="BW637" s="11"/>
      <c r="BX637" s="11"/>
      <c r="BY637" s="11"/>
      <c r="BZ637" s="11"/>
      <c r="CA637" s="11"/>
      <c r="CB637" s="11"/>
      <c r="CC637" s="11"/>
      <c r="CD637" s="11"/>
    </row>
    <row r="638" ht="15.75" customHeight="1">
      <c r="BP638" s="34"/>
      <c r="BQ638" s="11"/>
      <c r="BR638" s="11"/>
      <c r="BS638" s="11"/>
      <c r="BT638" s="11"/>
      <c r="BU638" s="11"/>
      <c r="BV638" s="11"/>
      <c r="BW638" s="11"/>
      <c r="BX638" s="11"/>
      <c r="BY638" s="11"/>
      <c r="BZ638" s="11"/>
      <c r="CA638" s="11"/>
      <c r="CB638" s="11"/>
      <c r="CC638" s="11"/>
      <c r="CD638" s="11"/>
    </row>
    <row r="639" ht="15.75" customHeight="1">
      <c r="BP639" s="34"/>
      <c r="BQ639" s="11"/>
      <c r="BR639" s="11"/>
      <c r="BS639" s="11"/>
      <c r="BT639" s="11"/>
      <c r="BU639" s="11"/>
      <c r="BV639" s="11"/>
      <c r="BW639" s="11"/>
      <c r="BX639" s="11"/>
      <c r="BY639" s="11"/>
      <c r="BZ639" s="11"/>
      <c r="CA639" s="11"/>
      <c r="CB639" s="11"/>
      <c r="CC639" s="11"/>
      <c r="CD639" s="11"/>
    </row>
    <row r="640" ht="15.75" customHeight="1">
      <c r="BP640" s="34"/>
      <c r="BQ640" s="11"/>
      <c r="BR640" s="11"/>
      <c r="BS640" s="11"/>
      <c r="BT640" s="11"/>
      <c r="BU640" s="11"/>
      <c r="BV640" s="11"/>
      <c r="BW640" s="11"/>
      <c r="BX640" s="11"/>
      <c r="BY640" s="11"/>
      <c r="BZ640" s="11"/>
      <c r="CA640" s="11"/>
      <c r="CB640" s="11"/>
      <c r="CC640" s="11"/>
      <c r="CD640" s="11"/>
    </row>
    <row r="641" ht="15.75" customHeight="1">
      <c r="BP641" s="34"/>
      <c r="BQ641" s="11"/>
      <c r="BR641" s="11"/>
      <c r="BS641" s="11"/>
      <c r="BT641" s="11"/>
      <c r="BU641" s="11"/>
      <c r="BV641" s="11"/>
      <c r="BW641" s="11"/>
      <c r="BX641" s="11"/>
      <c r="BY641" s="11"/>
      <c r="BZ641" s="11"/>
      <c r="CA641" s="11"/>
      <c r="CB641" s="11"/>
      <c r="CC641" s="11"/>
      <c r="CD641" s="11"/>
    </row>
    <row r="642" ht="15.75" customHeight="1">
      <c r="BP642" s="34"/>
      <c r="BQ642" s="11"/>
      <c r="BR642" s="11"/>
      <c r="BS642" s="11"/>
      <c r="BT642" s="11"/>
      <c r="BU642" s="11"/>
      <c r="BV642" s="11"/>
      <c r="BW642" s="11"/>
      <c r="BX642" s="11"/>
      <c r="BY642" s="11"/>
      <c r="BZ642" s="11"/>
      <c r="CA642" s="11"/>
      <c r="CB642" s="11"/>
      <c r="CC642" s="11"/>
      <c r="CD642" s="11"/>
    </row>
    <row r="643" ht="15.75" customHeight="1">
      <c r="BP643" s="34"/>
      <c r="BQ643" s="11"/>
      <c r="BR643" s="11"/>
      <c r="BS643" s="11"/>
      <c r="BT643" s="11"/>
      <c r="BU643" s="11"/>
      <c r="BV643" s="11"/>
      <c r="BW643" s="11"/>
      <c r="BX643" s="11"/>
      <c r="BY643" s="11"/>
      <c r="BZ643" s="11"/>
      <c r="CA643" s="11"/>
      <c r="CB643" s="11"/>
      <c r="CC643" s="11"/>
      <c r="CD643" s="11"/>
    </row>
    <row r="644" ht="15.75" customHeight="1">
      <c r="BP644" s="34"/>
      <c r="BQ644" s="11"/>
      <c r="BR644" s="11"/>
      <c r="BS644" s="11"/>
      <c r="BT644" s="11"/>
      <c r="BU644" s="11"/>
      <c r="BV644" s="11"/>
      <c r="BW644" s="11"/>
      <c r="BX644" s="11"/>
      <c r="BY644" s="11"/>
      <c r="BZ644" s="11"/>
      <c r="CA644" s="11"/>
      <c r="CB644" s="11"/>
      <c r="CC644" s="11"/>
      <c r="CD644" s="11"/>
    </row>
    <row r="645" ht="15.75" customHeight="1">
      <c r="BP645" s="34"/>
      <c r="BQ645" s="11"/>
      <c r="BR645" s="11"/>
      <c r="BS645" s="11"/>
      <c r="BT645" s="11"/>
      <c r="BU645" s="11"/>
      <c r="BV645" s="11"/>
      <c r="BW645" s="11"/>
      <c r="BX645" s="11"/>
      <c r="BY645" s="11"/>
      <c r="BZ645" s="11"/>
      <c r="CA645" s="11"/>
      <c r="CB645" s="11"/>
      <c r="CC645" s="11"/>
      <c r="CD645" s="11"/>
    </row>
    <row r="646" ht="15.75" customHeight="1">
      <c r="BP646" s="34"/>
      <c r="BQ646" s="11"/>
      <c r="BR646" s="11"/>
      <c r="BS646" s="11"/>
      <c r="BT646" s="11"/>
      <c r="BU646" s="11"/>
      <c r="BV646" s="11"/>
      <c r="BW646" s="11"/>
      <c r="BX646" s="11"/>
      <c r="BY646" s="11"/>
      <c r="BZ646" s="11"/>
      <c r="CA646" s="11"/>
      <c r="CB646" s="11"/>
      <c r="CC646" s="11"/>
      <c r="CD646" s="11"/>
    </row>
    <row r="647" ht="15.75" customHeight="1">
      <c r="BP647" s="34"/>
      <c r="BQ647" s="11"/>
      <c r="BR647" s="11"/>
      <c r="BS647" s="11"/>
      <c r="BT647" s="11"/>
      <c r="BU647" s="11"/>
      <c r="BV647" s="11"/>
      <c r="BW647" s="11"/>
      <c r="BX647" s="11"/>
      <c r="BY647" s="11"/>
      <c r="BZ647" s="11"/>
      <c r="CA647" s="11"/>
      <c r="CB647" s="11"/>
      <c r="CC647" s="11"/>
      <c r="CD647" s="11"/>
    </row>
    <row r="648" ht="15.75" customHeight="1">
      <c r="BP648" s="34"/>
      <c r="BQ648" s="11"/>
      <c r="BR648" s="11"/>
      <c r="BS648" s="11"/>
      <c r="BT648" s="11"/>
      <c r="BU648" s="11"/>
      <c r="BV648" s="11"/>
      <c r="BW648" s="11"/>
      <c r="BX648" s="11"/>
      <c r="BY648" s="11"/>
      <c r="BZ648" s="11"/>
      <c r="CA648" s="11"/>
      <c r="CB648" s="11"/>
      <c r="CC648" s="11"/>
      <c r="CD648" s="11"/>
    </row>
    <row r="649" ht="15.75" customHeight="1">
      <c r="BP649" s="34"/>
      <c r="BQ649" s="11"/>
      <c r="BR649" s="11"/>
      <c r="BS649" s="11"/>
      <c r="BT649" s="11"/>
      <c r="BU649" s="11"/>
      <c r="BV649" s="11"/>
      <c r="BW649" s="11"/>
      <c r="BX649" s="11"/>
      <c r="BY649" s="11"/>
      <c r="BZ649" s="11"/>
      <c r="CA649" s="11"/>
      <c r="CB649" s="11"/>
      <c r="CC649" s="11"/>
      <c r="CD649" s="11"/>
    </row>
    <row r="650" ht="15.75" customHeight="1">
      <c r="BP650" s="34"/>
      <c r="BQ650" s="11"/>
      <c r="BR650" s="11"/>
      <c r="BS650" s="11"/>
      <c r="BT650" s="11"/>
      <c r="BU650" s="11"/>
      <c r="BV650" s="11"/>
      <c r="BW650" s="11"/>
      <c r="BX650" s="11"/>
      <c r="BY650" s="11"/>
      <c r="BZ650" s="11"/>
      <c r="CA650" s="11"/>
      <c r="CB650" s="11"/>
      <c r="CC650" s="11"/>
      <c r="CD650" s="11"/>
    </row>
    <row r="651" ht="15.75" customHeight="1">
      <c r="BP651" s="34"/>
      <c r="BQ651" s="11"/>
      <c r="BR651" s="11"/>
      <c r="BS651" s="11"/>
      <c r="BT651" s="11"/>
      <c r="BU651" s="11"/>
      <c r="BV651" s="11"/>
      <c r="BW651" s="11"/>
      <c r="BX651" s="11"/>
      <c r="BY651" s="11"/>
      <c r="BZ651" s="11"/>
      <c r="CA651" s="11"/>
      <c r="CB651" s="11"/>
      <c r="CC651" s="11"/>
      <c r="CD651" s="11"/>
    </row>
    <row r="652" ht="15.75" customHeight="1">
      <c r="BP652" s="34"/>
      <c r="BQ652" s="11"/>
      <c r="BR652" s="11"/>
      <c r="BS652" s="11"/>
      <c r="BT652" s="11"/>
      <c r="BU652" s="11"/>
      <c r="BV652" s="11"/>
      <c r="BW652" s="11"/>
      <c r="BX652" s="11"/>
      <c r="BY652" s="11"/>
      <c r="BZ652" s="11"/>
      <c r="CA652" s="11"/>
      <c r="CB652" s="11"/>
      <c r="CC652" s="11"/>
      <c r="CD652" s="11"/>
    </row>
    <row r="653" ht="15.75" customHeight="1">
      <c r="BP653" s="34"/>
      <c r="BQ653" s="11"/>
      <c r="BR653" s="11"/>
      <c r="BS653" s="11"/>
      <c r="BT653" s="11"/>
      <c r="BU653" s="11"/>
      <c r="BV653" s="11"/>
      <c r="BW653" s="11"/>
      <c r="BX653" s="11"/>
      <c r="BY653" s="11"/>
      <c r="BZ653" s="11"/>
      <c r="CA653" s="11"/>
      <c r="CB653" s="11"/>
      <c r="CC653" s="11"/>
      <c r="CD653" s="11"/>
    </row>
    <row r="654" ht="15.75" customHeight="1">
      <c r="BP654" s="34"/>
      <c r="BQ654" s="11"/>
      <c r="BR654" s="11"/>
      <c r="BS654" s="11"/>
      <c r="BT654" s="11"/>
      <c r="BU654" s="11"/>
      <c r="BV654" s="11"/>
      <c r="BW654" s="11"/>
      <c r="BX654" s="11"/>
      <c r="BY654" s="11"/>
      <c r="BZ654" s="11"/>
      <c r="CA654" s="11"/>
      <c r="CB654" s="11"/>
      <c r="CC654" s="11"/>
      <c r="CD654" s="11"/>
    </row>
    <row r="655" ht="15.75" customHeight="1">
      <c r="BP655" s="34"/>
      <c r="BQ655" s="11"/>
      <c r="BR655" s="11"/>
      <c r="BS655" s="11"/>
      <c r="BT655" s="11"/>
      <c r="BU655" s="11"/>
      <c r="BV655" s="11"/>
      <c r="BW655" s="11"/>
      <c r="BX655" s="11"/>
      <c r="BY655" s="11"/>
      <c r="BZ655" s="11"/>
      <c r="CA655" s="11"/>
      <c r="CB655" s="11"/>
      <c r="CC655" s="11"/>
      <c r="CD655" s="11"/>
    </row>
    <row r="656" ht="15.75" customHeight="1">
      <c r="BP656" s="34"/>
      <c r="BQ656" s="11"/>
      <c r="BR656" s="11"/>
      <c r="BS656" s="11"/>
      <c r="BT656" s="11"/>
      <c r="BU656" s="11"/>
      <c r="BV656" s="11"/>
      <c r="BW656" s="11"/>
      <c r="BX656" s="11"/>
      <c r="BY656" s="11"/>
      <c r="BZ656" s="11"/>
      <c r="CA656" s="11"/>
      <c r="CB656" s="11"/>
      <c r="CC656" s="11"/>
      <c r="CD656" s="11"/>
    </row>
    <row r="657" ht="15.75" customHeight="1">
      <c r="BP657" s="34"/>
      <c r="BQ657" s="11"/>
      <c r="BR657" s="11"/>
      <c r="BS657" s="11"/>
      <c r="BT657" s="11"/>
      <c r="BU657" s="11"/>
      <c r="BV657" s="11"/>
      <c r="BW657" s="11"/>
      <c r="BX657" s="11"/>
      <c r="BY657" s="11"/>
      <c r="BZ657" s="11"/>
      <c r="CA657" s="11"/>
      <c r="CB657" s="11"/>
      <c r="CC657" s="11"/>
      <c r="CD657" s="11"/>
    </row>
    <row r="658" ht="15.75" customHeight="1">
      <c r="BP658" s="34"/>
      <c r="BQ658" s="11"/>
      <c r="BR658" s="11"/>
      <c r="BS658" s="11"/>
      <c r="BT658" s="11"/>
      <c r="BU658" s="11"/>
      <c r="BV658" s="11"/>
      <c r="BW658" s="11"/>
      <c r="BX658" s="11"/>
      <c r="BY658" s="11"/>
      <c r="BZ658" s="11"/>
      <c r="CA658" s="11"/>
      <c r="CB658" s="11"/>
      <c r="CC658" s="11"/>
      <c r="CD658" s="11"/>
    </row>
    <row r="659" ht="15.75" customHeight="1">
      <c r="BP659" s="34"/>
      <c r="BQ659" s="11"/>
      <c r="BR659" s="11"/>
      <c r="BS659" s="11"/>
      <c r="BT659" s="11"/>
      <c r="BU659" s="11"/>
      <c r="BV659" s="11"/>
      <c r="BW659" s="11"/>
      <c r="BX659" s="11"/>
      <c r="BY659" s="11"/>
      <c r="BZ659" s="11"/>
      <c r="CA659" s="11"/>
      <c r="CB659" s="11"/>
      <c r="CC659" s="11"/>
      <c r="CD659" s="11"/>
    </row>
    <row r="660" ht="15.75" customHeight="1">
      <c r="BP660" s="34"/>
      <c r="BQ660" s="11"/>
      <c r="BR660" s="11"/>
      <c r="BS660" s="11"/>
      <c r="BT660" s="11"/>
      <c r="BU660" s="11"/>
      <c r="BV660" s="11"/>
      <c r="BW660" s="11"/>
      <c r="BX660" s="11"/>
      <c r="BY660" s="11"/>
      <c r="BZ660" s="11"/>
      <c r="CA660" s="11"/>
      <c r="CB660" s="11"/>
      <c r="CC660" s="11"/>
      <c r="CD660" s="11"/>
    </row>
    <row r="661" ht="15.75" customHeight="1">
      <c r="BP661" s="34"/>
      <c r="BQ661" s="11"/>
      <c r="BR661" s="11"/>
      <c r="BS661" s="11"/>
      <c r="BT661" s="11"/>
      <c r="BU661" s="11"/>
      <c r="BV661" s="11"/>
      <c r="BW661" s="11"/>
      <c r="BX661" s="11"/>
      <c r="BY661" s="11"/>
      <c r="BZ661" s="11"/>
      <c r="CA661" s="11"/>
      <c r="CB661" s="11"/>
      <c r="CC661" s="11"/>
      <c r="CD661" s="11"/>
    </row>
    <row r="662" ht="15.75" customHeight="1">
      <c r="BP662" s="34"/>
      <c r="BQ662" s="11"/>
      <c r="BR662" s="11"/>
      <c r="BS662" s="11"/>
      <c r="BT662" s="11"/>
      <c r="BU662" s="11"/>
      <c r="BV662" s="11"/>
      <c r="BW662" s="11"/>
      <c r="BX662" s="11"/>
      <c r="BY662" s="11"/>
      <c r="BZ662" s="11"/>
      <c r="CA662" s="11"/>
      <c r="CB662" s="11"/>
      <c r="CC662" s="11"/>
      <c r="CD662" s="11"/>
    </row>
    <row r="663" ht="15.75" customHeight="1">
      <c r="BP663" s="34"/>
      <c r="BQ663" s="11"/>
      <c r="BR663" s="11"/>
      <c r="BS663" s="11"/>
      <c r="BT663" s="11"/>
      <c r="BU663" s="11"/>
      <c r="BV663" s="11"/>
      <c r="BW663" s="11"/>
      <c r="BX663" s="11"/>
      <c r="BY663" s="11"/>
      <c r="BZ663" s="11"/>
      <c r="CA663" s="11"/>
      <c r="CB663" s="11"/>
      <c r="CC663" s="11"/>
      <c r="CD663" s="11"/>
    </row>
    <row r="664" ht="15.75" customHeight="1">
      <c r="BP664" s="34"/>
      <c r="BQ664" s="11"/>
      <c r="BR664" s="11"/>
      <c r="BS664" s="11"/>
      <c r="BT664" s="11"/>
      <c r="BU664" s="11"/>
      <c r="BV664" s="11"/>
      <c r="BW664" s="11"/>
      <c r="BX664" s="11"/>
      <c r="BY664" s="11"/>
      <c r="BZ664" s="11"/>
      <c r="CA664" s="11"/>
      <c r="CB664" s="11"/>
      <c r="CC664" s="11"/>
      <c r="CD664" s="11"/>
    </row>
    <row r="665" ht="15.75" customHeight="1">
      <c r="BP665" s="34"/>
      <c r="BQ665" s="11"/>
      <c r="BR665" s="11"/>
      <c r="BS665" s="11"/>
      <c r="BT665" s="11"/>
      <c r="BU665" s="11"/>
      <c r="BV665" s="11"/>
      <c r="BW665" s="11"/>
      <c r="BX665" s="11"/>
      <c r="BY665" s="11"/>
      <c r="BZ665" s="11"/>
      <c r="CA665" s="11"/>
      <c r="CB665" s="11"/>
      <c r="CC665" s="11"/>
      <c r="CD665" s="11"/>
    </row>
    <row r="666" ht="15.75" customHeight="1">
      <c r="BP666" s="34"/>
      <c r="BQ666" s="11"/>
      <c r="BR666" s="11"/>
      <c r="BS666" s="11"/>
      <c r="BT666" s="11"/>
      <c r="BU666" s="11"/>
      <c r="BV666" s="11"/>
      <c r="BW666" s="11"/>
      <c r="BX666" s="11"/>
      <c r="BY666" s="11"/>
      <c r="BZ666" s="11"/>
      <c r="CA666" s="11"/>
      <c r="CB666" s="11"/>
      <c r="CC666" s="11"/>
      <c r="CD666" s="11"/>
    </row>
    <row r="667" ht="15.75" customHeight="1">
      <c r="BP667" s="34"/>
      <c r="BQ667" s="11"/>
      <c r="BR667" s="11"/>
      <c r="BS667" s="11"/>
      <c r="BT667" s="11"/>
      <c r="BU667" s="11"/>
      <c r="BV667" s="11"/>
      <c r="BW667" s="11"/>
      <c r="BX667" s="11"/>
      <c r="BY667" s="11"/>
      <c r="BZ667" s="11"/>
      <c r="CA667" s="11"/>
      <c r="CB667" s="11"/>
      <c r="CC667" s="11"/>
      <c r="CD667" s="11"/>
    </row>
    <row r="668" ht="15.75" customHeight="1">
      <c r="BP668" s="34"/>
      <c r="BQ668" s="11"/>
      <c r="BR668" s="11"/>
      <c r="BS668" s="11"/>
      <c r="BT668" s="11"/>
      <c r="BU668" s="11"/>
      <c r="BV668" s="11"/>
      <c r="BW668" s="11"/>
      <c r="BX668" s="11"/>
      <c r="BY668" s="11"/>
      <c r="BZ668" s="11"/>
      <c r="CA668" s="11"/>
      <c r="CB668" s="11"/>
      <c r="CC668" s="11"/>
      <c r="CD668" s="11"/>
    </row>
    <row r="669" ht="15.75" customHeight="1">
      <c r="BP669" s="34"/>
      <c r="BQ669" s="11"/>
      <c r="BR669" s="11"/>
      <c r="BS669" s="11"/>
      <c r="BT669" s="11"/>
      <c r="BU669" s="11"/>
      <c r="BV669" s="11"/>
      <c r="BW669" s="11"/>
      <c r="BX669" s="11"/>
      <c r="BY669" s="11"/>
      <c r="BZ669" s="11"/>
      <c r="CA669" s="11"/>
      <c r="CB669" s="11"/>
      <c r="CC669" s="11"/>
      <c r="CD669" s="11"/>
    </row>
    <row r="670" ht="15.75" customHeight="1">
      <c r="BP670" s="34"/>
      <c r="BQ670" s="11"/>
      <c r="BR670" s="11"/>
      <c r="BS670" s="11"/>
      <c r="BT670" s="11"/>
      <c r="BU670" s="11"/>
      <c r="BV670" s="11"/>
      <c r="BW670" s="11"/>
      <c r="BX670" s="11"/>
      <c r="BY670" s="11"/>
      <c r="BZ670" s="11"/>
      <c r="CA670" s="11"/>
      <c r="CB670" s="11"/>
      <c r="CC670" s="11"/>
      <c r="CD670" s="11"/>
    </row>
    <row r="671" ht="15.75" customHeight="1">
      <c r="BP671" s="34"/>
      <c r="BQ671" s="11"/>
      <c r="BR671" s="11"/>
      <c r="BS671" s="11"/>
      <c r="BT671" s="11"/>
      <c r="BU671" s="11"/>
      <c r="BV671" s="11"/>
      <c r="BW671" s="11"/>
      <c r="BX671" s="11"/>
      <c r="BY671" s="11"/>
      <c r="BZ671" s="11"/>
      <c r="CA671" s="11"/>
      <c r="CB671" s="11"/>
      <c r="CC671" s="11"/>
      <c r="CD671" s="11"/>
    </row>
    <row r="672" ht="15.75" customHeight="1">
      <c r="BP672" s="34"/>
      <c r="BQ672" s="11"/>
      <c r="BR672" s="11"/>
      <c r="BS672" s="11"/>
      <c r="BT672" s="11"/>
      <c r="BU672" s="11"/>
      <c r="BV672" s="11"/>
      <c r="BW672" s="11"/>
      <c r="BX672" s="11"/>
      <c r="BY672" s="11"/>
      <c r="BZ672" s="11"/>
      <c r="CA672" s="11"/>
      <c r="CB672" s="11"/>
      <c r="CC672" s="11"/>
      <c r="CD672" s="11"/>
    </row>
    <row r="673" ht="15.75" customHeight="1">
      <c r="BP673" s="34"/>
      <c r="BQ673" s="11"/>
      <c r="BR673" s="11"/>
      <c r="BS673" s="11"/>
      <c r="BT673" s="11"/>
      <c r="BU673" s="11"/>
      <c r="BV673" s="11"/>
      <c r="BW673" s="11"/>
      <c r="BX673" s="11"/>
      <c r="BY673" s="11"/>
      <c r="BZ673" s="11"/>
      <c r="CA673" s="11"/>
      <c r="CB673" s="11"/>
      <c r="CC673" s="11"/>
      <c r="CD673" s="11"/>
    </row>
    <row r="674" ht="15.75" customHeight="1">
      <c r="BP674" s="34"/>
      <c r="BQ674" s="11"/>
      <c r="BR674" s="11"/>
      <c r="BS674" s="11"/>
      <c r="BT674" s="11"/>
      <c r="BU674" s="11"/>
      <c r="BV674" s="11"/>
      <c r="BW674" s="11"/>
      <c r="BX674" s="11"/>
      <c r="BY674" s="11"/>
      <c r="BZ674" s="11"/>
      <c r="CA674" s="11"/>
      <c r="CB674" s="11"/>
      <c r="CC674" s="11"/>
      <c r="CD674" s="11"/>
    </row>
    <row r="675" ht="15.75" customHeight="1">
      <c r="BP675" s="34"/>
      <c r="BQ675" s="11"/>
      <c r="BR675" s="11"/>
      <c r="BS675" s="11"/>
      <c r="BT675" s="11"/>
      <c r="BU675" s="11"/>
      <c r="BV675" s="11"/>
      <c r="BW675" s="11"/>
      <c r="BX675" s="11"/>
      <c r="BY675" s="11"/>
      <c r="BZ675" s="11"/>
      <c r="CA675" s="11"/>
      <c r="CB675" s="11"/>
      <c r="CC675" s="11"/>
      <c r="CD675" s="11"/>
    </row>
    <row r="676" ht="15.75" customHeight="1">
      <c r="BP676" s="34"/>
      <c r="BQ676" s="11"/>
      <c r="BR676" s="11"/>
      <c r="BS676" s="11"/>
      <c r="BT676" s="11"/>
      <c r="BU676" s="11"/>
      <c r="BV676" s="11"/>
      <c r="BW676" s="11"/>
      <c r="BX676" s="11"/>
      <c r="BY676" s="11"/>
      <c r="BZ676" s="11"/>
      <c r="CA676" s="11"/>
      <c r="CB676" s="11"/>
      <c r="CC676" s="11"/>
      <c r="CD676" s="11"/>
    </row>
    <row r="677" ht="15.75" customHeight="1">
      <c r="BP677" s="34"/>
      <c r="BQ677" s="11"/>
      <c r="BR677" s="11"/>
      <c r="BS677" s="11"/>
      <c r="BT677" s="11"/>
      <c r="BU677" s="11"/>
      <c r="BV677" s="11"/>
      <c r="BW677" s="11"/>
      <c r="BX677" s="11"/>
      <c r="BY677" s="11"/>
      <c r="BZ677" s="11"/>
      <c r="CA677" s="11"/>
      <c r="CB677" s="11"/>
      <c r="CC677" s="11"/>
      <c r="CD677" s="11"/>
    </row>
    <row r="678" ht="15.75" customHeight="1">
      <c r="BP678" s="34"/>
      <c r="BQ678" s="11"/>
      <c r="BR678" s="11"/>
      <c r="BS678" s="11"/>
      <c r="BT678" s="11"/>
      <c r="BU678" s="11"/>
      <c r="BV678" s="11"/>
      <c r="BW678" s="11"/>
      <c r="BX678" s="11"/>
      <c r="BY678" s="11"/>
      <c r="BZ678" s="11"/>
      <c r="CA678" s="11"/>
      <c r="CB678" s="11"/>
      <c r="CC678" s="11"/>
      <c r="CD678" s="11"/>
    </row>
    <row r="679" ht="15.75" customHeight="1">
      <c r="BP679" s="34"/>
      <c r="BQ679" s="11"/>
      <c r="BR679" s="11"/>
      <c r="BS679" s="11"/>
      <c r="BT679" s="11"/>
      <c r="BU679" s="11"/>
      <c r="BV679" s="11"/>
      <c r="BW679" s="11"/>
      <c r="BX679" s="11"/>
      <c r="BY679" s="11"/>
      <c r="BZ679" s="11"/>
      <c r="CA679" s="11"/>
      <c r="CB679" s="11"/>
      <c r="CC679" s="11"/>
      <c r="CD679" s="11"/>
    </row>
    <row r="680" ht="15.75" customHeight="1">
      <c r="BP680" s="34"/>
      <c r="BQ680" s="11"/>
      <c r="BR680" s="11"/>
      <c r="BS680" s="11"/>
      <c r="BT680" s="11"/>
      <c r="BU680" s="11"/>
      <c r="BV680" s="11"/>
      <c r="BW680" s="11"/>
      <c r="BX680" s="11"/>
      <c r="BY680" s="11"/>
      <c r="BZ680" s="11"/>
      <c r="CA680" s="11"/>
      <c r="CB680" s="11"/>
      <c r="CC680" s="11"/>
      <c r="CD680" s="11"/>
    </row>
    <row r="681" ht="15.75" customHeight="1">
      <c r="BP681" s="34"/>
      <c r="BQ681" s="11"/>
      <c r="BR681" s="11"/>
      <c r="BS681" s="11"/>
      <c r="BT681" s="11"/>
      <c r="BU681" s="11"/>
      <c r="BV681" s="11"/>
      <c r="BW681" s="11"/>
      <c r="BX681" s="11"/>
      <c r="BY681" s="11"/>
      <c r="BZ681" s="11"/>
      <c r="CA681" s="11"/>
      <c r="CB681" s="11"/>
      <c r="CC681" s="11"/>
      <c r="CD681" s="11"/>
    </row>
    <row r="682" ht="15.75" customHeight="1">
      <c r="BP682" s="34"/>
      <c r="BQ682" s="11"/>
      <c r="BR682" s="11"/>
      <c r="BS682" s="11"/>
      <c r="BT682" s="11"/>
      <c r="BU682" s="11"/>
      <c r="BV682" s="11"/>
      <c r="BW682" s="11"/>
      <c r="BX682" s="11"/>
      <c r="BY682" s="11"/>
      <c r="BZ682" s="11"/>
      <c r="CA682" s="11"/>
      <c r="CB682" s="11"/>
      <c r="CC682" s="11"/>
      <c r="CD682" s="11"/>
    </row>
    <row r="683" ht="15.75" customHeight="1">
      <c r="BP683" s="34"/>
      <c r="BQ683" s="11"/>
      <c r="BR683" s="11"/>
      <c r="BS683" s="11"/>
      <c r="BT683" s="11"/>
      <c r="BU683" s="11"/>
      <c r="BV683" s="11"/>
      <c r="BW683" s="11"/>
      <c r="BX683" s="11"/>
      <c r="BY683" s="11"/>
      <c r="BZ683" s="11"/>
      <c r="CA683" s="11"/>
      <c r="CB683" s="11"/>
      <c r="CC683" s="11"/>
      <c r="CD683" s="11"/>
    </row>
    <row r="684" ht="15.75" customHeight="1">
      <c r="BP684" s="34"/>
      <c r="BQ684" s="11"/>
      <c r="BR684" s="11"/>
      <c r="BS684" s="11"/>
      <c r="BT684" s="11"/>
      <c r="BU684" s="11"/>
      <c r="BV684" s="11"/>
      <c r="BW684" s="11"/>
      <c r="BX684" s="11"/>
      <c r="BY684" s="11"/>
      <c r="BZ684" s="11"/>
      <c r="CA684" s="11"/>
      <c r="CB684" s="11"/>
      <c r="CC684" s="11"/>
      <c r="CD684" s="11"/>
    </row>
    <row r="685" ht="15.75" customHeight="1">
      <c r="BP685" s="34"/>
      <c r="BQ685" s="11"/>
      <c r="BR685" s="11"/>
      <c r="BS685" s="11"/>
      <c r="BT685" s="11"/>
      <c r="BU685" s="11"/>
      <c r="BV685" s="11"/>
      <c r="BW685" s="11"/>
      <c r="BX685" s="11"/>
      <c r="BY685" s="11"/>
      <c r="BZ685" s="11"/>
      <c r="CA685" s="11"/>
      <c r="CB685" s="11"/>
      <c r="CC685" s="11"/>
      <c r="CD685" s="11"/>
    </row>
    <row r="686" ht="15.75" customHeight="1">
      <c r="BP686" s="34"/>
      <c r="BQ686" s="11"/>
      <c r="BR686" s="11"/>
      <c r="BS686" s="11"/>
      <c r="BT686" s="11"/>
      <c r="BU686" s="11"/>
      <c r="BV686" s="11"/>
      <c r="BW686" s="11"/>
      <c r="BX686" s="11"/>
      <c r="BY686" s="11"/>
      <c r="BZ686" s="11"/>
      <c r="CA686" s="11"/>
      <c r="CB686" s="11"/>
      <c r="CC686" s="11"/>
      <c r="CD686" s="11"/>
    </row>
    <row r="687" ht="15.75" customHeight="1">
      <c r="BP687" s="34"/>
      <c r="BQ687" s="11"/>
      <c r="BR687" s="11"/>
      <c r="BS687" s="11"/>
      <c r="BT687" s="11"/>
      <c r="BU687" s="11"/>
      <c r="BV687" s="11"/>
      <c r="BW687" s="11"/>
      <c r="BX687" s="11"/>
      <c r="BY687" s="11"/>
      <c r="BZ687" s="11"/>
      <c r="CA687" s="11"/>
      <c r="CB687" s="11"/>
      <c r="CC687" s="11"/>
      <c r="CD687" s="11"/>
    </row>
    <row r="688" ht="15.75" customHeight="1">
      <c r="BP688" s="34"/>
      <c r="BQ688" s="11"/>
      <c r="BR688" s="11"/>
      <c r="BS688" s="11"/>
      <c r="BT688" s="11"/>
      <c r="BU688" s="11"/>
      <c r="BV688" s="11"/>
      <c r="BW688" s="11"/>
      <c r="BX688" s="11"/>
      <c r="BY688" s="11"/>
      <c r="BZ688" s="11"/>
      <c r="CA688" s="11"/>
      <c r="CB688" s="11"/>
      <c r="CC688" s="11"/>
      <c r="CD688" s="11"/>
    </row>
    <row r="689" ht="15.75" customHeight="1">
      <c r="BP689" s="34"/>
      <c r="BQ689" s="11"/>
      <c r="BR689" s="11"/>
      <c r="BS689" s="11"/>
      <c r="BT689" s="11"/>
      <c r="BU689" s="11"/>
      <c r="BV689" s="11"/>
      <c r="BW689" s="11"/>
      <c r="BX689" s="11"/>
      <c r="BY689" s="11"/>
      <c r="BZ689" s="11"/>
      <c r="CA689" s="11"/>
      <c r="CB689" s="11"/>
      <c r="CC689" s="11"/>
      <c r="CD689" s="11"/>
    </row>
    <row r="690" ht="15.75" customHeight="1">
      <c r="BP690" s="34"/>
      <c r="BQ690" s="11"/>
      <c r="BR690" s="11"/>
      <c r="BS690" s="11"/>
      <c r="BT690" s="11"/>
      <c r="BU690" s="11"/>
      <c r="BV690" s="11"/>
      <c r="BW690" s="11"/>
      <c r="BX690" s="11"/>
      <c r="BY690" s="11"/>
      <c r="BZ690" s="11"/>
      <c r="CA690" s="11"/>
      <c r="CB690" s="11"/>
      <c r="CC690" s="11"/>
      <c r="CD690" s="11"/>
    </row>
    <row r="691" ht="15.75" customHeight="1">
      <c r="BP691" s="34"/>
      <c r="BQ691" s="11"/>
      <c r="BR691" s="11"/>
      <c r="BS691" s="11"/>
      <c r="BT691" s="11"/>
      <c r="BU691" s="11"/>
      <c r="BV691" s="11"/>
      <c r="BW691" s="11"/>
      <c r="BX691" s="11"/>
      <c r="BY691" s="11"/>
      <c r="BZ691" s="11"/>
      <c r="CA691" s="11"/>
      <c r="CB691" s="11"/>
      <c r="CC691" s="11"/>
      <c r="CD691" s="11"/>
    </row>
    <row r="692" ht="15.75" customHeight="1">
      <c r="BP692" s="34"/>
      <c r="BQ692" s="11"/>
      <c r="BR692" s="11"/>
      <c r="BS692" s="11"/>
      <c r="BT692" s="11"/>
      <c r="BU692" s="11"/>
      <c r="BV692" s="11"/>
      <c r="BW692" s="11"/>
      <c r="BX692" s="11"/>
      <c r="BY692" s="11"/>
      <c r="BZ692" s="11"/>
      <c r="CA692" s="11"/>
      <c r="CB692" s="11"/>
      <c r="CC692" s="11"/>
      <c r="CD692" s="11"/>
    </row>
    <row r="693" ht="15.75" customHeight="1">
      <c r="BP693" s="34"/>
      <c r="BQ693" s="11"/>
      <c r="BR693" s="11"/>
      <c r="BS693" s="11"/>
      <c r="BT693" s="11"/>
      <c r="BU693" s="11"/>
      <c r="BV693" s="11"/>
      <c r="BW693" s="11"/>
      <c r="BX693" s="11"/>
      <c r="BY693" s="11"/>
      <c r="BZ693" s="11"/>
      <c r="CA693" s="11"/>
      <c r="CB693" s="11"/>
      <c r="CC693" s="11"/>
      <c r="CD693" s="11"/>
    </row>
    <row r="694" ht="15.75" customHeight="1">
      <c r="BP694" s="34"/>
      <c r="BQ694" s="11"/>
      <c r="BR694" s="11"/>
      <c r="BS694" s="11"/>
      <c r="BT694" s="11"/>
      <c r="BU694" s="11"/>
      <c r="BV694" s="11"/>
      <c r="BW694" s="11"/>
      <c r="BX694" s="11"/>
      <c r="BY694" s="11"/>
      <c r="BZ694" s="11"/>
      <c r="CA694" s="11"/>
      <c r="CB694" s="11"/>
      <c r="CC694" s="11"/>
      <c r="CD694" s="11"/>
    </row>
    <row r="695" ht="15.75" customHeight="1">
      <c r="BP695" s="34"/>
      <c r="BQ695" s="11"/>
      <c r="BR695" s="11"/>
      <c r="BS695" s="11"/>
      <c r="BT695" s="11"/>
      <c r="BU695" s="11"/>
      <c r="BV695" s="11"/>
      <c r="BW695" s="11"/>
      <c r="BX695" s="11"/>
      <c r="BY695" s="11"/>
      <c r="BZ695" s="11"/>
      <c r="CA695" s="11"/>
      <c r="CB695" s="11"/>
      <c r="CC695" s="11"/>
      <c r="CD695" s="11"/>
    </row>
    <row r="696" ht="15.75" customHeight="1">
      <c r="BP696" s="34"/>
      <c r="BQ696" s="11"/>
      <c r="BR696" s="11"/>
      <c r="BS696" s="11"/>
      <c r="BT696" s="11"/>
      <c r="BU696" s="11"/>
      <c r="BV696" s="11"/>
      <c r="BW696" s="11"/>
      <c r="BX696" s="11"/>
      <c r="BY696" s="11"/>
      <c r="BZ696" s="11"/>
      <c r="CA696" s="11"/>
      <c r="CB696" s="11"/>
      <c r="CC696" s="11"/>
      <c r="CD696" s="11"/>
    </row>
    <row r="697" ht="15.75" customHeight="1">
      <c r="BP697" s="34"/>
      <c r="BQ697" s="11"/>
      <c r="BR697" s="11"/>
      <c r="BS697" s="11"/>
      <c r="BT697" s="11"/>
      <c r="BU697" s="11"/>
      <c r="BV697" s="11"/>
      <c r="BW697" s="11"/>
      <c r="BX697" s="11"/>
      <c r="BY697" s="11"/>
      <c r="BZ697" s="11"/>
      <c r="CA697" s="11"/>
      <c r="CB697" s="11"/>
      <c r="CC697" s="11"/>
      <c r="CD697" s="11"/>
    </row>
    <row r="698" ht="15.75" customHeight="1">
      <c r="BP698" s="34"/>
      <c r="BQ698" s="11"/>
      <c r="BR698" s="11"/>
      <c r="BS698" s="11"/>
      <c r="BT698" s="11"/>
      <c r="BU698" s="11"/>
      <c r="BV698" s="11"/>
      <c r="BW698" s="11"/>
      <c r="BX698" s="11"/>
      <c r="BY698" s="11"/>
      <c r="BZ698" s="11"/>
      <c r="CA698" s="11"/>
      <c r="CB698" s="11"/>
      <c r="CC698" s="11"/>
      <c r="CD698" s="11"/>
    </row>
    <row r="699" ht="15.75" customHeight="1">
      <c r="BP699" s="34"/>
      <c r="BQ699" s="11"/>
      <c r="BR699" s="11"/>
      <c r="BS699" s="11"/>
      <c r="BT699" s="11"/>
      <c r="BU699" s="11"/>
      <c r="BV699" s="11"/>
      <c r="BW699" s="11"/>
      <c r="BX699" s="11"/>
      <c r="BY699" s="11"/>
      <c r="BZ699" s="11"/>
      <c r="CA699" s="11"/>
      <c r="CB699" s="11"/>
      <c r="CC699" s="11"/>
      <c r="CD699" s="11"/>
    </row>
    <row r="700" ht="15.75" customHeight="1">
      <c r="BP700" s="34"/>
      <c r="BQ700" s="11"/>
      <c r="BR700" s="11"/>
      <c r="BS700" s="11"/>
      <c r="BT700" s="11"/>
      <c r="BU700" s="11"/>
      <c r="BV700" s="11"/>
      <c r="BW700" s="11"/>
      <c r="BX700" s="11"/>
      <c r="BY700" s="11"/>
      <c r="BZ700" s="11"/>
      <c r="CA700" s="11"/>
      <c r="CB700" s="11"/>
      <c r="CC700" s="11"/>
      <c r="CD700" s="11"/>
    </row>
    <row r="701" ht="15.75" customHeight="1">
      <c r="BP701" s="34"/>
      <c r="BQ701" s="11"/>
      <c r="BR701" s="11"/>
      <c r="BS701" s="11"/>
      <c r="BT701" s="11"/>
      <c r="BU701" s="11"/>
      <c r="BV701" s="11"/>
      <c r="BW701" s="11"/>
      <c r="BX701" s="11"/>
      <c r="BY701" s="11"/>
      <c r="BZ701" s="11"/>
      <c r="CA701" s="11"/>
      <c r="CB701" s="11"/>
      <c r="CC701" s="11"/>
      <c r="CD701" s="11"/>
    </row>
    <row r="702" ht="15.75" customHeight="1">
      <c r="BP702" s="34"/>
      <c r="BQ702" s="11"/>
      <c r="BR702" s="11"/>
      <c r="BS702" s="11"/>
      <c r="BT702" s="11"/>
      <c r="BU702" s="11"/>
      <c r="BV702" s="11"/>
      <c r="BW702" s="11"/>
      <c r="BX702" s="11"/>
      <c r="BY702" s="11"/>
      <c r="BZ702" s="11"/>
      <c r="CA702" s="11"/>
      <c r="CB702" s="11"/>
      <c r="CC702" s="11"/>
      <c r="CD702" s="11"/>
    </row>
    <row r="703" ht="15.75" customHeight="1">
      <c r="BP703" s="34"/>
      <c r="BQ703" s="11"/>
      <c r="BR703" s="11"/>
      <c r="BS703" s="11"/>
      <c r="BT703" s="11"/>
      <c r="BU703" s="11"/>
      <c r="BV703" s="11"/>
      <c r="BW703" s="11"/>
      <c r="BX703" s="11"/>
      <c r="BY703" s="11"/>
      <c r="BZ703" s="11"/>
      <c r="CA703" s="11"/>
      <c r="CB703" s="11"/>
      <c r="CC703" s="11"/>
      <c r="CD703" s="11"/>
    </row>
    <row r="704" ht="15.75" customHeight="1">
      <c r="BP704" s="34"/>
      <c r="BQ704" s="11"/>
      <c r="BR704" s="11"/>
      <c r="BS704" s="11"/>
      <c r="BT704" s="11"/>
      <c r="BU704" s="11"/>
      <c r="BV704" s="11"/>
      <c r="BW704" s="11"/>
      <c r="BX704" s="11"/>
      <c r="BY704" s="11"/>
      <c r="BZ704" s="11"/>
      <c r="CA704" s="11"/>
      <c r="CB704" s="11"/>
      <c r="CC704" s="11"/>
      <c r="CD704" s="11"/>
    </row>
    <row r="705" ht="15.75" customHeight="1">
      <c r="BP705" s="34"/>
      <c r="BQ705" s="11"/>
      <c r="BR705" s="11"/>
      <c r="BS705" s="11"/>
      <c r="BT705" s="11"/>
      <c r="BU705" s="11"/>
      <c r="BV705" s="11"/>
      <c r="BW705" s="11"/>
      <c r="BX705" s="11"/>
      <c r="BY705" s="11"/>
      <c r="BZ705" s="11"/>
      <c r="CA705" s="11"/>
      <c r="CB705" s="11"/>
      <c r="CC705" s="11"/>
      <c r="CD705" s="11"/>
    </row>
    <row r="706" ht="15.75" customHeight="1">
      <c r="BP706" s="34"/>
      <c r="BQ706" s="11"/>
      <c r="BR706" s="11"/>
      <c r="BS706" s="11"/>
      <c r="BT706" s="11"/>
      <c r="BU706" s="11"/>
      <c r="BV706" s="11"/>
      <c r="BW706" s="11"/>
      <c r="BX706" s="11"/>
      <c r="BY706" s="11"/>
      <c r="BZ706" s="11"/>
      <c r="CA706" s="11"/>
      <c r="CB706" s="11"/>
      <c r="CC706" s="11"/>
      <c r="CD706" s="11"/>
    </row>
    <row r="707" ht="15.75" customHeight="1">
      <c r="BP707" s="34"/>
      <c r="BQ707" s="11"/>
      <c r="BR707" s="11"/>
      <c r="BS707" s="11"/>
      <c r="BT707" s="11"/>
      <c r="BU707" s="11"/>
      <c r="BV707" s="11"/>
      <c r="BW707" s="11"/>
      <c r="BX707" s="11"/>
      <c r="BY707" s="11"/>
      <c r="BZ707" s="11"/>
      <c r="CA707" s="11"/>
      <c r="CB707" s="11"/>
      <c r="CC707" s="11"/>
      <c r="CD707" s="11"/>
    </row>
    <row r="708" ht="15.75" customHeight="1">
      <c r="BP708" s="34"/>
      <c r="BQ708" s="11"/>
      <c r="BR708" s="11"/>
      <c r="BS708" s="11"/>
      <c r="BT708" s="11"/>
      <c r="BU708" s="11"/>
      <c r="BV708" s="11"/>
      <c r="BW708" s="11"/>
      <c r="BX708" s="11"/>
      <c r="BY708" s="11"/>
      <c r="BZ708" s="11"/>
      <c r="CA708" s="11"/>
      <c r="CB708" s="11"/>
      <c r="CC708" s="11"/>
      <c r="CD708" s="11"/>
    </row>
    <row r="709" ht="15.75" customHeight="1">
      <c r="BP709" s="34"/>
      <c r="BQ709" s="11"/>
      <c r="BR709" s="11"/>
      <c r="BS709" s="11"/>
      <c r="BT709" s="11"/>
      <c r="BU709" s="11"/>
      <c r="BV709" s="11"/>
      <c r="BW709" s="11"/>
      <c r="BX709" s="11"/>
      <c r="BY709" s="11"/>
      <c r="BZ709" s="11"/>
      <c r="CA709" s="11"/>
      <c r="CB709" s="11"/>
      <c r="CC709" s="11"/>
      <c r="CD709" s="11"/>
    </row>
    <row r="710" ht="15.75" customHeight="1">
      <c r="BP710" s="34"/>
      <c r="BQ710" s="11"/>
      <c r="BR710" s="11"/>
      <c r="BS710" s="11"/>
      <c r="BT710" s="11"/>
      <c r="BU710" s="11"/>
      <c r="BV710" s="11"/>
      <c r="BW710" s="11"/>
      <c r="BX710" s="11"/>
      <c r="BY710" s="11"/>
      <c r="BZ710" s="11"/>
      <c r="CA710" s="11"/>
      <c r="CB710" s="11"/>
      <c r="CC710" s="11"/>
      <c r="CD710" s="11"/>
    </row>
    <row r="711" ht="15.75" customHeight="1">
      <c r="BP711" s="34"/>
      <c r="BQ711" s="11"/>
      <c r="BR711" s="11"/>
      <c r="BS711" s="11"/>
      <c r="BT711" s="11"/>
      <c r="BU711" s="11"/>
      <c r="BV711" s="11"/>
      <c r="BW711" s="11"/>
      <c r="BX711" s="11"/>
      <c r="BY711" s="11"/>
      <c r="BZ711" s="11"/>
      <c r="CA711" s="11"/>
      <c r="CB711" s="11"/>
      <c r="CC711" s="11"/>
      <c r="CD711" s="11"/>
    </row>
    <row r="712" ht="15.75" customHeight="1">
      <c r="BP712" s="34"/>
      <c r="BQ712" s="11"/>
      <c r="BR712" s="11"/>
      <c r="BS712" s="11"/>
      <c r="BT712" s="11"/>
      <c r="BU712" s="11"/>
      <c r="BV712" s="11"/>
      <c r="BW712" s="11"/>
      <c r="BX712" s="11"/>
      <c r="BY712" s="11"/>
      <c r="BZ712" s="11"/>
      <c r="CA712" s="11"/>
      <c r="CB712" s="11"/>
      <c r="CC712" s="11"/>
      <c r="CD712" s="11"/>
    </row>
    <row r="713" ht="15.75" customHeight="1">
      <c r="BP713" s="34"/>
      <c r="BQ713" s="11"/>
      <c r="BR713" s="11"/>
      <c r="BS713" s="11"/>
      <c r="BT713" s="11"/>
      <c r="BU713" s="11"/>
      <c r="BV713" s="11"/>
      <c r="BW713" s="11"/>
      <c r="BX713" s="11"/>
      <c r="BY713" s="11"/>
      <c r="BZ713" s="11"/>
      <c r="CA713" s="11"/>
      <c r="CB713" s="11"/>
      <c r="CC713" s="11"/>
      <c r="CD713" s="11"/>
    </row>
    <row r="714" ht="15.75" customHeight="1">
      <c r="BP714" s="34"/>
      <c r="BQ714" s="11"/>
      <c r="BR714" s="11"/>
      <c r="BS714" s="11"/>
      <c r="BT714" s="11"/>
      <c r="BU714" s="11"/>
      <c r="BV714" s="11"/>
      <c r="BW714" s="11"/>
      <c r="BX714" s="11"/>
      <c r="BY714" s="11"/>
      <c r="BZ714" s="11"/>
      <c r="CA714" s="11"/>
      <c r="CB714" s="11"/>
      <c r="CC714" s="11"/>
      <c r="CD714" s="11"/>
    </row>
    <row r="715" ht="15.75" customHeight="1">
      <c r="BP715" s="34"/>
      <c r="BQ715" s="11"/>
      <c r="BR715" s="11"/>
      <c r="BS715" s="11"/>
      <c r="BT715" s="11"/>
      <c r="BU715" s="11"/>
      <c r="BV715" s="11"/>
      <c r="BW715" s="11"/>
      <c r="BX715" s="11"/>
      <c r="BY715" s="11"/>
      <c r="BZ715" s="11"/>
      <c r="CA715" s="11"/>
      <c r="CB715" s="11"/>
      <c r="CC715" s="11"/>
      <c r="CD715" s="11"/>
    </row>
    <row r="716" ht="15.75" customHeight="1">
      <c r="BP716" s="34"/>
      <c r="BQ716" s="11"/>
      <c r="BR716" s="11"/>
      <c r="BS716" s="11"/>
      <c r="BT716" s="11"/>
      <c r="BU716" s="11"/>
      <c r="BV716" s="11"/>
      <c r="BW716" s="11"/>
      <c r="BX716" s="11"/>
      <c r="BY716" s="11"/>
      <c r="BZ716" s="11"/>
      <c r="CA716" s="11"/>
      <c r="CB716" s="11"/>
      <c r="CC716" s="11"/>
      <c r="CD716" s="11"/>
    </row>
    <row r="717" ht="15.75" customHeight="1">
      <c r="BP717" s="34"/>
      <c r="BQ717" s="11"/>
      <c r="BR717" s="11"/>
      <c r="BS717" s="11"/>
      <c r="BT717" s="11"/>
      <c r="BU717" s="11"/>
      <c r="BV717" s="11"/>
      <c r="BW717" s="11"/>
      <c r="BX717" s="11"/>
      <c r="BY717" s="11"/>
      <c r="BZ717" s="11"/>
      <c r="CA717" s="11"/>
      <c r="CB717" s="11"/>
      <c r="CC717" s="11"/>
      <c r="CD717" s="11"/>
    </row>
    <row r="718" ht="15.75" customHeight="1">
      <c r="BP718" s="34"/>
      <c r="BQ718" s="11"/>
      <c r="BR718" s="11"/>
      <c r="BS718" s="11"/>
      <c r="BT718" s="11"/>
      <c r="BU718" s="11"/>
      <c r="BV718" s="11"/>
      <c r="BW718" s="11"/>
      <c r="BX718" s="11"/>
      <c r="BY718" s="11"/>
      <c r="BZ718" s="11"/>
      <c r="CA718" s="11"/>
      <c r="CB718" s="11"/>
      <c r="CC718" s="11"/>
      <c r="CD718" s="11"/>
    </row>
    <row r="719" ht="15.75" customHeight="1">
      <c r="BP719" s="34"/>
      <c r="BQ719" s="11"/>
      <c r="BR719" s="11"/>
      <c r="BS719" s="11"/>
      <c r="BT719" s="11"/>
      <c r="BU719" s="11"/>
      <c r="BV719" s="11"/>
      <c r="BW719" s="11"/>
      <c r="BX719" s="11"/>
      <c r="BY719" s="11"/>
      <c r="BZ719" s="11"/>
      <c r="CA719" s="11"/>
      <c r="CB719" s="11"/>
      <c r="CC719" s="11"/>
      <c r="CD719" s="11"/>
    </row>
    <row r="720" ht="15.75" customHeight="1">
      <c r="BP720" s="34"/>
      <c r="BQ720" s="11"/>
      <c r="BR720" s="11"/>
      <c r="BS720" s="11"/>
      <c r="BT720" s="11"/>
      <c r="BU720" s="11"/>
      <c r="BV720" s="11"/>
      <c r="BW720" s="11"/>
      <c r="BX720" s="11"/>
      <c r="BY720" s="11"/>
      <c r="BZ720" s="11"/>
      <c r="CA720" s="11"/>
      <c r="CB720" s="11"/>
      <c r="CC720" s="11"/>
      <c r="CD720" s="11"/>
    </row>
    <row r="721" ht="15.75" customHeight="1">
      <c r="BP721" s="34"/>
      <c r="BQ721" s="11"/>
      <c r="BR721" s="11"/>
      <c r="BS721" s="11"/>
      <c r="BT721" s="11"/>
      <c r="BU721" s="11"/>
      <c r="BV721" s="11"/>
      <c r="BW721" s="11"/>
      <c r="BX721" s="11"/>
      <c r="BY721" s="11"/>
      <c r="BZ721" s="11"/>
      <c r="CA721" s="11"/>
      <c r="CB721" s="11"/>
      <c r="CC721" s="11"/>
      <c r="CD721" s="11"/>
    </row>
    <row r="722" ht="15.75" customHeight="1">
      <c r="BP722" s="34"/>
      <c r="BQ722" s="11"/>
      <c r="BR722" s="11"/>
      <c r="BS722" s="11"/>
      <c r="BT722" s="11"/>
      <c r="BU722" s="11"/>
      <c r="BV722" s="11"/>
      <c r="BW722" s="11"/>
      <c r="BX722" s="11"/>
      <c r="BY722" s="11"/>
      <c r="BZ722" s="11"/>
      <c r="CA722" s="11"/>
      <c r="CB722" s="11"/>
      <c r="CC722" s="11"/>
      <c r="CD722" s="11"/>
    </row>
    <row r="723" ht="15.75" customHeight="1">
      <c r="BP723" s="34"/>
      <c r="BQ723" s="11"/>
      <c r="BR723" s="11"/>
      <c r="BS723" s="11"/>
      <c r="BT723" s="11"/>
      <c r="BU723" s="11"/>
      <c r="BV723" s="11"/>
      <c r="BW723" s="11"/>
      <c r="BX723" s="11"/>
      <c r="BY723" s="11"/>
      <c r="BZ723" s="11"/>
      <c r="CA723" s="11"/>
      <c r="CB723" s="11"/>
      <c r="CC723" s="11"/>
      <c r="CD723" s="11"/>
    </row>
    <row r="724" ht="15.75" customHeight="1">
      <c r="BP724" s="34"/>
      <c r="BQ724" s="11"/>
      <c r="BR724" s="11"/>
      <c r="BS724" s="11"/>
      <c r="BT724" s="11"/>
      <c r="BU724" s="11"/>
      <c r="BV724" s="11"/>
      <c r="BW724" s="11"/>
      <c r="BX724" s="11"/>
      <c r="BY724" s="11"/>
      <c r="BZ724" s="11"/>
      <c r="CA724" s="11"/>
      <c r="CB724" s="11"/>
      <c r="CC724" s="11"/>
      <c r="CD724" s="11"/>
    </row>
    <row r="725" ht="15.75" customHeight="1">
      <c r="BP725" s="34"/>
      <c r="BQ725" s="11"/>
      <c r="BR725" s="11"/>
      <c r="BS725" s="11"/>
      <c r="BT725" s="11"/>
      <c r="BU725" s="11"/>
      <c r="BV725" s="11"/>
      <c r="BW725" s="11"/>
      <c r="BX725" s="11"/>
      <c r="BY725" s="11"/>
      <c r="BZ725" s="11"/>
      <c r="CA725" s="11"/>
      <c r="CB725" s="11"/>
      <c r="CC725" s="11"/>
      <c r="CD725" s="11"/>
    </row>
    <row r="726" ht="15.75" customHeight="1">
      <c r="BP726" s="34"/>
      <c r="BQ726" s="11"/>
      <c r="BR726" s="11"/>
      <c r="BS726" s="11"/>
      <c r="BT726" s="11"/>
      <c r="BU726" s="11"/>
      <c r="BV726" s="11"/>
      <c r="BW726" s="11"/>
      <c r="BX726" s="11"/>
      <c r="BY726" s="11"/>
      <c r="BZ726" s="11"/>
      <c r="CA726" s="11"/>
      <c r="CB726" s="11"/>
      <c r="CC726" s="11"/>
      <c r="CD726" s="11"/>
    </row>
    <row r="727" ht="15.75" customHeight="1">
      <c r="BP727" s="34"/>
      <c r="BQ727" s="11"/>
      <c r="BR727" s="11"/>
      <c r="BS727" s="11"/>
      <c r="BT727" s="11"/>
      <c r="BU727" s="11"/>
      <c r="BV727" s="11"/>
      <c r="BW727" s="11"/>
      <c r="BX727" s="11"/>
      <c r="BY727" s="11"/>
      <c r="BZ727" s="11"/>
      <c r="CA727" s="11"/>
      <c r="CB727" s="11"/>
      <c r="CC727" s="11"/>
      <c r="CD727" s="11"/>
    </row>
    <row r="728" ht="15.75" customHeight="1">
      <c r="BP728" s="34"/>
      <c r="BQ728" s="11"/>
      <c r="BR728" s="11"/>
      <c r="BS728" s="11"/>
      <c r="BT728" s="11"/>
      <c r="BU728" s="11"/>
      <c r="BV728" s="11"/>
      <c r="BW728" s="11"/>
      <c r="BX728" s="11"/>
      <c r="BY728" s="11"/>
      <c r="BZ728" s="11"/>
      <c r="CA728" s="11"/>
      <c r="CB728" s="11"/>
      <c r="CC728" s="11"/>
      <c r="CD728" s="11"/>
    </row>
    <row r="729" ht="15.75" customHeight="1">
      <c r="BP729" s="34"/>
      <c r="BQ729" s="11"/>
      <c r="BR729" s="11"/>
      <c r="BS729" s="11"/>
      <c r="BT729" s="11"/>
      <c r="BU729" s="11"/>
      <c r="BV729" s="11"/>
      <c r="BW729" s="11"/>
      <c r="BX729" s="11"/>
      <c r="BY729" s="11"/>
      <c r="BZ729" s="11"/>
      <c r="CA729" s="11"/>
      <c r="CB729" s="11"/>
      <c r="CC729" s="11"/>
      <c r="CD729" s="11"/>
    </row>
    <row r="730" ht="15.75" customHeight="1">
      <c r="BP730" s="34"/>
      <c r="BQ730" s="11"/>
      <c r="BR730" s="11"/>
      <c r="BS730" s="11"/>
      <c r="BT730" s="11"/>
      <c r="BU730" s="11"/>
      <c r="BV730" s="11"/>
      <c r="BW730" s="11"/>
      <c r="BX730" s="11"/>
      <c r="BY730" s="11"/>
      <c r="BZ730" s="11"/>
      <c r="CA730" s="11"/>
      <c r="CB730" s="11"/>
      <c r="CC730" s="11"/>
      <c r="CD730" s="11"/>
    </row>
    <row r="731" ht="15.75" customHeight="1">
      <c r="BP731" s="34"/>
      <c r="BQ731" s="11"/>
      <c r="BR731" s="11"/>
      <c r="BS731" s="11"/>
      <c r="BT731" s="11"/>
      <c r="BU731" s="11"/>
      <c r="BV731" s="11"/>
      <c r="BW731" s="11"/>
      <c r="BX731" s="11"/>
      <c r="BY731" s="11"/>
      <c r="BZ731" s="11"/>
      <c r="CA731" s="11"/>
      <c r="CB731" s="11"/>
      <c r="CC731" s="11"/>
      <c r="CD731" s="11"/>
    </row>
    <row r="732" ht="15.75" customHeight="1">
      <c r="BP732" s="34"/>
      <c r="BQ732" s="11"/>
      <c r="BR732" s="11"/>
      <c r="BS732" s="11"/>
      <c r="BT732" s="11"/>
      <c r="BU732" s="11"/>
      <c r="BV732" s="11"/>
      <c r="BW732" s="11"/>
      <c r="BX732" s="11"/>
      <c r="BY732" s="11"/>
      <c r="BZ732" s="11"/>
      <c r="CA732" s="11"/>
      <c r="CB732" s="11"/>
      <c r="CC732" s="11"/>
      <c r="CD732" s="11"/>
    </row>
    <row r="733" ht="15.75" customHeight="1">
      <c r="BP733" s="34"/>
      <c r="BQ733" s="11"/>
      <c r="BR733" s="11"/>
      <c r="BS733" s="11"/>
      <c r="BT733" s="11"/>
      <c r="BU733" s="11"/>
      <c r="BV733" s="11"/>
      <c r="BW733" s="11"/>
      <c r="BX733" s="11"/>
      <c r="BY733" s="11"/>
      <c r="BZ733" s="11"/>
      <c r="CA733" s="11"/>
      <c r="CB733" s="11"/>
      <c r="CC733" s="11"/>
      <c r="CD733" s="11"/>
    </row>
    <row r="734" ht="15.75" customHeight="1">
      <c r="BP734" s="34"/>
      <c r="BQ734" s="11"/>
      <c r="BR734" s="11"/>
      <c r="BS734" s="11"/>
      <c r="BT734" s="11"/>
      <c r="BU734" s="11"/>
      <c r="BV734" s="11"/>
      <c r="BW734" s="11"/>
      <c r="BX734" s="11"/>
      <c r="BY734" s="11"/>
      <c r="BZ734" s="11"/>
      <c r="CA734" s="11"/>
      <c r="CB734" s="11"/>
      <c r="CC734" s="11"/>
      <c r="CD734" s="11"/>
    </row>
    <row r="735" ht="15.75" customHeight="1">
      <c r="BP735" s="34"/>
      <c r="BQ735" s="11"/>
      <c r="BR735" s="11"/>
      <c r="BS735" s="11"/>
      <c r="BT735" s="11"/>
      <c r="BU735" s="11"/>
      <c r="BV735" s="11"/>
      <c r="BW735" s="11"/>
      <c r="BX735" s="11"/>
      <c r="BY735" s="11"/>
      <c r="BZ735" s="11"/>
      <c r="CA735" s="11"/>
      <c r="CB735" s="11"/>
      <c r="CC735" s="11"/>
      <c r="CD735" s="11"/>
    </row>
    <row r="736" ht="15.75" customHeight="1">
      <c r="BP736" s="34"/>
      <c r="BQ736" s="11"/>
      <c r="BR736" s="11"/>
      <c r="BS736" s="11"/>
      <c r="BT736" s="11"/>
      <c r="BU736" s="11"/>
      <c r="BV736" s="11"/>
      <c r="BW736" s="11"/>
      <c r="BX736" s="11"/>
      <c r="BY736" s="11"/>
      <c r="BZ736" s="11"/>
      <c r="CA736" s="11"/>
      <c r="CB736" s="11"/>
      <c r="CC736" s="11"/>
      <c r="CD736" s="11"/>
    </row>
    <row r="737" ht="15.75" customHeight="1">
      <c r="BP737" s="34"/>
      <c r="BQ737" s="11"/>
      <c r="BR737" s="11"/>
      <c r="BS737" s="11"/>
      <c r="BT737" s="11"/>
      <c r="BU737" s="11"/>
      <c r="BV737" s="11"/>
      <c r="BW737" s="11"/>
      <c r="BX737" s="11"/>
      <c r="BY737" s="11"/>
      <c r="BZ737" s="11"/>
      <c r="CA737" s="11"/>
      <c r="CB737" s="11"/>
      <c r="CC737" s="11"/>
      <c r="CD737" s="11"/>
    </row>
    <row r="738" ht="15.75" customHeight="1">
      <c r="BP738" s="34"/>
      <c r="BQ738" s="11"/>
      <c r="BR738" s="11"/>
      <c r="BS738" s="11"/>
      <c r="BT738" s="11"/>
      <c r="BU738" s="11"/>
      <c r="BV738" s="11"/>
      <c r="BW738" s="11"/>
      <c r="BX738" s="11"/>
      <c r="BY738" s="11"/>
      <c r="BZ738" s="11"/>
      <c r="CA738" s="11"/>
      <c r="CB738" s="11"/>
      <c r="CC738" s="11"/>
      <c r="CD738" s="11"/>
    </row>
    <row r="739" ht="15.75" customHeight="1">
      <c r="BP739" s="34"/>
      <c r="BQ739" s="11"/>
      <c r="BR739" s="11"/>
      <c r="BS739" s="11"/>
      <c r="BT739" s="11"/>
      <c r="BU739" s="11"/>
      <c r="BV739" s="11"/>
      <c r="BW739" s="11"/>
      <c r="BX739" s="11"/>
      <c r="BY739" s="11"/>
      <c r="BZ739" s="11"/>
      <c r="CA739" s="11"/>
      <c r="CB739" s="11"/>
      <c r="CC739" s="11"/>
      <c r="CD739" s="11"/>
    </row>
    <row r="740" ht="15.75" customHeight="1">
      <c r="BP740" s="34"/>
      <c r="BQ740" s="11"/>
      <c r="BR740" s="11"/>
      <c r="BS740" s="11"/>
      <c r="BT740" s="11"/>
      <c r="BU740" s="11"/>
      <c r="BV740" s="11"/>
      <c r="BW740" s="11"/>
      <c r="BX740" s="11"/>
      <c r="BY740" s="11"/>
      <c r="BZ740" s="11"/>
      <c r="CA740" s="11"/>
      <c r="CB740" s="11"/>
      <c r="CC740" s="11"/>
      <c r="CD740" s="11"/>
    </row>
    <row r="741" ht="15.75" customHeight="1">
      <c r="BP741" s="34"/>
      <c r="BQ741" s="11"/>
      <c r="BR741" s="11"/>
      <c r="BS741" s="11"/>
      <c r="BT741" s="11"/>
      <c r="BU741" s="11"/>
      <c r="BV741" s="11"/>
      <c r="BW741" s="11"/>
      <c r="BX741" s="11"/>
      <c r="BY741" s="11"/>
      <c r="BZ741" s="11"/>
      <c r="CA741" s="11"/>
      <c r="CB741" s="11"/>
      <c r="CC741" s="11"/>
      <c r="CD741" s="11"/>
    </row>
    <row r="742" ht="15.75" customHeight="1">
      <c r="BP742" s="34"/>
      <c r="BQ742" s="11"/>
      <c r="BR742" s="11"/>
      <c r="BS742" s="11"/>
      <c r="BT742" s="11"/>
      <c r="BU742" s="11"/>
      <c r="BV742" s="11"/>
      <c r="BW742" s="11"/>
      <c r="BX742" s="11"/>
      <c r="BY742" s="11"/>
      <c r="BZ742" s="11"/>
      <c r="CA742" s="11"/>
      <c r="CB742" s="11"/>
      <c r="CC742" s="11"/>
      <c r="CD742" s="11"/>
    </row>
    <row r="743" ht="15.75" customHeight="1">
      <c r="BP743" s="34"/>
      <c r="BQ743" s="11"/>
      <c r="BR743" s="11"/>
      <c r="BS743" s="11"/>
      <c r="BT743" s="11"/>
      <c r="BU743" s="11"/>
      <c r="BV743" s="11"/>
      <c r="BW743" s="11"/>
      <c r="BX743" s="11"/>
      <c r="BY743" s="11"/>
      <c r="BZ743" s="11"/>
      <c r="CA743" s="11"/>
      <c r="CB743" s="11"/>
      <c r="CC743" s="11"/>
      <c r="CD743" s="11"/>
    </row>
    <row r="744" ht="15.75" customHeight="1">
      <c r="BP744" s="34"/>
      <c r="BQ744" s="11"/>
      <c r="BR744" s="11"/>
      <c r="BS744" s="11"/>
      <c r="BT744" s="11"/>
      <c r="BU744" s="11"/>
      <c r="BV744" s="11"/>
      <c r="BW744" s="11"/>
      <c r="BX744" s="11"/>
      <c r="BY744" s="11"/>
      <c r="BZ744" s="11"/>
      <c r="CA744" s="11"/>
      <c r="CB744" s="11"/>
      <c r="CC744" s="11"/>
      <c r="CD744" s="11"/>
    </row>
    <row r="745" ht="15.75" customHeight="1">
      <c r="BP745" s="34"/>
      <c r="BQ745" s="11"/>
      <c r="BR745" s="11"/>
      <c r="BS745" s="11"/>
      <c r="BT745" s="11"/>
      <c r="BU745" s="11"/>
      <c r="BV745" s="11"/>
      <c r="BW745" s="11"/>
      <c r="BX745" s="11"/>
      <c r="BY745" s="11"/>
      <c r="BZ745" s="11"/>
      <c r="CA745" s="11"/>
      <c r="CB745" s="11"/>
      <c r="CC745" s="11"/>
      <c r="CD745" s="11"/>
    </row>
    <row r="746" ht="15.75" customHeight="1">
      <c r="BP746" s="34"/>
      <c r="BQ746" s="11"/>
      <c r="BR746" s="11"/>
      <c r="BS746" s="11"/>
      <c r="BT746" s="11"/>
      <c r="BU746" s="11"/>
      <c r="BV746" s="11"/>
      <c r="BW746" s="11"/>
      <c r="BX746" s="11"/>
      <c r="BY746" s="11"/>
      <c r="BZ746" s="11"/>
      <c r="CA746" s="11"/>
      <c r="CB746" s="11"/>
      <c r="CC746" s="11"/>
      <c r="CD746" s="11"/>
    </row>
    <row r="747" ht="15.75" customHeight="1">
      <c r="BP747" s="34"/>
      <c r="BQ747" s="11"/>
      <c r="BR747" s="11"/>
      <c r="BS747" s="11"/>
      <c r="BT747" s="11"/>
      <c r="BU747" s="11"/>
      <c r="BV747" s="11"/>
      <c r="BW747" s="11"/>
      <c r="BX747" s="11"/>
      <c r="BY747" s="11"/>
      <c r="BZ747" s="11"/>
      <c r="CA747" s="11"/>
      <c r="CB747" s="11"/>
      <c r="CC747" s="11"/>
      <c r="CD747" s="11"/>
    </row>
    <row r="748" ht="15.75" customHeight="1">
      <c r="BP748" s="34"/>
      <c r="BQ748" s="11"/>
      <c r="BR748" s="11"/>
      <c r="BS748" s="11"/>
      <c r="BT748" s="11"/>
      <c r="BU748" s="11"/>
      <c r="BV748" s="11"/>
      <c r="BW748" s="11"/>
      <c r="BX748" s="11"/>
      <c r="BY748" s="11"/>
      <c r="BZ748" s="11"/>
      <c r="CA748" s="11"/>
      <c r="CB748" s="11"/>
      <c r="CC748" s="11"/>
      <c r="CD748" s="11"/>
    </row>
    <row r="749" ht="15.75" customHeight="1">
      <c r="BP749" s="34"/>
      <c r="BQ749" s="11"/>
      <c r="BR749" s="11"/>
      <c r="BS749" s="11"/>
      <c r="BT749" s="11"/>
      <c r="BU749" s="11"/>
      <c r="BV749" s="11"/>
      <c r="BW749" s="11"/>
      <c r="BX749" s="11"/>
      <c r="BY749" s="11"/>
      <c r="BZ749" s="11"/>
      <c r="CA749" s="11"/>
      <c r="CB749" s="11"/>
      <c r="CC749" s="11"/>
      <c r="CD749" s="11"/>
    </row>
    <row r="750" ht="15.75" customHeight="1">
      <c r="BP750" s="34"/>
      <c r="BQ750" s="11"/>
      <c r="BR750" s="11"/>
      <c r="BS750" s="11"/>
      <c r="BT750" s="11"/>
      <c r="BU750" s="11"/>
      <c r="BV750" s="11"/>
      <c r="BW750" s="11"/>
      <c r="BX750" s="11"/>
      <c r="BY750" s="11"/>
      <c r="BZ750" s="11"/>
      <c r="CA750" s="11"/>
      <c r="CB750" s="11"/>
      <c r="CC750" s="11"/>
      <c r="CD750" s="11"/>
    </row>
    <row r="751" ht="15.75" customHeight="1">
      <c r="BP751" s="34"/>
      <c r="BQ751" s="11"/>
      <c r="BR751" s="11"/>
      <c r="BS751" s="11"/>
      <c r="BT751" s="11"/>
      <c r="BU751" s="11"/>
      <c r="BV751" s="11"/>
      <c r="BW751" s="11"/>
      <c r="BX751" s="11"/>
      <c r="BY751" s="11"/>
      <c r="BZ751" s="11"/>
      <c r="CA751" s="11"/>
      <c r="CB751" s="11"/>
      <c r="CC751" s="11"/>
      <c r="CD751" s="11"/>
    </row>
    <row r="752" ht="15.75" customHeight="1">
      <c r="BP752" s="34"/>
      <c r="BQ752" s="11"/>
      <c r="BR752" s="11"/>
      <c r="BS752" s="11"/>
      <c r="BT752" s="11"/>
      <c r="BU752" s="11"/>
      <c r="BV752" s="11"/>
      <c r="BW752" s="11"/>
      <c r="BX752" s="11"/>
      <c r="BY752" s="11"/>
      <c r="BZ752" s="11"/>
      <c r="CA752" s="11"/>
      <c r="CB752" s="11"/>
      <c r="CC752" s="11"/>
      <c r="CD752" s="11"/>
    </row>
    <row r="753" ht="15.75" customHeight="1">
      <c r="BP753" s="34"/>
      <c r="BQ753" s="11"/>
      <c r="BR753" s="11"/>
      <c r="BS753" s="11"/>
      <c r="BT753" s="11"/>
      <c r="BU753" s="11"/>
      <c r="BV753" s="11"/>
      <c r="BW753" s="11"/>
      <c r="BX753" s="11"/>
      <c r="BY753" s="11"/>
      <c r="BZ753" s="11"/>
      <c r="CA753" s="11"/>
      <c r="CB753" s="11"/>
      <c r="CC753" s="11"/>
      <c r="CD753" s="11"/>
    </row>
    <row r="754" ht="15.75" customHeight="1">
      <c r="BP754" s="34"/>
      <c r="BQ754" s="11"/>
      <c r="BR754" s="11"/>
      <c r="BS754" s="11"/>
      <c r="BT754" s="11"/>
      <c r="BU754" s="11"/>
      <c r="BV754" s="11"/>
      <c r="BW754" s="11"/>
      <c r="BX754" s="11"/>
      <c r="BY754" s="11"/>
      <c r="BZ754" s="11"/>
      <c r="CA754" s="11"/>
      <c r="CB754" s="11"/>
      <c r="CC754" s="11"/>
      <c r="CD754" s="11"/>
    </row>
    <row r="755" ht="15.75" customHeight="1">
      <c r="BP755" s="34"/>
      <c r="BQ755" s="11"/>
      <c r="BR755" s="11"/>
      <c r="BS755" s="11"/>
      <c r="BT755" s="11"/>
      <c r="BU755" s="11"/>
      <c r="BV755" s="11"/>
      <c r="BW755" s="11"/>
      <c r="BX755" s="11"/>
      <c r="BY755" s="11"/>
      <c r="BZ755" s="11"/>
      <c r="CA755" s="11"/>
      <c r="CB755" s="11"/>
      <c r="CC755" s="11"/>
      <c r="CD755" s="11"/>
    </row>
    <row r="756" ht="15.75" customHeight="1">
      <c r="BP756" s="34"/>
      <c r="BQ756" s="11"/>
      <c r="BR756" s="11"/>
      <c r="BS756" s="11"/>
      <c r="BT756" s="11"/>
      <c r="BU756" s="11"/>
      <c r="BV756" s="11"/>
      <c r="BW756" s="11"/>
      <c r="BX756" s="11"/>
      <c r="BY756" s="11"/>
      <c r="BZ756" s="11"/>
      <c r="CA756" s="11"/>
      <c r="CB756" s="11"/>
      <c r="CC756" s="11"/>
      <c r="CD756" s="11"/>
    </row>
    <row r="757" ht="15.75" customHeight="1">
      <c r="BP757" s="34"/>
      <c r="BQ757" s="11"/>
      <c r="BR757" s="11"/>
      <c r="BS757" s="11"/>
      <c r="BT757" s="11"/>
      <c r="BU757" s="11"/>
      <c r="BV757" s="11"/>
      <c r="BW757" s="11"/>
      <c r="BX757" s="11"/>
      <c r="BY757" s="11"/>
      <c r="BZ757" s="11"/>
      <c r="CA757" s="11"/>
      <c r="CB757" s="11"/>
      <c r="CC757" s="11"/>
      <c r="CD757" s="11"/>
    </row>
    <row r="758" ht="15.75" customHeight="1">
      <c r="BP758" s="34"/>
      <c r="BQ758" s="11"/>
      <c r="BR758" s="11"/>
      <c r="BS758" s="11"/>
      <c r="BT758" s="11"/>
      <c r="BU758" s="11"/>
      <c r="BV758" s="11"/>
      <c r="BW758" s="11"/>
      <c r="BX758" s="11"/>
      <c r="BY758" s="11"/>
      <c r="BZ758" s="11"/>
      <c r="CA758" s="11"/>
      <c r="CB758" s="11"/>
      <c r="CC758" s="11"/>
      <c r="CD758" s="11"/>
    </row>
    <row r="759" ht="15.75" customHeight="1">
      <c r="BP759" s="34"/>
      <c r="BQ759" s="11"/>
      <c r="BR759" s="11"/>
      <c r="BS759" s="11"/>
      <c r="BT759" s="11"/>
      <c r="BU759" s="11"/>
      <c r="BV759" s="11"/>
      <c r="BW759" s="11"/>
      <c r="BX759" s="11"/>
      <c r="BY759" s="11"/>
      <c r="BZ759" s="11"/>
      <c r="CA759" s="11"/>
      <c r="CB759" s="11"/>
      <c r="CC759" s="11"/>
      <c r="CD759" s="11"/>
    </row>
    <row r="760" ht="15.75" customHeight="1">
      <c r="BP760" s="34"/>
      <c r="BQ760" s="11"/>
      <c r="BR760" s="11"/>
      <c r="BS760" s="11"/>
      <c r="BT760" s="11"/>
      <c r="BU760" s="11"/>
      <c r="BV760" s="11"/>
      <c r="BW760" s="11"/>
      <c r="BX760" s="11"/>
      <c r="BY760" s="11"/>
      <c r="BZ760" s="11"/>
      <c r="CA760" s="11"/>
      <c r="CB760" s="11"/>
      <c r="CC760" s="11"/>
      <c r="CD760" s="11"/>
    </row>
    <row r="761" ht="15.75" customHeight="1">
      <c r="BP761" s="34"/>
      <c r="BQ761" s="11"/>
      <c r="BR761" s="11"/>
      <c r="BS761" s="11"/>
      <c r="BT761" s="11"/>
      <c r="BU761" s="11"/>
      <c r="BV761" s="11"/>
      <c r="BW761" s="11"/>
      <c r="BX761" s="11"/>
      <c r="BY761" s="11"/>
      <c r="BZ761" s="11"/>
      <c r="CA761" s="11"/>
      <c r="CB761" s="11"/>
      <c r="CC761" s="11"/>
      <c r="CD761" s="11"/>
    </row>
    <row r="762" ht="15.75" customHeight="1">
      <c r="BP762" s="34"/>
      <c r="BQ762" s="11"/>
      <c r="BR762" s="11"/>
      <c r="BS762" s="11"/>
      <c r="BT762" s="11"/>
      <c r="BU762" s="11"/>
      <c r="BV762" s="11"/>
      <c r="BW762" s="11"/>
      <c r="BX762" s="11"/>
      <c r="BY762" s="11"/>
      <c r="BZ762" s="11"/>
      <c r="CA762" s="11"/>
      <c r="CB762" s="11"/>
      <c r="CC762" s="11"/>
      <c r="CD762" s="11"/>
    </row>
    <row r="763" ht="15.75" customHeight="1">
      <c r="BP763" s="34"/>
      <c r="BQ763" s="11"/>
      <c r="BR763" s="11"/>
      <c r="BS763" s="11"/>
      <c r="BT763" s="11"/>
      <c r="BU763" s="11"/>
      <c r="BV763" s="11"/>
      <c r="BW763" s="11"/>
      <c r="BX763" s="11"/>
      <c r="BY763" s="11"/>
      <c r="BZ763" s="11"/>
      <c r="CA763" s="11"/>
      <c r="CB763" s="11"/>
      <c r="CC763" s="11"/>
      <c r="CD763" s="11"/>
    </row>
    <row r="764" ht="15.75" customHeight="1">
      <c r="BP764" s="34"/>
      <c r="BQ764" s="11"/>
      <c r="BR764" s="11"/>
      <c r="BS764" s="11"/>
      <c r="BT764" s="11"/>
      <c r="BU764" s="11"/>
      <c r="BV764" s="11"/>
      <c r="BW764" s="11"/>
      <c r="BX764" s="11"/>
      <c r="BY764" s="11"/>
      <c r="BZ764" s="11"/>
      <c r="CA764" s="11"/>
      <c r="CB764" s="11"/>
      <c r="CC764" s="11"/>
      <c r="CD764" s="11"/>
    </row>
    <row r="765" ht="15.75" customHeight="1">
      <c r="BP765" s="34"/>
      <c r="BQ765" s="11"/>
      <c r="BR765" s="11"/>
      <c r="BS765" s="11"/>
      <c r="BT765" s="11"/>
      <c r="BU765" s="11"/>
      <c r="BV765" s="11"/>
      <c r="BW765" s="11"/>
      <c r="BX765" s="11"/>
      <c r="BY765" s="11"/>
      <c r="BZ765" s="11"/>
      <c r="CA765" s="11"/>
      <c r="CB765" s="11"/>
      <c r="CC765" s="11"/>
      <c r="CD765" s="11"/>
    </row>
    <row r="766" ht="15.75" customHeight="1">
      <c r="BP766" s="34"/>
      <c r="BQ766" s="11"/>
      <c r="BR766" s="11"/>
      <c r="BS766" s="11"/>
      <c r="BT766" s="11"/>
      <c r="BU766" s="11"/>
      <c r="BV766" s="11"/>
      <c r="BW766" s="11"/>
      <c r="BX766" s="11"/>
      <c r="BY766" s="11"/>
      <c r="BZ766" s="11"/>
      <c r="CA766" s="11"/>
      <c r="CB766" s="11"/>
      <c r="CC766" s="11"/>
      <c r="CD766" s="11"/>
    </row>
    <row r="767" ht="15.75" customHeight="1">
      <c r="BP767" s="34"/>
      <c r="BQ767" s="11"/>
      <c r="BR767" s="11"/>
      <c r="BS767" s="11"/>
      <c r="BT767" s="11"/>
      <c r="BU767" s="11"/>
      <c r="BV767" s="11"/>
      <c r="BW767" s="11"/>
      <c r="BX767" s="11"/>
      <c r="BY767" s="11"/>
      <c r="BZ767" s="11"/>
      <c r="CA767" s="11"/>
      <c r="CB767" s="11"/>
      <c r="CC767" s="11"/>
      <c r="CD767" s="11"/>
    </row>
    <row r="768" ht="15.75" customHeight="1">
      <c r="BP768" s="34"/>
      <c r="BQ768" s="11"/>
      <c r="BR768" s="11"/>
      <c r="BS768" s="11"/>
      <c r="BT768" s="11"/>
      <c r="BU768" s="11"/>
      <c r="BV768" s="11"/>
      <c r="BW768" s="11"/>
      <c r="BX768" s="11"/>
      <c r="BY768" s="11"/>
      <c r="BZ768" s="11"/>
      <c r="CA768" s="11"/>
      <c r="CB768" s="11"/>
      <c r="CC768" s="11"/>
      <c r="CD768" s="11"/>
    </row>
    <row r="769" ht="15.75" customHeight="1">
      <c r="BP769" s="34"/>
      <c r="BQ769" s="11"/>
      <c r="BR769" s="11"/>
      <c r="BS769" s="11"/>
      <c r="BT769" s="11"/>
      <c r="BU769" s="11"/>
      <c r="BV769" s="11"/>
      <c r="BW769" s="11"/>
      <c r="BX769" s="11"/>
      <c r="BY769" s="11"/>
      <c r="BZ769" s="11"/>
      <c r="CA769" s="11"/>
      <c r="CB769" s="11"/>
      <c r="CC769" s="11"/>
      <c r="CD769" s="11"/>
    </row>
    <row r="770" ht="15.75" customHeight="1">
      <c r="BP770" s="34"/>
      <c r="BQ770" s="11"/>
      <c r="BR770" s="11"/>
      <c r="BS770" s="11"/>
      <c r="BT770" s="11"/>
      <c r="BU770" s="11"/>
      <c r="BV770" s="11"/>
      <c r="BW770" s="11"/>
      <c r="BX770" s="11"/>
      <c r="BY770" s="11"/>
      <c r="BZ770" s="11"/>
      <c r="CA770" s="11"/>
      <c r="CB770" s="11"/>
      <c r="CC770" s="11"/>
      <c r="CD770" s="11"/>
    </row>
    <row r="771" ht="15.75" customHeight="1">
      <c r="BP771" s="34"/>
      <c r="BQ771" s="11"/>
      <c r="BR771" s="11"/>
      <c r="BS771" s="11"/>
      <c r="BT771" s="11"/>
      <c r="BU771" s="11"/>
      <c r="BV771" s="11"/>
      <c r="BW771" s="11"/>
      <c r="BX771" s="11"/>
      <c r="BY771" s="11"/>
      <c r="BZ771" s="11"/>
      <c r="CA771" s="11"/>
      <c r="CB771" s="11"/>
      <c r="CC771" s="11"/>
      <c r="CD771" s="11"/>
    </row>
    <row r="772" ht="15.75" customHeight="1">
      <c r="BP772" s="34"/>
      <c r="BQ772" s="11"/>
      <c r="BR772" s="11"/>
      <c r="BS772" s="11"/>
      <c r="BT772" s="11"/>
      <c r="BU772" s="11"/>
      <c r="BV772" s="11"/>
      <c r="BW772" s="11"/>
      <c r="BX772" s="11"/>
      <c r="BY772" s="11"/>
      <c r="BZ772" s="11"/>
      <c r="CA772" s="11"/>
      <c r="CB772" s="11"/>
      <c r="CC772" s="11"/>
      <c r="CD772" s="11"/>
    </row>
    <row r="773" ht="15.75" customHeight="1">
      <c r="BP773" s="34"/>
      <c r="BQ773" s="11"/>
      <c r="BR773" s="11"/>
      <c r="BS773" s="11"/>
      <c r="BT773" s="11"/>
      <c r="BU773" s="11"/>
      <c r="BV773" s="11"/>
      <c r="BW773" s="11"/>
      <c r="BX773" s="11"/>
      <c r="BY773" s="11"/>
      <c r="BZ773" s="11"/>
      <c r="CA773" s="11"/>
      <c r="CB773" s="11"/>
      <c r="CC773" s="11"/>
      <c r="CD773" s="11"/>
    </row>
    <row r="774" ht="15.75" customHeight="1">
      <c r="BP774" s="34"/>
      <c r="BQ774" s="11"/>
      <c r="BR774" s="11"/>
      <c r="BS774" s="11"/>
      <c r="BT774" s="11"/>
      <c r="BU774" s="11"/>
      <c r="BV774" s="11"/>
      <c r="BW774" s="11"/>
      <c r="BX774" s="11"/>
      <c r="BY774" s="11"/>
      <c r="BZ774" s="11"/>
      <c r="CA774" s="11"/>
      <c r="CB774" s="11"/>
      <c r="CC774" s="11"/>
      <c r="CD774" s="11"/>
    </row>
    <row r="775" ht="15.75" customHeight="1">
      <c r="BP775" s="34"/>
      <c r="BQ775" s="11"/>
      <c r="BR775" s="11"/>
      <c r="BS775" s="11"/>
      <c r="BT775" s="11"/>
      <c r="BU775" s="11"/>
      <c r="BV775" s="11"/>
      <c r="BW775" s="11"/>
      <c r="BX775" s="11"/>
      <c r="BY775" s="11"/>
      <c r="BZ775" s="11"/>
      <c r="CA775" s="11"/>
      <c r="CB775" s="11"/>
      <c r="CC775" s="11"/>
      <c r="CD775" s="11"/>
    </row>
    <row r="776" ht="15.75" customHeight="1">
      <c r="BP776" s="34"/>
      <c r="BQ776" s="11"/>
      <c r="BR776" s="11"/>
      <c r="BS776" s="11"/>
      <c r="BT776" s="11"/>
      <c r="BU776" s="11"/>
      <c r="BV776" s="11"/>
      <c r="BW776" s="11"/>
      <c r="BX776" s="11"/>
      <c r="BY776" s="11"/>
      <c r="BZ776" s="11"/>
      <c r="CA776" s="11"/>
      <c r="CB776" s="11"/>
      <c r="CC776" s="11"/>
      <c r="CD776" s="11"/>
    </row>
    <row r="777" ht="15.75" customHeight="1">
      <c r="BP777" s="34"/>
      <c r="BQ777" s="11"/>
      <c r="BR777" s="11"/>
      <c r="BS777" s="11"/>
      <c r="BT777" s="11"/>
      <c r="BU777" s="11"/>
      <c r="BV777" s="11"/>
      <c r="BW777" s="11"/>
      <c r="BX777" s="11"/>
      <c r="BY777" s="11"/>
      <c r="BZ777" s="11"/>
      <c r="CA777" s="11"/>
      <c r="CB777" s="11"/>
      <c r="CC777" s="11"/>
      <c r="CD777" s="11"/>
    </row>
    <row r="778" ht="15.75" customHeight="1">
      <c r="BP778" s="34"/>
      <c r="BQ778" s="11"/>
      <c r="BR778" s="11"/>
      <c r="BS778" s="11"/>
      <c r="BT778" s="11"/>
      <c r="BU778" s="11"/>
      <c r="BV778" s="11"/>
      <c r="BW778" s="11"/>
      <c r="BX778" s="11"/>
      <c r="BY778" s="11"/>
      <c r="BZ778" s="11"/>
      <c r="CA778" s="11"/>
      <c r="CB778" s="11"/>
      <c r="CC778" s="11"/>
      <c r="CD778" s="11"/>
    </row>
    <row r="779" ht="15.75" customHeight="1">
      <c r="BP779" s="34"/>
      <c r="BQ779" s="11"/>
      <c r="BR779" s="11"/>
      <c r="BS779" s="11"/>
      <c r="BT779" s="11"/>
      <c r="BU779" s="11"/>
      <c r="BV779" s="11"/>
      <c r="BW779" s="11"/>
      <c r="BX779" s="11"/>
      <c r="BY779" s="11"/>
      <c r="BZ779" s="11"/>
      <c r="CA779" s="11"/>
      <c r="CB779" s="11"/>
      <c r="CC779" s="11"/>
      <c r="CD779" s="11"/>
    </row>
    <row r="780" ht="15.75" customHeight="1">
      <c r="BP780" s="34"/>
      <c r="BQ780" s="11"/>
      <c r="BR780" s="11"/>
      <c r="BS780" s="11"/>
      <c r="BT780" s="11"/>
      <c r="BU780" s="11"/>
      <c r="BV780" s="11"/>
      <c r="BW780" s="11"/>
      <c r="BX780" s="11"/>
      <c r="BY780" s="11"/>
      <c r="BZ780" s="11"/>
      <c r="CA780" s="11"/>
      <c r="CB780" s="11"/>
      <c r="CC780" s="11"/>
      <c r="CD780" s="11"/>
    </row>
    <row r="781" ht="15.75" customHeight="1">
      <c r="BP781" s="34"/>
      <c r="BQ781" s="11"/>
      <c r="BR781" s="11"/>
      <c r="BS781" s="11"/>
      <c r="BT781" s="11"/>
      <c r="BU781" s="11"/>
      <c r="BV781" s="11"/>
      <c r="BW781" s="11"/>
      <c r="BX781" s="11"/>
      <c r="BY781" s="11"/>
      <c r="BZ781" s="11"/>
      <c r="CA781" s="11"/>
      <c r="CB781" s="11"/>
      <c r="CC781" s="11"/>
      <c r="CD781" s="11"/>
    </row>
    <row r="782" ht="15.75" customHeight="1">
      <c r="BP782" s="34"/>
      <c r="BQ782" s="11"/>
      <c r="BR782" s="11"/>
      <c r="BS782" s="11"/>
      <c r="BT782" s="11"/>
      <c r="BU782" s="11"/>
      <c r="BV782" s="11"/>
      <c r="BW782" s="11"/>
      <c r="BX782" s="11"/>
      <c r="BY782" s="11"/>
      <c r="BZ782" s="11"/>
      <c r="CA782" s="11"/>
      <c r="CB782" s="11"/>
      <c r="CC782" s="11"/>
      <c r="CD782" s="11"/>
    </row>
    <row r="783" ht="15.75" customHeight="1">
      <c r="BP783" s="34"/>
      <c r="BQ783" s="11"/>
      <c r="BR783" s="11"/>
      <c r="BS783" s="11"/>
      <c r="BT783" s="11"/>
      <c r="BU783" s="11"/>
      <c r="BV783" s="11"/>
      <c r="BW783" s="11"/>
      <c r="BX783" s="11"/>
      <c r="BY783" s="11"/>
      <c r="BZ783" s="11"/>
      <c r="CA783" s="11"/>
      <c r="CB783" s="11"/>
      <c r="CC783" s="11"/>
      <c r="CD783" s="11"/>
    </row>
    <row r="784" ht="15.75" customHeight="1">
      <c r="BP784" s="34"/>
      <c r="BQ784" s="11"/>
      <c r="BR784" s="11"/>
      <c r="BS784" s="11"/>
      <c r="BT784" s="11"/>
      <c r="BU784" s="11"/>
      <c r="BV784" s="11"/>
      <c r="BW784" s="11"/>
      <c r="BX784" s="11"/>
      <c r="BY784" s="11"/>
      <c r="BZ784" s="11"/>
      <c r="CA784" s="11"/>
      <c r="CB784" s="11"/>
      <c r="CC784" s="11"/>
      <c r="CD784" s="11"/>
    </row>
    <row r="785" ht="15.75" customHeight="1">
      <c r="BP785" s="34"/>
      <c r="BQ785" s="11"/>
      <c r="BR785" s="11"/>
      <c r="BS785" s="11"/>
      <c r="BT785" s="11"/>
      <c r="BU785" s="11"/>
      <c r="BV785" s="11"/>
      <c r="BW785" s="11"/>
      <c r="BX785" s="11"/>
      <c r="BY785" s="11"/>
      <c r="BZ785" s="11"/>
      <c r="CA785" s="11"/>
      <c r="CB785" s="11"/>
      <c r="CC785" s="11"/>
      <c r="CD785" s="11"/>
    </row>
    <row r="786" ht="15.75" customHeight="1">
      <c r="BP786" s="34"/>
      <c r="BQ786" s="11"/>
      <c r="BR786" s="11"/>
      <c r="BS786" s="11"/>
      <c r="BT786" s="11"/>
      <c r="BU786" s="11"/>
      <c r="BV786" s="11"/>
      <c r="BW786" s="11"/>
      <c r="BX786" s="11"/>
      <c r="BY786" s="11"/>
      <c r="BZ786" s="11"/>
      <c r="CA786" s="11"/>
      <c r="CB786" s="11"/>
      <c r="CC786" s="11"/>
      <c r="CD786" s="11"/>
    </row>
    <row r="787" ht="15.75" customHeight="1">
      <c r="BP787" s="34"/>
      <c r="BQ787" s="11"/>
      <c r="BR787" s="11"/>
      <c r="BS787" s="11"/>
      <c r="BT787" s="11"/>
      <c r="BU787" s="11"/>
      <c r="BV787" s="11"/>
      <c r="BW787" s="11"/>
      <c r="BX787" s="11"/>
      <c r="BY787" s="11"/>
      <c r="BZ787" s="11"/>
      <c r="CA787" s="11"/>
      <c r="CB787" s="11"/>
      <c r="CC787" s="11"/>
      <c r="CD787" s="11"/>
    </row>
    <row r="788" ht="15.75" customHeight="1">
      <c r="BP788" s="34"/>
      <c r="BQ788" s="11"/>
      <c r="BR788" s="11"/>
      <c r="BS788" s="11"/>
      <c r="BT788" s="11"/>
      <c r="BU788" s="11"/>
      <c r="BV788" s="11"/>
      <c r="BW788" s="11"/>
      <c r="BX788" s="11"/>
      <c r="BY788" s="11"/>
      <c r="BZ788" s="11"/>
      <c r="CA788" s="11"/>
      <c r="CB788" s="11"/>
      <c r="CC788" s="11"/>
      <c r="CD788" s="11"/>
    </row>
    <row r="789" ht="15.75" customHeight="1">
      <c r="BP789" s="34"/>
      <c r="BQ789" s="11"/>
      <c r="BR789" s="11"/>
      <c r="BS789" s="11"/>
      <c r="BT789" s="11"/>
      <c r="BU789" s="11"/>
      <c r="BV789" s="11"/>
      <c r="BW789" s="11"/>
      <c r="BX789" s="11"/>
      <c r="BY789" s="11"/>
      <c r="BZ789" s="11"/>
      <c r="CA789" s="11"/>
      <c r="CB789" s="11"/>
      <c r="CC789" s="11"/>
      <c r="CD789" s="11"/>
    </row>
    <row r="790" ht="15.75" customHeight="1">
      <c r="BP790" s="34"/>
      <c r="BQ790" s="11"/>
      <c r="BR790" s="11"/>
      <c r="BS790" s="11"/>
      <c r="BT790" s="11"/>
      <c r="BU790" s="11"/>
      <c r="BV790" s="11"/>
      <c r="BW790" s="11"/>
      <c r="BX790" s="11"/>
      <c r="BY790" s="11"/>
      <c r="BZ790" s="11"/>
      <c r="CA790" s="11"/>
      <c r="CB790" s="11"/>
      <c r="CC790" s="11"/>
      <c r="CD790" s="11"/>
    </row>
    <row r="791" ht="15.75" customHeight="1">
      <c r="BP791" s="34"/>
      <c r="BQ791" s="11"/>
      <c r="BR791" s="11"/>
      <c r="BS791" s="11"/>
      <c r="BT791" s="11"/>
      <c r="BU791" s="11"/>
      <c r="BV791" s="11"/>
      <c r="BW791" s="11"/>
      <c r="BX791" s="11"/>
      <c r="BY791" s="11"/>
      <c r="BZ791" s="11"/>
      <c r="CA791" s="11"/>
      <c r="CB791" s="11"/>
      <c r="CC791" s="11"/>
      <c r="CD791" s="11"/>
    </row>
    <row r="792" ht="15.75" customHeight="1">
      <c r="BP792" s="34"/>
      <c r="BQ792" s="11"/>
      <c r="BR792" s="11"/>
      <c r="BS792" s="11"/>
      <c r="BT792" s="11"/>
      <c r="BU792" s="11"/>
      <c r="BV792" s="11"/>
      <c r="BW792" s="11"/>
      <c r="BX792" s="11"/>
      <c r="BY792" s="11"/>
      <c r="BZ792" s="11"/>
      <c r="CA792" s="11"/>
      <c r="CB792" s="11"/>
      <c r="CC792" s="11"/>
      <c r="CD792" s="11"/>
    </row>
    <row r="793" ht="15.75" customHeight="1">
      <c r="BP793" s="34"/>
      <c r="BQ793" s="11"/>
      <c r="BR793" s="11"/>
      <c r="BS793" s="11"/>
      <c r="BT793" s="11"/>
      <c r="BU793" s="11"/>
      <c r="BV793" s="11"/>
      <c r="BW793" s="11"/>
      <c r="BX793" s="11"/>
      <c r="BY793" s="11"/>
      <c r="BZ793" s="11"/>
      <c r="CA793" s="11"/>
      <c r="CB793" s="11"/>
      <c r="CC793" s="11"/>
      <c r="CD793" s="11"/>
    </row>
    <row r="794" ht="15.75" customHeight="1">
      <c r="BP794" s="34"/>
      <c r="BQ794" s="11"/>
      <c r="BR794" s="11"/>
      <c r="BS794" s="11"/>
      <c r="BT794" s="11"/>
      <c r="BU794" s="11"/>
      <c r="BV794" s="11"/>
      <c r="BW794" s="11"/>
      <c r="BX794" s="11"/>
      <c r="BY794" s="11"/>
      <c r="BZ794" s="11"/>
      <c r="CA794" s="11"/>
      <c r="CB794" s="11"/>
      <c r="CC794" s="11"/>
      <c r="CD794" s="11"/>
    </row>
    <row r="795" ht="15.75" customHeight="1">
      <c r="BP795" s="34"/>
      <c r="BQ795" s="11"/>
      <c r="BR795" s="11"/>
      <c r="BS795" s="11"/>
      <c r="BT795" s="11"/>
      <c r="BU795" s="11"/>
      <c r="BV795" s="11"/>
      <c r="BW795" s="11"/>
      <c r="BX795" s="11"/>
      <c r="BY795" s="11"/>
      <c r="BZ795" s="11"/>
      <c r="CA795" s="11"/>
      <c r="CB795" s="11"/>
      <c r="CC795" s="11"/>
      <c r="CD795" s="11"/>
    </row>
    <row r="796" ht="15.75" customHeight="1">
      <c r="BP796" s="34"/>
      <c r="BQ796" s="11"/>
      <c r="BR796" s="11"/>
      <c r="BS796" s="11"/>
      <c r="BT796" s="11"/>
      <c r="BU796" s="11"/>
      <c r="BV796" s="11"/>
      <c r="BW796" s="11"/>
      <c r="BX796" s="11"/>
      <c r="BY796" s="11"/>
      <c r="BZ796" s="11"/>
      <c r="CA796" s="11"/>
      <c r="CB796" s="11"/>
      <c r="CC796" s="11"/>
      <c r="CD796" s="11"/>
    </row>
    <row r="797" ht="15.75" customHeight="1">
      <c r="BP797" s="34"/>
      <c r="BQ797" s="11"/>
      <c r="BR797" s="11"/>
      <c r="BS797" s="11"/>
      <c r="BT797" s="11"/>
      <c r="BU797" s="11"/>
      <c r="BV797" s="11"/>
      <c r="BW797" s="11"/>
      <c r="BX797" s="11"/>
      <c r="BY797" s="11"/>
      <c r="BZ797" s="11"/>
      <c r="CA797" s="11"/>
      <c r="CB797" s="11"/>
      <c r="CC797" s="11"/>
      <c r="CD797" s="11"/>
    </row>
    <row r="798" ht="15.75" customHeight="1">
      <c r="BP798" s="34"/>
      <c r="BQ798" s="11"/>
      <c r="BR798" s="11"/>
      <c r="BS798" s="11"/>
      <c r="BT798" s="11"/>
      <c r="BU798" s="11"/>
      <c r="BV798" s="11"/>
      <c r="BW798" s="11"/>
      <c r="BX798" s="11"/>
      <c r="BY798" s="11"/>
      <c r="BZ798" s="11"/>
      <c r="CA798" s="11"/>
      <c r="CB798" s="11"/>
      <c r="CC798" s="11"/>
      <c r="CD798" s="11"/>
    </row>
    <row r="799" ht="15.75" customHeight="1">
      <c r="BP799" s="34"/>
      <c r="BQ799" s="11"/>
      <c r="BR799" s="11"/>
      <c r="BS799" s="11"/>
      <c r="BT799" s="11"/>
      <c r="BU799" s="11"/>
      <c r="BV799" s="11"/>
      <c r="BW799" s="11"/>
      <c r="BX799" s="11"/>
      <c r="BY799" s="11"/>
      <c r="BZ799" s="11"/>
      <c r="CA799" s="11"/>
      <c r="CB799" s="11"/>
      <c r="CC799" s="11"/>
      <c r="CD799" s="11"/>
    </row>
    <row r="800" ht="15.75" customHeight="1">
      <c r="BP800" s="34"/>
      <c r="BQ800" s="11"/>
      <c r="BR800" s="11"/>
      <c r="BS800" s="11"/>
      <c r="BT800" s="11"/>
      <c r="BU800" s="11"/>
      <c r="BV800" s="11"/>
      <c r="BW800" s="11"/>
      <c r="BX800" s="11"/>
      <c r="BY800" s="11"/>
      <c r="BZ800" s="11"/>
      <c r="CA800" s="11"/>
      <c r="CB800" s="11"/>
      <c r="CC800" s="11"/>
      <c r="CD800" s="11"/>
    </row>
    <row r="801" ht="15.75" customHeight="1">
      <c r="BP801" s="34"/>
      <c r="BQ801" s="11"/>
      <c r="BR801" s="11"/>
      <c r="BS801" s="11"/>
      <c r="BT801" s="11"/>
      <c r="BU801" s="11"/>
      <c r="BV801" s="11"/>
      <c r="BW801" s="11"/>
      <c r="BX801" s="11"/>
      <c r="BY801" s="11"/>
      <c r="BZ801" s="11"/>
      <c r="CA801" s="11"/>
      <c r="CB801" s="11"/>
      <c r="CC801" s="11"/>
      <c r="CD801" s="11"/>
    </row>
    <row r="802" ht="15.75" customHeight="1">
      <c r="BP802" s="34"/>
      <c r="BQ802" s="11"/>
      <c r="BR802" s="11"/>
      <c r="BS802" s="11"/>
      <c r="BT802" s="11"/>
      <c r="BU802" s="11"/>
      <c r="BV802" s="11"/>
      <c r="BW802" s="11"/>
      <c r="BX802" s="11"/>
      <c r="BY802" s="11"/>
      <c r="BZ802" s="11"/>
      <c r="CA802" s="11"/>
      <c r="CB802" s="11"/>
      <c r="CC802" s="11"/>
      <c r="CD802" s="11"/>
    </row>
    <row r="803" ht="15.75" customHeight="1">
      <c r="BP803" s="34"/>
      <c r="BQ803" s="11"/>
      <c r="BR803" s="11"/>
      <c r="BS803" s="11"/>
      <c r="BT803" s="11"/>
      <c r="BU803" s="11"/>
      <c r="BV803" s="11"/>
      <c r="BW803" s="11"/>
      <c r="BX803" s="11"/>
      <c r="BY803" s="11"/>
      <c r="BZ803" s="11"/>
      <c r="CA803" s="11"/>
      <c r="CB803" s="11"/>
      <c r="CC803" s="11"/>
      <c r="CD803" s="11"/>
    </row>
    <row r="804" ht="15.75" customHeight="1">
      <c r="BP804" s="34"/>
      <c r="BQ804" s="11"/>
      <c r="BR804" s="11"/>
      <c r="BS804" s="11"/>
      <c r="BT804" s="11"/>
      <c r="BU804" s="11"/>
      <c r="BV804" s="11"/>
      <c r="BW804" s="11"/>
      <c r="BX804" s="11"/>
      <c r="BY804" s="11"/>
      <c r="BZ804" s="11"/>
      <c r="CA804" s="11"/>
      <c r="CB804" s="11"/>
      <c r="CC804" s="11"/>
      <c r="CD804" s="11"/>
    </row>
    <row r="805" ht="15.75" customHeight="1">
      <c r="BP805" s="34"/>
      <c r="BQ805" s="11"/>
      <c r="BR805" s="11"/>
      <c r="BS805" s="11"/>
      <c r="BT805" s="11"/>
      <c r="BU805" s="11"/>
      <c r="BV805" s="11"/>
      <c r="BW805" s="11"/>
      <c r="BX805" s="11"/>
      <c r="BY805" s="11"/>
      <c r="BZ805" s="11"/>
      <c r="CA805" s="11"/>
      <c r="CB805" s="11"/>
      <c r="CC805" s="11"/>
      <c r="CD805" s="11"/>
    </row>
    <row r="806" ht="15.75" customHeight="1">
      <c r="BP806" s="34"/>
      <c r="BQ806" s="11"/>
      <c r="BR806" s="11"/>
      <c r="BS806" s="11"/>
      <c r="BT806" s="11"/>
      <c r="BU806" s="11"/>
      <c r="BV806" s="11"/>
      <c r="BW806" s="11"/>
      <c r="BX806" s="11"/>
      <c r="BY806" s="11"/>
      <c r="BZ806" s="11"/>
      <c r="CA806" s="11"/>
      <c r="CB806" s="11"/>
      <c r="CC806" s="11"/>
      <c r="CD806" s="11"/>
    </row>
    <row r="807" ht="15.75" customHeight="1">
      <c r="BP807" s="34"/>
      <c r="BQ807" s="11"/>
      <c r="BR807" s="11"/>
      <c r="BS807" s="11"/>
      <c r="BT807" s="11"/>
      <c r="BU807" s="11"/>
      <c r="BV807" s="11"/>
      <c r="BW807" s="11"/>
      <c r="BX807" s="11"/>
      <c r="BY807" s="11"/>
      <c r="BZ807" s="11"/>
      <c r="CA807" s="11"/>
      <c r="CB807" s="11"/>
      <c r="CC807" s="11"/>
      <c r="CD807" s="11"/>
    </row>
    <row r="808" ht="15.75" customHeight="1">
      <c r="BP808" s="34"/>
      <c r="BQ808" s="11"/>
      <c r="BR808" s="11"/>
      <c r="BS808" s="11"/>
      <c r="BT808" s="11"/>
      <c r="BU808" s="11"/>
      <c r="BV808" s="11"/>
      <c r="BW808" s="11"/>
      <c r="BX808" s="11"/>
      <c r="BY808" s="11"/>
      <c r="BZ808" s="11"/>
      <c r="CA808" s="11"/>
      <c r="CB808" s="11"/>
      <c r="CC808" s="11"/>
      <c r="CD808" s="11"/>
    </row>
    <row r="809" ht="15.75" customHeight="1">
      <c r="BP809" s="34"/>
      <c r="BQ809" s="11"/>
      <c r="BR809" s="11"/>
      <c r="BS809" s="11"/>
      <c r="BT809" s="11"/>
      <c r="BU809" s="11"/>
      <c r="BV809" s="11"/>
      <c r="BW809" s="11"/>
      <c r="BX809" s="11"/>
      <c r="BY809" s="11"/>
      <c r="BZ809" s="11"/>
      <c r="CA809" s="11"/>
      <c r="CB809" s="11"/>
      <c r="CC809" s="11"/>
      <c r="CD809" s="11"/>
    </row>
    <row r="810" ht="15.75" customHeight="1">
      <c r="BP810" s="34"/>
      <c r="BQ810" s="11"/>
      <c r="BR810" s="11"/>
      <c r="BS810" s="11"/>
      <c r="BT810" s="11"/>
      <c r="BU810" s="11"/>
      <c r="BV810" s="11"/>
      <c r="BW810" s="11"/>
      <c r="BX810" s="11"/>
      <c r="BY810" s="11"/>
      <c r="BZ810" s="11"/>
      <c r="CA810" s="11"/>
      <c r="CB810" s="11"/>
      <c r="CC810" s="11"/>
      <c r="CD810" s="11"/>
    </row>
    <row r="811" ht="15.75" customHeight="1">
      <c r="BP811" s="34"/>
      <c r="BQ811" s="11"/>
      <c r="BR811" s="11"/>
      <c r="BS811" s="11"/>
      <c r="BT811" s="11"/>
      <c r="BU811" s="11"/>
      <c r="BV811" s="11"/>
      <c r="BW811" s="11"/>
      <c r="BX811" s="11"/>
      <c r="BY811" s="11"/>
      <c r="BZ811" s="11"/>
      <c r="CA811" s="11"/>
      <c r="CB811" s="11"/>
      <c r="CC811" s="11"/>
      <c r="CD811" s="11"/>
    </row>
    <row r="812" ht="15.75" customHeight="1">
      <c r="BP812" s="34"/>
      <c r="BQ812" s="11"/>
      <c r="BR812" s="11"/>
      <c r="BS812" s="11"/>
      <c r="BT812" s="11"/>
      <c r="BU812" s="11"/>
      <c r="BV812" s="11"/>
      <c r="BW812" s="11"/>
      <c r="BX812" s="11"/>
      <c r="BY812" s="11"/>
      <c r="BZ812" s="11"/>
      <c r="CA812" s="11"/>
      <c r="CB812" s="11"/>
      <c r="CC812" s="11"/>
      <c r="CD812" s="11"/>
    </row>
    <row r="813" ht="15.75" customHeight="1">
      <c r="BP813" s="34"/>
      <c r="BQ813" s="11"/>
      <c r="BR813" s="11"/>
      <c r="BS813" s="11"/>
      <c r="BT813" s="11"/>
      <c r="BU813" s="11"/>
      <c r="BV813" s="11"/>
      <c r="BW813" s="11"/>
      <c r="BX813" s="11"/>
      <c r="BY813" s="11"/>
      <c r="BZ813" s="11"/>
      <c r="CA813" s="11"/>
      <c r="CB813" s="11"/>
      <c r="CC813" s="11"/>
      <c r="CD813" s="11"/>
    </row>
    <row r="814" ht="15.75" customHeight="1">
      <c r="BP814" s="34"/>
      <c r="BQ814" s="11"/>
      <c r="BR814" s="11"/>
      <c r="BS814" s="11"/>
      <c r="BT814" s="11"/>
      <c r="BU814" s="11"/>
      <c r="BV814" s="11"/>
      <c r="BW814" s="11"/>
      <c r="BX814" s="11"/>
      <c r="BY814" s="11"/>
      <c r="BZ814" s="11"/>
      <c r="CA814" s="11"/>
      <c r="CB814" s="11"/>
      <c r="CC814" s="11"/>
      <c r="CD814" s="11"/>
    </row>
    <row r="815" ht="15.75" customHeight="1">
      <c r="BP815" s="34"/>
      <c r="BQ815" s="11"/>
      <c r="BR815" s="11"/>
      <c r="BS815" s="11"/>
      <c r="BT815" s="11"/>
      <c r="BU815" s="11"/>
      <c r="BV815" s="11"/>
      <c r="BW815" s="11"/>
      <c r="BX815" s="11"/>
      <c r="BY815" s="11"/>
      <c r="BZ815" s="11"/>
      <c r="CA815" s="11"/>
      <c r="CB815" s="11"/>
      <c r="CC815" s="11"/>
      <c r="CD815" s="11"/>
    </row>
    <row r="816" ht="15.75" customHeight="1">
      <c r="BP816" s="34"/>
      <c r="BQ816" s="11"/>
      <c r="BR816" s="11"/>
      <c r="BS816" s="11"/>
      <c r="BT816" s="11"/>
      <c r="BU816" s="11"/>
      <c r="BV816" s="11"/>
      <c r="BW816" s="11"/>
      <c r="BX816" s="11"/>
      <c r="BY816" s="11"/>
      <c r="BZ816" s="11"/>
      <c r="CA816" s="11"/>
      <c r="CB816" s="11"/>
      <c r="CC816" s="11"/>
      <c r="CD816" s="11"/>
    </row>
    <row r="817" ht="15.75" customHeight="1">
      <c r="BP817" s="34"/>
      <c r="BQ817" s="11"/>
      <c r="BR817" s="11"/>
      <c r="BS817" s="11"/>
      <c r="BT817" s="11"/>
      <c r="BU817" s="11"/>
      <c r="BV817" s="11"/>
      <c r="BW817" s="11"/>
      <c r="BX817" s="11"/>
      <c r="BY817" s="11"/>
      <c r="BZ817" s="11"/>
      <c r="CA817" s="11"/>
      <c r="CB817" s="11"/>
      <c r="CC817" s="11"/>
      <c r="CD817" s="11"/>
    </row>
    <row r="818" ht="15.75" customHeight="1">
      <c r="BP818" s="34"/>
      <c r="BQ818" s="11"/>
      <c r="BR818" s="11"/>
      <c r="BS818" s="11"/>
      <c r="BT818" s="11"/>
      <c r="BU818" s="11"/>
      <c r="BV818" s="11"/>
      <c r="BW818" s="11"/>
      <c r="BX818" s="11"/>
      <c r="BY818" s="11"/>
      <c r="BZ818" s="11"/>
      <c r="CA818" s="11"/>
      <c r="CB818" s="11"/>
      <c r="CC818" s="11"/>
      <c r="CD818" s="11"/>
    </row>
    <row r="819" ht="15.75" customHeight="1">
      <c r="BP819" s="34"/>
      <c r="BQ819" s="11"/>
      <c r="BR819" s="11"/>
      <c r="BS819" s="11"/>
      <c r="BT819" s="11"/>
      <c r="BU819" s="11"/>
      <c r="BV819" s="11"/>
      <c r="BW819" s="11"/>
      <c r="BX819" s="11"/>
      <c r="BY819" s="11"/>
      <c r="BZ819" s="11"/>
      <c r="CA819" s="11"/>
      <c r="CB819" s="11"/>
      <c r="CC819" s="11"/>
      <c r="CD819" s="11"/>
    </row>
    <row r="820" ht="15.75" customHeight="1">
      <c r="BP820" s="34"/>
      <c r="BQ820" s="11"/>
      <c r="BR820" s="11"/>
      <c r="BS820" s="11"/>
      <c r="BT820" s="11"/>
      <c r="BU820" s="11"/>
      <c r="BV820" s="11"/>
      <c r="BW820" s="11"/>
      <c r="BX820" s="11"/>
      <c r="BY820" s="11"/>
      <c r="BZ820" s="11"/>
      <c r="CA820" s="11"/>
      <c r="CB820" s="11"/>
      <c r="CC820" s="11"/>
      <c r="CD820" s="11"/>
    </row>
    <row r="821" ht="15.75" customHeight="1">
      <c r="BP821" s="34"/>
      <c r="BQ821" s="11"/>
      <c r="BR821" s="11"/>
      <c r="BS821" s="11"/>
      <c r="BT821" s="11"/>
      <c r="BU821" s="11"/>
      <c r="BV821" s="11"/>
      <c r="BW821" s="11"/>
      <c r="BX821" s="11"/>
      <c r="BY821" s="11"/>
      <c r="BZ821" s="11"/>
      <c r="CA821" s="11"/>
      <c r="CB821" s="11"/>
      <c r="CC821" s="11"/>
      <c r="CD821" s="11"/>
    </row>
    <row r="822" ht="15.75" customHeight="1">
      <c r="BP822" s="34"/>
      <c r="BQ822" s="11"/>
      <c r="BR822" s="11"/>
      <c r="BS822" s="11"/>
      <c r="BT822" s="11"/>
      <c r="BU822" s="11"/>
      <c r="BV822" s="11"/>
      <c r="BW822" s="11"/>
      <c r="BX822" s="11"/>
      <c r="BY822" s="11"/>
      <c r="BZ822" s="11"/>
      <c r="CA822" s="11"/>
      <c r="CB822" s="11"/>
      <c r="CC822" s="11"/>
      <c r="CD822" s="11"/>
    </row>
    <row r="823" ht="15.75" customHeight="1">
      <c r="BP823" s="34"/>
      <c r="BQ823" s="11"/>
      <c r="BR823" s="11"/>
      <c r="BS823" s="11"/>
      <c r="BT823" s="11"/>
      <c r="BU823" s="11"/>
      <c r="BV823" s="11"/>
      <c r="BW823" s="11"/>
      <c r="BX823" s="11"/>
      <c r="BY823" s="11"/>
      <c r="BZ823" s="11"/>
      <c r="CA823" s="11"/>
      <c r="CB823" s="11"/>
      <c r="CC823" s="11"/>
      <c r="CD823" s="11"/>
    </row>
    <row r="824" ht="15.75" customHeight="1">
      <c r="BP824" s="34"/>
      <c r="BQ824" s="11"/>
      <c r="BR824" s="11"/>
      <c r="BS824" s="11"/>
      <c r="BT824" s="11"/>
      <c r="BU824" s="11"/>
      <c r="BV824" s="11"/>
      <c r="BW824" s="11"/>
      <c r="BX824" s="11"/>
      <c r="BY824" s="11"/>
      <c r="BZ824" s="11"/>
      <c r="CA824" s="11"/>
      <c r="CB824" s="11"/>
      <c r="CC824" s="11"/>
      <c r="CD824" s="11"/>
    </row>
    <row r="825" ht="15.75" customHeight="1">
      <c r="BP825" s="34"/>
      <c r="BQ825" s="11"/>
      <c r="BR825" s="11"/>
      <c r="BS825" s="11"/>
      <c r="BT825" s="11"/>
      <c r="BU825" s="11"/>
      <c r="BV825" s="11"/>
      <c r="BW825" s="11"/>
      <c r="BX825" s="11"/>
      <c r="BY825" s="11"/>
      <c r="BZ825" s="11"/>
      <c r="CA825" s="11"/>
      <c r="CB825" s="11"/>
      <c r="CC825" s="11"/>
      <c r="CD825" s="11"/>
    </row>
    <row r="826" ht="15.75" customHeight="1">
      <c r="BP826" s="34"/>
      <c r="BQ826" s="11"/>
      <c r="BR826" s="11"/>
      <c r="BS826" s="11"/>
      <c r="BT826" s="11"/>
      <c r="BU826" s="11"/>
      <c r="BV826" s="11"/>
      <c r="BW826" s="11"/>
      <c r="BX826" s="11"/>
      <c r="BY826" s="11"/>
      <c r="BZ826" s="11"/>
      <c r="CA826" s="11"/>
      <c r="CB826" s="11"/>
      <c r="CC826" s="11"/>
      <c r="CD826" s="11"/>
    </row>
    <row r="827" ht="15.75" customHeight="1">
      <c r="BP827" s="34"/>
      <c r="BQ827" s="11"/>
      <c r="BR827" s="11"/>
      <c r="BS827" s="11"/>
      <c r="BT827" s="11"/>
      <c r="BU827" s="11"/>
      <c r="BV827" s="11"/>
      <c r="BW827" s="11"/>
      <c r="BX827" s="11"/>
      <c r="BY827" s="11"/>
      <c r="BZ827" s="11"/>
      <c r="CA827" s="11"/>
      <c r="CB827" s="11"/>
      <c r="CC827" s="11"/>
      <c r="CD827" s="11"/>
    </row>
    <row r="828" ht="15.75" customHeight="1">
      <c r="BP828" s="34"/>
      <c r="BQ828" s="11"/>
      <c r="BR828" s="11"/>
      <c r="BS828" s="11"/>
      <c r="BT828" s="11"/>
      <c r="BU828" s="11"/>
      <c r="BV828" s="11"/>
      <c r="BW828" s="11"/>
      <c r="BX828" s="11"/>
      <c r="BY828" s="11"/>
      <c r="BZ828" s="11"/>
      <c r="CA828" s="11"/>
      <c r="CB828" s="11"/>
      <c r="CC828" s="11"/>
      <c r="CD828" s="11"/>
    </row>
    <row r="829" ht="15.75" customHeight="1">
      <c r="BP829" s="34"/>
      <c r="BQ829" s="11"/>
      <c r="BR829" s="11"/>
      <c r="BS829" s="11"/>
      <c r="BT829" s="11"/>
      <c r="BU829" s="11"/>
      <c r="BV829" s="11"/>
      <c r="BW829" s="11"/>
      <c r="BX829" s="11"/>
      <c r="BY829" s="11"/>
      <c r="BZ829" s="11"/>
      <c r="CA829" s="11"/>
      <c r="CB829" s="11"/>
      <c r="CC829" s="11"/>
      <c r="CD829" s="11"/>
    </row>
    <row r="830" ht="15.75" customHeight="1">
      <c r="BP830" s="34"/>
      <c r="BQ830" s="11"/>
      <c r="BR830" s="11"/>
      <c r="BS830" s="11"/>
      <c r="BT830" s="11"/>
      <c r="BU830" s="11"/>
      <c r="BV830" s="11"/>
      <c r="BW830" s="11"/>
      <c r="BX830" s="11"/>
      <c r="BY830" s="11"/>
      <c r="BZ830" s="11"/>
      <c r="CA830" s="11"/>
      <c r="CB830" s="11"/>
      <c r="CC830" s="11"/>
      <c r="CD830" s="11"/>
    </row>
    <row r="831" ht="15.75" customHeight="1">
      <c r="BP831" s="34"/>
      <c r="BQ831" s="11"/>
      <c r="BR831" s="11"/>
      <c r="BS831" s="11"/>
      <c r="BT831" s="11"/>
      <c r="BU831" s="11"/>
      <c r="BV831" s="11"/>
      <c r="BW831" s="11"/>
      <c r="BX831" s="11"/>
      <c r="BY831" s="11"/>
      <c r="BZ831" s="11"/>
      <c r="CA831" s="11"/>
      <c r="CB831" s="11"/>
      <c r="CC831" s="11"/>
      <c r="CD831" s="11"/>
    </row>
    <row r="832" ht="15.75" customHeight="1">
      <c r="BP832" s="34"/>
      <c r="BQ832" s="11"/>
      <c r="BR832" s="11"/>
      <c r="BS832" s="11"/>
      <c r="BT832" s="11"/>
      <c r="BU832" s="11"/>
      <c r="BV832" s="11"/>
      <c r="BW832" s="11"/>
      <c r="BX832" s="11"/>
      <c r="BY832" s="11"/>
      <c r="BZ832" s="11"/>
      <c r="CA832" s="11"/>
      <c r="CB832" s="11"/>
      <c r="CC832" s="11"/>
      <c r="CD832" s="11"/>
    </row>
    <row r="833" ht="15.75" customHeight="1">
      <c r="BP833" s="34"/>
      <c r="BQ833" s="11"/>
      <c r="BR833" s="11"/>
      <c r="BS833" s="11"/>
      <c r="BT833" s="11"/>
      <c r="BU833" s="11"/>
      <c r="BV833" s="11"/>
      <c r="BW833" s="11"/>
      <c r="BX833" s="11"/>
      <c r="BY833" s="11"/>
      <c r="BZ833" s="11"/>
      <c r="CA833" s="11"/>
      <c r="CB833" s="11"/>
      <c r="CC833" s="11"/>
      <c r="CD833" s="11"/>
    </row>
    <row r="834" ht="15.75" customHeight="1">
      <c r="BP834" s="34"/>
      <c r="BQ834" s="11"/>
      <c r="BR834" s="11"/>
      <c r="BS834" s="11"/>
      <c r="BT834" s="11"/>
      <c r="BU834" s="11"/>
      <c r="BV834" s="11"/>
      <c r="BW834" s="11"/>
      <c r="BX834" s="11"/>
      <c r="BY834" s="11"/>
      <c r="BZ834" s="11"/>
      <c r="CA834" s="11"/>
      <c r="CB834" s="11"/>
      <c r="CC834" s="11"/>
      <c r="CD834" s="11"/>
    </row>
    <row r="835" ht="15.75" customHeight="1">
      <c r="BP835" s="34"/>
      <c r="BQ835" s="11"/>
      <c r="BR835" s="11"/>
      <c r="BS835" s="11"/>
      <c r="BT835" s="11"/>
      <c r="BU835" s="11"/>
      <c r="BV835" s="11"/>
      <c r="BW835" s="11"/>
      <c r="BX835" s="11"/>
      <c r="BY835" s="11"/>
      <c r="BZ835" s="11"/>
      <c r="CA835" s="11"/>
      <c r="CB835" s="11"/>
      <c r="CC835" s="11"/>
      <c r="CD835" s="11"/>
    </row>
    <row r="836" ht="15.75" customHeight="1">
      <c r="BP836" s="34"/>
      <c r="BQ836" s="11"/>
      <c r="BR836" s="11"/>
      <c r="BS836" s="11"/>
      <c r="BT836" s="11"/>
      <c r="BU836" s="11"/>
      <c r="BV836" s="11"/>
      <c r="BW836" s="11"/>
      <c r="BX836" s="11"/>
      <c r="BY836" s="11"/>
      <c r="BZ836" s="11"/>
      <c r="CA836" s="11"/>
      <c r="CB836" s="11"/>
      <c r="CC836" s="11"/>
      <c r="CD836" s="11"/>
    </row>
    <row r="837" ht="15.75" customHeight="1">
      <c r="BP837" s="34"/>
      <c r="BQ837" s="11"/>
      <c r="BR837" s="11"/>
      <c r="BS837" s="11"/>
      <c r="BT837" s="11"/>
      <c r="BU837" s="11"/>
      <c r="BV837" s="11"/>
      <c r="BW837" s="11"/>
      <c r="BX837" s="11"/>
      <c r="BY837" s="11"/>
      <c r="BZ837" s="11"/>
      <c r="CA837" s="11"/>
      <c r="CB837" s="11"/>
      <c r="CC837" s="11"/>
      <c r="CD837" s="11"/>
    </row>
    <row r="838" ht="15.75" customHeight="1">
      <c r="BP838" s="34"/>
      <c r="BQ838" s="11"/>
      <c r="BR838" s="11"/>
      <c r="BS838" s="11"/>
      <c r="BT838" s="11"/>
      <c r="BU838" s="11"/>
      <c r="BV838" s="11"/>
      <c r="BW838" s="11"/>
      <c r="BX838" s="11"/>
      <c r="BY838" s="11"/>
      <c r="BZ838" s="11"/>
      <c r="CA838" s="11"/>
      <c r="CB838" s="11"/>
      <c r="CC838" s="11"/>
      <c r="CD838" s="11"/>
    </row>
    <row r="839" ht="15.75" customHeight="1">
      <c r="BP839" s="34"/>
      <c r="BQ839" s="11"/>
      <c r="BR839" s="11"/>
      <c r="BS839" s="11"/>
      <c r="BT839" s="11"/>
      <c r="BU839" s="11"/>
      <c r="BV839" s="11"/>
      <c r="BW839" s="11"/>
      <c r="BX839" s="11"/>
      <c r="BY839" s="11"/>
      <c r="BZ839" s="11"/>
      <c r="CA839" s="11"/>
      <c r="CB839" s="11"/>
      <c r="CC839" s="11"/>
      <c r="CD839" s="11"/>
    </row>
    <row r="840" ht="15.75" customHeight="1">
      <c r="BP840" s="34"/>
      <c r="BQ840" s="11"/>
      <c r="BR840" s="11"/>
      <c r="BS840" s="11"/>
      <c r="BT840" s="11"/>
      <c r="BU840" s="11"/>
      <c r="BV840" s="11"/>
      <c r="BW840" s="11"/>
      <c r="BX840" s="11"/>
      <c r="BY840" s="11"/>
      <c r="BZ840" s="11"/>
      <c r="CA840" s="11"/>
      <c r="CB840" s="11"/>
      <c r="CC840" s="11"/>
      <c r="CD840" s="11"/>
    </row>
    <row r="841" ht="15.75" customHeight="1">
      <c r="BP841" s="34"/>
      <c r="BQ841" s="11"/>
      <c r="BR841" s="11"/>
      <c r="BS841" s="11"/>
      <c r="BT841" s="11"/>
      <c r="BU841" s="11"/>
      <c r="BV841" s="11"/>
      <c r="BW841" s="11"/>
      <c r="BX841" s="11"/>
      <c r="BY841" s="11"/>
      <c r="BZ841" s="11"/>
      <c r="CA841" s="11"/>
      <c r="CB841" s="11"/>
      <c r="CC841" s="11"/>
      <c r="CD841" s="11"/>
    </row>
    <row r="842" ht="15.75" customHeight="1">
      <c r="BP842" s="34"/>
      <c r="BQ842" s="11"/>
      <c r="BR842" s="11"/>
      <c r="BS842" s="11"/>
      <c r="BT842" s="11"/>
      <c r="BU842" s="11"/>
      <c r="BV842" s="11"/>
      <c r="BW842" s="11"/>
      <c r="BX842" s="11"/>
      <c r="BY842" s="11"/>
      <c r="BZ842" s="11"/>
      <c r="CA842" s="11"/>
      <c r="CB842" s="11"/>
      <c r="CC842" s="11"/>
      <c r="CD842" s="11"/>
    </row>
    <row r="843" ht="15.75" customHeight="1">
      <c r="BP843" s="34"/>
      <c r="BQ843" s="11"/>
      <c r="BR843" s="11"/>
      <c r="BS843" s="11"/>
      <c r="BT843" s="11"/>
      <c r="BU843" s="11"/>
      <c r="BV843" s="11"/>
      <c r="BW843" s="11"/>
      <c r="BX843" s="11"/>
      <c r="BY843" s="11"/>
      <c r="BZ843" s="11"/>
      <c r="CA843" s="11"/>
      <c r="CB843" s="11"/>
      <c r="CC843" s="11"/>
      <c r="CD843" s="11"/>
    </row>
    <row r="844" ht="15.75" customHeight="1">
      <c r="BP844" s="34"/>
      <c r="BQ844" s="11"/>
      <c r="BR844" s="11"/>
      <c r="BS844" s="11"/>
      <c r="BT844" s="11"/>
      <c r="BU844" s="11"/>
      <c r="BV844" s="11"/>
      <c r="BW844" s="11"/>
      <c r="BX844" s="11"/>
      <c r="BY844" s="11"/>
      <c r="BZ844" s="11"/>
      <c r="CA844" s="11"/>
      <c r="CB844" s="11"/>
      <c r="CC844" s="11"/>
      <c r="CD844" s="11"/>
    </row>
    <row r="845" ht="15.75" customHeight="1">
      <c r="BP845" s="34"/>
      <c r="BQ845" s="11"/>
      <c r="BR845" s="11"/>
      <c r="BS845" s="11"/>
      <c r="BT845" s="11"/>
      <c r="BU845" s="11"/>
      <c r="BV845" s="11"/>
      <c r="BW845" s="11"/>
      <c r="BX845" s="11"/>
      <c r="BY845" s="11"/>
      <c r="BZ845" s="11"/>
      <c r="CA845" s="11"/>
      <c r="CB845" s="11"/>
      <c r="CC845" s="11"/>
      <c r="CD845" s="11"/>
    </row>
    <row r="846" ht="15.75" customHeight="1">
      <c r="BP846" s="34"/>
      <c r="BQ846" s="11"/>
      <c r="BR846" s="11"/>
      <c r="BS846" s="11"/>
      <c r="BT846" s="11"/>
      <c r="BU846" s="11"/>
      <c r="BV846" s="11"/>
      <c r="BW846" s="11"/>
      <c r="BX846" s="11"/>
      <c r="BY846" s="11"/>
      <c r="BZ846" s="11"/>
      <c r="CA846" s="11"/>
      <c r="CB846" s="11"/>
      <c r="CC846" s="11"/>
      <c r="CD846" s="11"/>
    </row>
    <row r="847" ht="15.75" customHeight="1">
      <c r="BP847" s="34"/>
      <c r="BQ847" s="11"/>
      <c r="BR847" s="11"/>
      <c r="BS847" s="11"/>
      <c r="BT847" s="11"/>
      <c r="BU847" s="11"/>
      <c r="BV847" s="11"/>
      <c r="BW847" s="11"/>
      <c r="BX847" s="11"/>
      <c r="BY847" s="11"/>
      <c r="BZ847" s="11"/>
      <c r="CA847" s="11"/>
      <c r="CB847" s="11"/>
      <c r="CC847" s="11"/>
      <c r="CD847" s="11"/>
    </row>
    <row r="848" ht="15.75" customHeight="1">
      <c r="BP848" s="34"/>
      <c r="BQ848" s="11"/>
      <c r="BR848" s="11"/>
      <c r="BS848" s="11"/>
      <c r="BT848" s="11"/>
      <c r="BU848" s="11"/>
      <c r="BV848" s="11"/>
      <c r="BW848" s="11"/>
      <c r="BX848" s="11"/>
      <c r="BY848" s="11"/>
      <c r="BZ848" s="11"/>
      <c r="CA848" s="11"/>
      <c r="CB848" s="11"/>
      <c r="CC848" s="11"/>
      <c r="CD848" s="11"/>
    </row>
    <row r="849" ht="15.75" customHeight="1">
      <c r="BP849" s="34"/>
      <c r="BQ849" s="11"/>
      <c r="BR849" s="11"/>
      <c r="BS849" s="11"/>
      <c r="BT849" s="11"/>
      <c r="BU849" s="11"/>
      <c r="BV849" s="11"/>
      <c r="BW849" s="11"/>
      <c r="BX849" s="11"/>
      <c r="BY849" s="11"/>
      <c r="BZ849" s="11"/>
      <c r="CA849" s="11"/>
      <c r="CB849" s="11"/>
      <c r="CC849" s="11"/>
      <c r="CD849" s="11"/>
    </row>
    <row r="850" ht="15.75" customHeight="1">
      <c r="BP850" s="34"/>
      <c r="BQ850" s="11"/>
      <c r="BR850" s="11"/>
      <c r="BS850" s="11"/>
      <c r="BT850" s="11"/>
      <c r="BU850" s="11"/>
      <c r="BV850" s="11"/>
      <c r="BW850" s="11"/>
      <c r="BX850" s="11"/>
      <c r="BY850" s="11"/>
      <c r="BZ850" s="11"/>
      <c r="CA850" s="11"/>
      <c r="CB850" s="11"/>
      <c r="CC850" s="11"/>
      <c r="CD850" s="11"/>
    </row>
    <row r="851" ht="15.75" customHeight="1">
      <c r="BP851" s="34"/>
      <c r="BQ851" s="11"/>
      <c r="BR851" s="11"/>
      <c r="BS851" s="11"/>
      <c r="BT851" s="11"/>
      <c r="BU851" s="11"/>
      <c r="BV851" s="11"/>
      <c r="BW851" s="11"/>
      <c r="BX851" s="11"/>
      <c r="BY851" s="11"/>
      <c r="BZ851" s="11"/>
      <c r="CA851" s="11"/>
      <c r="CB851" s="11"/>
      <c r="CC851" s="11"/>
      <c r="CD851" s="11"/>
    </row>
    <row r="852" ht="15.75" customHeight="1">
      <c r="BP852" s="34"/>
      <c r="BQ852" s="11"/>
      <c r="BR852" s="11"/>
      <c r="BS852" s="11"/>
      <c r="BT852" s="11"/>
      <c r="BU852" s="11"/>
      <c r="BV852" s="11"/>
      <c r="BW852" s="11"/>
      <c r="BX852" s="11"/>
      <c r="BY852" s="11"/>
      <c r="BZ852" s="11"/>
      <c r="CA852" s="11"/>
      <c r="CB852" s="11"/>
      <c r="CC852" s="11"/>
      <c r="CD852" s="11"/>
    </row>
    <row r="853" ht="15.75" customHeight="1">
      <c r="BP853" s="34"/>
      <c r="BQ853" s="11"/>
      <c r="BR853" s="11"/>
      <c r="BS853" s="11"/>
      <c r="BT853" s="11"/>
      <c r="BU853" s="11"/>
      <c r="BV853" s="11"/>
      <c r="BW853" s="11"/>
      <c r="BX853" s="11"/>
      <c r="BY853" s="11"/>
      <c r="BZ853" s="11"/>
      <c r="CA853" s="11"/>
      <c r="CB853" s="11"/>
      <c r="CC853" s="11"/>
      <c r="CD853" s="11"/>
    </row>
    <row r="854" ht="15.75" customHeight="1">
      <c r="BP854" s="34"/>
      <c r="BQ854" s="11"/>
      <c r="BR854" s="11"/>
      <c r="BS854" s="11"/>
      <c r="BT854" s="11"/>
      <c r="BU854" s="11"/>
      <c r="BV854" s="11"/>
      <c r="BW854" s="11"/>
      <c r="BX854" s="11"/>
      <c r="BY854" s="11"/>
      <c r="BZ854" s="11"/>
      <c r="CA854" s="11"/>
      <c r="CB854" s="11"/>
      <c r="CC854" s="11"/>
      <c r="CD854" s="11"/>
    </row>
    <row r="855" ht="15.75" customHeight="1">
      <c r="BP855" s="34"/>
      <c r="BQ855" s="11"/>
      <c r="BR855" s="11"/>
      <c r="BS855" s="11"/>
      <c r="BT855" s="11"/>
      <c r="BU855" s="11"/>
      <c r="BV855" s="11"/>
      <c r="BW855" s="11"/>
      <c r="BX855" s="11"/>
      <c r="BY855" s="11"/>
      <c r="BZ855" s="11"/>
      <c r="CA855" s="11"/>
      <c r="CB855" s="11"/>
      <c r="CC855" s="11"/>
      <c r="CD855" s="11"/>
    </row>
    <row r="856" ht="15.75" customHeight="1">
      <c r="BP856" s="34"/>
      <c r="BQ856" s="11"/>
      <c r="BR856" s="11"/>
      <c r="BS856" s="11"/>
      <c r="BT856" s="11"/>
      <c r="BU856" s="11"/>
      <c r="BV856" s="11"/>
      <c r="BW856" s="11"/>
      <c r="BX856" s="11"/>
      <c r="BY856" s="11"/>
      <c r="BZ856" s="11"/>
      <c r="CA856" s="11"/>
      <c r="CB856" s="11"/>
      <c r="CC856" s="11"/>
      <c r="CD856" s="11"/>
    </row>
    <row r="857" ht="15.75" customHeight="1">
      <c r="BP857" s="34"/>
      <c r="BQ857" s="11"/>
      <c r="BR857" s="11"/>
      <c r="BS857" s="11"/>
      <c r="BT857" s="11"/>
      <c r="BU857" s="11"/>
      <c r="BV857" s="11"/>
      <c r="BW857" s="11"/>
      <c r="BX857" s="11"/>
      <c r="BY857" s="11"/>
      <c r="BZ857" s="11"/>
      <c r="CA857" s="11"/>
      <c r="CB857" s="11"/>
      <c r="CC857" s="11"/>
      <c r="CD857" s="11"/>
    </row>
    <row r="858" ht="15.75" customHeight="1">
      <c r="BP858" s="34"/>
      <c r="BQ858" s="11"/>
      <c r="BR858" s="11"/>
      <c r="BS858" s="11"/>
      <c r="BT858" s="11"/>
      <c r="BU858" s="11"/>
      <c r="BV858" s="11"/>
      <c r="BW858" s="11"/>
      <c r="BX858" s="11"/>
      <c r="BY858" s="11"/>
      <c r="BZ858" s="11"/>
      <c r="CA858" s="11"/>
      <c r="CB858" s="11"/>
      <c r="CC858" s="11"/>
      <c r="CD858" s="11"/>
    </row>
    <row r="859" ht="15.75" customHeight="1">
      <c r="BP859" s="34"/>
      <c r="BQ859" s="11"/>
      <c r="BR859" s="11"/>
      <c r="BS859" s="11"/>
      <c r="BT859" s="11"/>
      <c r="BU859" s="11"/>
      <c r="BV859" s="11"/>
      <c r="BW859" s="11"/>
      <c r="BX859" s="11"/>
      <c r="BY859" s="11"/>
      <c r="BZ859" s="11"/>
      <c r="CA859" s="11"/>
      <c r="CB859" s="11"/>
      <c r="CC859" s="11"/>
      <c r="CD859" s="11"/>
    </row>
    <row r="860" ht="15.75" customHeight="1">
      <c r="BP860" s="34"/>
      <c r="BQ860" s="11"/>
      <c r="BR860" s="11"/>
      <c r="BS860" s="11"/>
      <c r="BT860" s="11"/>
      <c r="BU860" s="11"/>
      <c r="BV860" s="11"/>
      <c r="BW860" s="11"/>
      <c r="BX860" s="11"/>
      <c r="BY860" s="11"/>
      <c r="BZ860" s="11"/>
      <c r="CA860" s="11"/>
      <c r="CB860" s="11"/>
      <c r="CC860" s="11"/>
      <c r="CD860" s="11"/>
    </row>
    <row r="861" ht="15.75" customHeight="1">
      <c r="BP861" s="34"/>
      <c r="BQ861" s="11"/>
      <c r="BR861" s="11"/>
      <c r="BS861" s="11"/>
      <c r="BT861" s="11"/>
      <c r="BU861" s="11"/>
      <c r="BV861" s="11"/>
      <c r="BW861" s="11"/>
      <c r="BX861" s="11"/>
      <c r="BY861" s="11"/>
      <c r="BZ861" s="11"/>
      <c r="CA861" s="11"/>
      <c r="CB861" s="11"/>
      <c r="CC861" s="11"/>
      <c r="CD861" s="11"/>
    </row>
    <row r="862" ht="15.75" customHeight="1">
      <c r="BP862" s="34"/>
      <c r="BQ862" s="11"/>
      <c r="BR862" s="11"/>
      <c r="BS862" s="11"/>
      <c r="BT862" s="11"/>
      <c r="BU862" s="11"/>
      <c r="BV862" s="11"/>
      <c r="BW862" s="11"/>
      <c r="BX862" s="11"/>
      <c r="BY862" s="11"/>
      <c r="BZ862" s="11"/>
      <c r="CA862" s="11"/>
      <c r="CB862" s="11"/>
      <c r="CC862" s="11"/>
      <c r="CD862" s="11"/>
    </row>
    <row r="863" ht="15.75" customHeight="1">
      <c r="BP863" s="34"/>
      <c r="BQ863" s="11"/>
      <c r="BR863" s="11"/>
      <c r="BS863" s="11"/>
      <c r="BT863" s="11"/>
      <c r="BU863" s="11"/>
      <c r="BV863" s="11"/>
      <c r="BW863" s="11"/>
      <c r="BX863" s="11"/>
      <c r="BY863" s="11"/>
      <c r="BZ863" s="11"/>
      <c r="CA863" s="11"/>
      <c r="CB863" s="11"/>
      <c r="CC863" s="11"/>
      <c r="CD863" s="11"/>
    </row>
    <row r="864" ht="15.75" customHeight="1">
      <c r="BP864" s="34"/>
      <c r="BQ864" s="11"/>
      <c r="BR864" s="11"/>
      <c r="BS864" s="11"/>
      <c r="BT864" s="11"/>
      <c r="BU864" s="11"/>
      <c r="BV864" s="11"/>
      <c r="BW864" s="11"/>
      <c r="BX864" s="11"/>
      <c r="BY864" s="11"/>
      <c r="BZ864" s="11"/>
      <c r="CA864" s="11"/>
      <c r="CB864" s="11"/>
      <c r="CC864" s="11"/>
      <c r="CD864" s="11"/>
    </row>
    <row r="865" ht="15.75" customHeight="1">
      <c r="BP865" s="34"/>
      <c r="BQ865" s="11"/>
      <c r="BR865" s="11"/>
      <c r="BS865" s="11"/>
      <c r="BT865" s="11"/>
      <c r="BU865" s="11"/>
      <c r="BV865" s="11"/>
      <c r="BW865" s="11"/>
      <c r="BX865" s="11"/>
      <c r="BY865" s="11"/>
      <c r="BZ865" s="11"/>
      <c r="CA865" s="11"/>
      <c r="CB865" s="11"/>
      <c r="CC865" s="11"/>
      <c r="CD865" s="11"/>
    </row>
    <row r="866" ht="15.75" customHeight="1">
      <c r="BP866" s="34"/>
      <c r="BQ866" s="11"/>
      <c r="BR866" s="11"/>
      <c r="BS866" s="11"/>
      <c r="BT866" s="11"/>
      <c r="BU866" s="11"/>
      <c r="BV866" s="11"/>
      <c r="BW866" s="11"/>
      <c r="BX866" s="11"/>
      <c r="BY866" s="11"/>
      <c r="BZ866" s="11"/>
      <c r="CA866" s="11"/>
      <c r="CB866" s="11"/>
      <c r="CC866" s="11"/>
      <c r="CD866" s="11"/>
    </row>
    <row r="867" ht="15.75" customHeight="1">
      <c r="BP867" s="34"/>
      <c r="BQ867" s="11"/>
      <c r="BR867" s="11"/>
      <c r="BS867" s="11"/>
      <c r="BT867" s="11"/>
      <c r="BU867" s="11"/>
      <c r="BV867" s="11"/>
      <c r="BW867" s="11"/>
      <c r="BX867" s="11"/>
      <c r="BY867" s="11"/>
      <c r="BZ867" s="11"/>
      <c r="CA867" s="11"/>
      <c r="CB867" s="11"/>
      <c r="CC867" s="11"/>
      <c r="CD867" s="11"/>
    </row>
    <row r="868" ht="15.75" customHeight="1">
      <c r="BP868" s="34"/>
      <c r="BQ868" s="11"/>
      <c r="BR868" s="11"/>
      <c r="BS868" s="11"/>
      <c r="BT868" s="11"/>
      <c r="BU868" s="11"/>
      <c r="BV868" s="11"/>
      <c r="BW868" s="11"/>
      <c r="BX868" s="11"/>
      <c r="BY868" s="11"/>
      <c r="BZ868" s="11"/>
      <c r="CA868" s="11"/>
      <c r="CB868" s="11"/>
      <c r="CC868" s="11"/>
      <c r="CD868" s="11"/>
    </row>
    <row r="869" ht="15.75" customHeight="1">
      <c r="BP869" s="34"/>
      <c r="BQ869" s="11"/>
      <c r="BR869" s="11"/>
      <c r="BS869" s="11"/>
      <c r="BT869" s="11"/>
      <c r="BU869" s="11"/>
      <c r="BV869" s="11"/>
      <c r="BW869" s="11"/>
      <c r="BX869" s="11"/>
      <c r="BY869" s="11"/>
      <c r="BZ869" s="11"/>
      <c r="CA869" s="11"/>
      <c r="CB869" s="11"/>
      <c r="CC869" s="11"/>
      <c r="CD869" s="11"/>
    </row>
    <row r="870" ht="15.75" customHeight="1">
      <c r="BP870" s="34"/>
      <c r="BQ870" s="11"/>
      <c r="BR870" s="11"/>
      <c r="BS870" s="11"/>
      <c r="BT870" s="11"/>
      <c r="BU870" s="11"/>
      <c r="BV870" s="11"/>
      <c r="BW870" s="11"/>
      <c r="BX870" s="11"/>
      <c r="BY870" s="11"/>
      <c r="BZ870" s="11"/>
      <c r="CA870" s="11"/>
      <c r="CB870" s="11"/>
      <c r="CC870" s="11"/>
      <c r="CD870" s="11"/>
    </row>
    <row r="871" ht="15.75" customHeight="1">
      <c r="BP871" s="34"/>
      <c r="BQ871" s="11"/>
      <c r="BR871" s="11"/>
      <c r="BS871" s="11"/>
      <c r="BT871" s="11"/>
      <c r="BU871" s="11"/>
      <c r="BV871" s="11"/>
      <c r="BW871" s="11"/>
      <c r="BX871" s="11"/>
      <c r="BY871" s="11"/>
      <c r="BZ871" s="11"/>
      <c r="CA871" s="11"/>
      <c r="CB871" s="11"/>
      <c r="CC871" s="11"/>
      <c r="CD871" s="11"/>
    </row>
    <row r="872" ht="15.75" customHeight="1">
      <c r="BP872" s="34"/>
      <c r="BQ872" s="11"/>
      <c r="BR872" s="11"/>
      <c r="BS872" s="11"/>
      <c r="BT872" s="11"/>
      <c r="BU872" s="11"/>
      <c r="BV872" s="11"/>
      <c r="BW872" s="11"/>
      <c r="BX872" s="11"/>
      <c r="BY872" s="11"/>
      <c r="BZ872" s="11"/>
      <c r="CA872" s="11"/>
      <c r="CB872" s="11"/>
      <c r="CC872" s="11"/>
      <c r="CD872" s="11"/>
    </row>
    <row r="873" ht="15.75" customHeight="1">
      <c r="BP873" s="34"/>
      <c r="BQ873" s="11"/>
      <c r="BR873" s="11"/>
      <c r="BS873" s="11"/>
      <c r="BT873" s="11"/>
      <c r="BU873" s="11"/>
      <c r="BV873" s="11"/>
      <c r="BW873" s="11"/>
      <c r="BX873" s="11"/>
      <c r="BY873" s="11"/>
      <c r="BZ873" s="11"/>
      <c r="CA873" s="11"/>
      <c r="CB873" s="11"/>
      <c r="CC873" s="11"/>
      <c r="CD873" s="11"/>
    </row>
    <row r="874" ht="15.75" customHeight="1">
      <c r="BP874" s="34"/>
      <c r="BQ874" s="11"/>
      <c r="BR874" s="11"/>
      <c r="BS874" s="11"/>
      <c r="BT874" s="11"/>
      <c r="BU874" s="11"/>
      <c r="BV874" s="11"/>
      <c r="BW874" s="11"/>
      <c r="BX874" s="11"/>
      <c r="BY874" s="11"/>
      <c r="BZ874" s="11"/>
      <c r="CA874" s="11"/>
      <c r="CB874" s="11"/>
      <c r="CC874" s="11"/>
      <c r="CD874" s="11"/>
    </row>
    <row r="875" ht="15.75" customHeight="1">
      <c r="BP875" s="34"/>
      <c r="BQ875" s="11"/>
      <c r="BR875" s="11"/>
      <c r="BS875" s="11"/>
      <c r="BT875" s="11"/>
      <c r="BU875" s="11"/>
      <c r="BV875" s="11"/>
      <c r="BW875" s="11"/>
      <c r="BX875" s="11"/>
      <c r="BY875" s="11"/>
      <c r="BZ875" s="11"/>
      <c r="CA875" s="11"/>
      <c r="CB875" s="11"/>
      <c r="CC875" s="11"/>
      <c r="CD875" s="11"/>
    </row>
    <row r="876" ht="15.75" customHeight="1">
      <c r="BP876" s="34"/>
      <c r="BQ876" s="11"/>
      <c r="BR876" s="11"/>
      <c r="BS876" s="11"/>
      <c r="BT876" s="11"/>
      <c r="BU876" s="11"/>
      <c r="BV876" s="11"/>
      <c r="BW876" s="11"/>
      <c r="BX876" s="11"/>
      <c r="BY876" s="11"/>
      <c r="BZ876" s="11"/>
      <c r="CA876" s="11"/>
      <c r="CB876" s="11"/>
      <c r="CC876" s="11"/>
      <c r="CD876" s="11"/>
    </row>
    <row r="877" ht="15.75" customHeight="1">
      <c r="BP877" s="34"/>
      <c r="BQ877" s="11"/>
      <c r="BR877" s="11"/>
      <c r="BS877" s="11"/>
      <c r="BT877" s="11"/>
      <c r="BU877" s="11"/>
      <c r="BV877" s="11"/>
      <c r="BW877" s="11"/>
      <c r="BX877" s="11"/>
      <c r="BY877" s="11"/>
      <c r="BZ877" s="11"/>
      <c r="CA877" s="11"/>
      <c r="CB877" s="11"/>
      <c r="CC877" s="11"/>
      <c r="CD877" s="11"/>
    </row>
    <row r="878" ht="15.75" customHeight="1">
      <c r="BP878" s="34"/>
      <c r="BQ878" s="11"/>
      <c r="BR878" s="11"/>
      <c r="BS878" s="11"/>
      <c r="BT878" s="11"/>
      <c r="BU878" s="11"/>
      <c r="BV878" s="11"/>
      <c r="BW878" s="11"/>
      <c r="BX878" s="11"/>
      <c r="BY878" s="11"/>
      <c r="BZ878" s="11"/>
      <c r="CA878" s="11"/>
      <c r="CB878" s="11"/>
      <c r="CC878" s="11"/>
      <c r="CD878" s="11"/>
    </row>
    <row r="879" ht="15.75" customHeight="1">
      <c r="BP879" s="34"/>
      <c r="BQ879" s="11"/>
      <c r="BR879" s="11"/>
      <c r="BS879" s="11"/>
      <c r="BT879" s="11"/>
      <c r="BU879" s="11"/>
      <c r="BV879" s="11"/>
      <c r="BW879" s="11"/>
      <c r="BX879" s="11"/>
      <c r="BY879" s="11"/>
      <c r="BZ879" s="11"/>
      <c r="CA879" s="11"/>
      <c r="CB879" s="11"/>
      <c r="CC879" s="11"/>
      <c r="CD879" s="11"/>
    </row>
    <row r="880" ht="15.75" customHeight="1">
      <c r="BP880" s="34"/>
      <c r="BQ880" s="11"/>
      <c r="BR880" s="11"/>
      <c r="BS880" s="11"/>
      <c r="BT880" s="11"/>
      <c r="BU880" s="11"/>
      <c r="BV880" s="11"/>
      <c r="BW880" s="11"/>
      <c r="BX880" s="11"/>
      <c r="BY880" s="11"/>
      <c r="BZ880" s="11"/>
      <c r="CA880" s="11"/>
      <c r="CB880" s="11"/>
      <c r="CC880" s="11"/>
      <c r="CD880" s="11"/>
    </row>
    <row r="881" ht="15.75" customHeight="1">
      <c r="BP881" s="34"/>
      <c r="BQ881" s="11"/>
      <c r="BR881" s="11"/>
      <c r="BS881" s="11"/>
      <c r="BT881" s="11"/>
      <c r="BU881" s="11"/>
      <c r="BV881" s="11"/>
      <c r="BW881" s="11"/>
      <c r="BX881" s="11"/>
      <c r="BY881" s="11"/>
      <c r="BZ881" s="11"/>
      <c r="CA881" s="11"/>
      <c r="CB881" s="11"/>
      <c r="CC881" s="11"/>
      <c r="CD881" s="11"/>
    </row>
    <row r="882" ht="15.75" customHeight="1">
      <c r="BP882" s="34"/>
      <c r="BQ882" s="11"/>
      <c r="BR882" s="11"/>
      <c r="BS882" s="11"/>
      <c r="BT882" s="11"/>
      <c r="BU882" s="11"/>
      <c r="BV882" s="11"/>
      <c r="BW882" s="11"/>
      <c r="BX882" s="11"/>
      <c r="BY882" s="11"/>
      <c r="BZ882" s="11"/>
      <c r="CA882" s="11"/>
      <c r="CB882" s="11"/>
      <c r="CC882" s="11"/>
      <c r="CD882" s="11"/>
    </row>
    <row r="883" ht="15.75" customHeight="1">
      <c r="BP883" s="34"/>
      <c r="BQ883" s="11"/>
      <c r="BR883" s="11"/>
      <c r="BS883" s="11"/>
      <c r="BT883" s="11"/>
      <c r="BU883" s="11"/>
      <c r="BV883" s="11"/>
      <c r="BW883" s="11"/>
      <c r="BX883" s="11"/>
      <c r="BY883" s="11"/>
      <c r="BZ883" s="11"/>
      <c r="CA883" s="11"/>
      <c r="CB883" s="11"/>
      <c r="CC883" s="11"/>
      <c r="CD883" s="11"/>
    </row>
    <row r="884" ht="15.75" customHeight="1">
      <c r="BP884" s="34"/>
      <c r="BQ884" s="11"/>
      <c r="BR884" s="11"/>
      <c r="BS884" s="11"/>
      <c r="BT884" s="11"/>
      <c r="BU884" s="11"/>
      <c r="BV884" s="11"/>
      <c r="BW884" s="11"/>
      <c r="BX884" s="11"/>
      <c r="BY884" s="11"/>
      <c r="BZ884" s="11"/>
      <c r="CA884" s="11"/>
      <c r="CB884" s="11"/>
      <c r="CC884" s="11"/>
      <c r="CD884" s="11"/>
    </row>
    <row r="885" ht="15.75" customHeight="1">
      <c r="BP885" s="34"/>
      <c r="BQ885" s="11"/>
      <c r="BR885" s="11"/>
      <c r="BS885" s="11"/>
      <c r="BT885" s="11"/>
      <c r="BU885" s="11"/>
      <c r="BV885" s="11"/>
      <c r="BW885" s="11"/>
      <c r="BX885" s="11"/>
      <c r="BY885" s="11"/>
      <c r="BZ885" s="11"/>
      <c r="CA885" s="11"/>
      <c r="CB885" s="11"/>
      <c r="CC885" s="11"/>
      <c r="CD885" s="11"/>
    </row>
    <row r="886" ht="15.75" customHeight="1">
      <c r="BP886" s="34"/>
      <c r="BQ886" s="11"/>
      <c r="BR886" s="11"/>
      <c r="BS886" s="11"/>
      <c r="BT886" s="11"/>
      <c r="BU886" s="11"/>
      <c r="BV886" s="11"/>
      <c r="BW886" s="11"/>
      <c r="BX886" s="11"/>
      <c r="BY886" s="11"/>
      <c r="BZ886" s="11"/>
      <c r="CA886" s="11"/>
      <c r="CB886" s="11"/>
      <c r="CC886" s="11"/>
      <c r="CD886" s="11"/>
    </row>
    <row r="887" ht="15.75" customHeight="1">
      <c r="BP887" s="34"/>
      <c r="BQ887" s="11"/>
      <c r="BR887" s="11"/>
      <c r="BS887" s="11"/>
      <c r="BT887" s="11"/>
      <c r="BU887" s="11"/>
      <c r="BV887" s="11"/>
      <c r="BW887" s="11"/>
      <c r="BX887" s="11"/>
      <c r="BY887" s="11"/>
      <c r="BZ887" s="11"/>
      <c r="CA887" s="11"/>
      <c r="CB887" s="11"/>
      <c r="CC887" s="11"/>
      <c r="CD887" s="11"/>
    </row>
    <row r="888" ht="15.75" customHeight="1">
      <c r="BP888" s="34"/>
      <c r="BQ888" s="11"/>
      <c r="BR888" s="11"/>
      <c r="BS888" s="11"/>
      <c r="BT888" s="11"/>
      <c r="BU888" s="11"/>
      <c r="BV888" s="11"/>
      <c r="BW888" s="11"/>
      <c r="BX888" s="11"/>
      <c r="BY888" s="11"/>
      <c r="BZ888" s="11"/>
      <c r="CA888" s="11"/>
      <c r="CB888" s="11"/>
      <c r="CC888" s="11"/>
      <c r="CD888" s="11"/>
    </row>
    <row r="889" ht="15.75" customHeight="1">
      <c r="BP889" s="34"/>
      <c r="BQ889" s="11"/>
      <c r="BR889" s="11"/>
      <c r="BS889" s="11"/>
      <c r="BT889" s="11"/>
      <c r="BU889" s="11"/>
      <c r="BV889" s="11"/>
      <c r="BW889" s="11"/>
      <c r="BX889" s="11"/>
      <c r="BY889" s="11"/>
      <c r="BZ889" s="11"/>
      <c r="CA889" s="11"/>
      <c r="CB889" s="11"/>
      <c r="CC889" s="11"/>
      <c r="CD889" s="11"/>
    </row>
    <row r="890" ht="15.75" customHeight="1">
      <c r="BP890" s="34"/>
      <c r="BQ890" s="11"/>
      <c r="BR890" s="11"/>
      <c r="BS890" s="11"/>
      <c r="BT890" s="11"/>
      <c r="BU890" s="11"/>
      <c r="BV890" s="11"/>
      <c r="BW890" s="11"/>
      <c r="BX890" s="11"/>
      <c r="BY890" s="11"/>
      <c r="BZ890" s="11"/>
      <c r="CA890" s="11"/>
      <c r="CB890" s="11"/>
      <c r="CC890" s="11"/>
      <c r="CD890" s="11"/>
    </row>
    <row r="891" ht="15.75" customHeight="1">
      <c r="BP891" s="34"/>
      <c r="BQ891" s="11"/>
      <c r="BR891" s="11"/>
      <c r="BS891" s="11"/>
      <c r="BT891" s="11"/>
      <c r="BU891" s="11"/>
      <c r="BV891" s="11"/>
      <c r="BW891" s="11"/>
      <c r="BX891" s="11"/>
      <c r="BY891" s="11"/>
      <c r="BZ891" s="11"/>
      <c r="CA891" s="11"/>
      <c r="CB891" s="11"/>
      <c r="CC891" s="11"/>
      <c r="CD891" s="11"/>
    </row>
    <row r="892" ht="15.75" customHeight="1">
      <c r="BP892" s="34"/>
      <c r="BQ892" s="11"/>
      <c r="BR892" s="11"/>
      <c r="BS892" s="11"/>
      <c r="BT892" s="11"/>
      <c r="BU892" s="11"/>
      <c r="BV892" s="11"/>
      <c r="BW892" s="11"/>
      <c r="BX892" s="11"/>
      <c r="BY892" s="11"/>
      <c r="BZ892" s="11"/>
      <c r="CA892" s="11"/>
      <c r="CB892" s="11"/>
      <c r="CC892" s="11"/>
      <c r="CD892" s="11"/>
    </row>
    <row r="893" ht="15.75" customHeight="1">
      <c r="BP893" s="34"/>
      <c r="BQ893" s="11"/>
      <c r="BR893" s="11"/>
      <c r="BS893" s="11"/>
      <c r="BT893" s="11"/>
      <c r="BU893" s="11"/>
      <c r="BV893" s="11"/>
      <c r="BW893" s="11"/>
      <c r="BX893" s="11"/>
      <c r="BY893" s="11"/>
      <c r="BZ893" s="11"/>
      <c r="CA893" s="11"/>
      <c r="CB893" s="11"/>
      <c r="CC893" s="11"/>
      <c r="CD893" s="11"/>
    </row>
    <row r="894" ht="15.75" customHeight="1">
      <c r="BP894" s="34"/>
      <c r="BQ894" s="11"/>
      <c r="BR894" s="11"/>
      <c r="BS894" s="11"/>
      <c r="BT894" s="11"/>
      <c r="BU894" s="11"/>
      <c r="BV894" s="11"/>
      <c r="BW894" s="11"/>
      <c r="BX894" s="11"/>
      <c r="BY894" s="11"/>
      <c r="BZ894" s="11"/>
      <c r="CA894" s="11"/>
      <c r="CB894" s="11"/>
      <c r="CC894" s="11"/>
      <c r="CD894" s="11"/>
    </row>
    <row r="895" ht="15.75" customHeight="1">
      <c r="BP895" s="34"/>
      <c r="BQ895" s="11"/>
      <c r="BR895" s="11"/>
      <c r="BS895" s="11"/>
      <c r="BT895" s="11"/>
      <c r="BU895" s="11"/>
      <c r="BV895" s="11"/>
      <c r="BW895" s="11"/>
      <c r="BX895" s="11"/>
      <c r="BY895" s="11"/>
      <c r="BZ895" s="11"/>
      <c r="CA895" s="11"/>
      <c r="CB895" s="11"/>
      <c r="CC895" s="11"/>
      <c r="CD895" s="11"/>
    </row>
    <row r="896" ht="15.75" customHeight="1">
      <c r="BP896" s="34"/>
      <c r="BQ896" s="11"/>
      <c r="BR896" s="11"/>
      <c r="BS896" s="11"/>
      <c r="BT896" s="11"/>
      <c r="BU896" s="11"/>
      <c r="BV896" s="11"/>
      <c r="BW896" s="11"/>
      <c r="BX896" s="11"/>
      <c r="BY896" s="11"/>
      <c r="BZ896" s="11"/>
      <c r="CA896" s="11"/>
      <c r="CB896" s="11"/>
      <c r="CC896" s="11"/>
      <c r="CD896" s="11"/>
    </row>
    <row r="897" ht="15.75" customHeight="1">
      <c r="BP897" s="34"/>
      <c r="BQ897" s="11"/>
      <c r="BR897" s="11"/>
      <c r="BS897" s="11"/>
      <c r="BT897" s="11"/>
      <c r="BU897" s="11"/>
      <c r="BV897" s="11"/>
      <c r="BW897" s="11"/>
      <c r="BX897" s="11"/>
      <c r="BY897" s="11"/>
      <c r="BZ897" s="11"/>
      <c r="CA897" s="11"/>
      <c r="CB897" s="11"/>
      <c r="CC897" s="11"/>
      <c r="CD897" s="11"/>
    </row>
    <row r="898" ht="15.75" customHeight="1">
      <c r="BP898" s="34"/>
      <c r="BQ898" s="11"/>
      <c r="BR898" s="11"/>
      <c r="BS898" s="11"/>
      <c r="BT898" s="11"/>
      <c r="BU898" s="11"/>
      <c r="BV898" s="11"/>
      <c r="BW898" s="11"/>
      <c r="BX898" s="11"/>
      <c r="BY898" s="11"/>
      <c r="BZ898" s="11"/>
      <c r="CA898" s="11"/>
      <c r="CB898" s="11"/>
      <c r="CC898" s="11"/>
      <c r="CD898" s="11"/>
    </row>
    <row r="899" ht="15.75" customHeight="1">
      <c r="BP899" s="34"/>
      <c r="BQ899" s="11"/>
      <c r="BR899" s="11"/>
      <c r="BS899" s="11"/>
      <c r="BT899" s="11"/>
      <c r="BU899" s="11"/>
      <c r="BV899" s="11"/>
      <c r="BW899" s="11"/>
      <c r="BX899" s="11"/>
      <c r="BY899" s="11"/>
      <c r="BZ899" s="11"/>
      <c r="CA899" s="11"/>
      <c r="CB899" s="11"/>
      <c r="CC899" s="11"/>
      <c r="CD899" s="11"/>
    </row>
    <row r="900" ht="15.75" customHeight="1">
      <c r="BP900" s="34"/>
      <c r="BQ900" s="11"/>
      <c r="BR900" s="11"/>
      <c r="BS900" s="11"/>
      <c r="BT900" s="11"/>
      <c r="BU900" s="11"/>
      <c r="BV900" s="11"/>
      <c r="BW900" s="11"/>
      <c r="BX900" s="11"/>
      <c r="BY900" s="11"/>
      <c r="BZ900" s="11"/>
      <c r="CA900" s="11"/>
      <c r="CB900" s="11"/>
      <c r="CC900" s="11"/>
      <c r="CD900" s="11"/>
    </row>
    <row r="901" ht="15.75" customHeight="1">
      <c r="BP901" s="34"/>
      <c r="BQ901" s="11"/>
      <c r="BR901" s="11"/>
      <c r="BS901" s="11"/>
      <c r="BT901" s="11"/>
      <c r="BU901" s="11"/>
      <c r="BV901" s="11"/>
      <c r="BW901" s="11"/>
      <c r="BX901" s="11"/>
      <c r="BY901" s="11"/>
      <c r="BZ901" s="11"/>
      <c r="CA901" s="11"/>
      <c r="CB901" s="11"/>
      <c r="CC901" s="11"/>
      <c r="CD901" s="11"/>
    </row>
    <row r="902" ht="15.75" customHeight="1">
      <c r="BP902" s="34"/>
      <c r="BQ902" s="11"/>
      <c r="BR902" s="11"/>
      <c r="BS902" s="11"/>
      <c r="BT902" s="11"/>
      <c r="BU902" s="11"/>
      <c r="BV902" s="11"/>
      <c r="BW902" s="11"/>
      <c r="BX902" s="11"/>
      <c r="BY902" s="11"/>
      <c r="BZ902" s="11"/>
      <c r="CA902" s="11"/>
      <c r="CB902" s="11"/>
      <c r="CC902" s="11"/>
      <c r="CD902" s="11"/>
    </row>
    <row r="903" ht="15.75" customHeight="1">
      <c r="BP903" s="34"/>
      <c r="BQ903" s="11"/>
      <c r="BR903" s="11"/>
      <c r="BS903" s="11"/>
      <c r="BT903" s="11"/>
      <c r="BU903" s="11"/>
      <c r="BV903" s="11"/>
      <c r="BW903" s="11"/>
      <c r="BX903" s="11"/>
      <c r="BY903" s="11"/>
      <c r="BZ903" s="11"/>
      <c r="CA903" s="11"/>
      <c r="CB903" s="11"/>
      <c r="CC903" s="11"/>
      <c r="CD903" s="11"/>
    </row>
    <row r="904" ht="15.75" customHeight="1">
      <c r="BP904" s="34"/>
      <c r="BQ904" s="11"/>
      <c r="BR904" s="11"/>
      <c r="BS904" s="11"/>
      <c r="BT904" s="11"/>
      <c r="BU904" s="11"/>
      <c r="BV904" s="11"/>
      <c r="BW904" s="11"/>
      <c r="BX904" s="11"/>
      <c r="BY904" s="11"/>
      <c r="BZ904" s="11"/>
      <c r="CA904" s="11"/>
      <c r="CB904" s="11"/>
      <c r="CC904" s="11"/>
      <c r="CD904" s="11"/>
    </row>
    <row r="905" ht="15.75" customHeight="1">
      <c r="BP905" s="34"/>
      <c r="BQ905" s="11"/>
      <c r="BR905" s="11"/>
      <c r="BS905" s="11"/>
      <c r="BT905" s="11"/>
      <c r="BU905" s="11"/>
      <c r="BV905" s="11"/>
      <c r="BW905" s="11"/>
      <c r="BX905" s="11"/>
      <c r="BY905" s="11"/>
      <c r="BZ905" s="11"/>
      <c r="CA905" s="11"/>
      <c r="CB905" s="11"/>
      <c r="CC905" s="11"/>
      <c r="CD905" s="11"/>
    </row>
    <row r="906" ht="15.75" customHeight="1">
      <c r="BP906" s="34"/>
      <c r="BQ906" s="11"/>
      <c r="BR906" s="11"/>
      <c r="BS906" s="11"/>
      <c r="BT906" s="11"/>
      <c r="BU906" s="11"/>
      <c r="BV906" s="11"/>
      <c r="BW906" s="11"/>
      <c r="BX906" s="11"/>
      <c r="BY906" s="11"/>
      <c r="BZ906" s="11"/>
      <c r="CA906" s="11"/>
      <c r="CB906" s="11"/>
      <c r="CC906" s="11"/>
      <c r="CD906" s="11"/>
    </row>
    <row r="907" ht="15.75" customHeight="1">
      <c r="BP907" s="34"/>
      <c r="BQ907" s="11"/>
      <c r="BR907" s="11"/>
      <c r="BS907" s="11"/>
      <c r="BT907" s="11"/>
      <c r="BU907" s="11"/>
      <c r="BV907" s="11"/>
      <c r="BW907" s="11"/>
      <c r="BX907" s="11"/>
      <c r="BY907" s="11"/>
      <c r="BZ907" s="11"/>
      <c r="CA907" s="11"/>
      <c r="CB907" s="11"/>
      <c r="CC907" s="11"/>
      <c r="CD907" s="11"/>
    </row>
    <row r="908" ht="15.75" customHeight="1">
      <c r="BP908" s="34"/>
      <c r="BQ908" s="11"/>
      <c r="BR908" s="11"/>
      <c r="BS908" s="11"/>
      <c r="BT908" s="11"/>
      <c r="BU908" s="11"/>
      <c r="BV908" s="11"/>
      <c r="BW908" s="11"/>
      <c r="BX908" s="11"/>
      <c r="BY908" s="11"/>
      <c r="BZ908" s="11"/>
      <c r="CA908" s="11"/>
      <c r="CB908" s="11"/>
      <c r="CC908" s="11"/>
      <c r="CD908" s="11"/>
    </row>
    <row r="909" ht="15.75" customHeight="1">
      <c r="BP909" s="34"/>
      <c r="BQ909" s="11"/>
      <c r="BR909" s="11"/>
      <c r="BS909" s="11"/>
      <c r="BT909" s="11"/>
      <c r="BU909" s="11"/>
      <c r="BV909" s="11"/>
      <c r="BW909" s="11"/>
      <c r="BX909" s="11"/>
      <c r="BY909" s="11"/>
      <c r="BZ909" s="11"/>
      <c r="CA909" s="11"/>
      <c r="CB909" s="11"/>
      <c r="CC909" s="11"/>
      <c r="CD909" s="11"/>
    </row>
    <row r="910" ht="15.75" customHeight="1">
      <c r="BP910" s="34"/>
      <c r="BQ910" s="11"/>
      <c r="BR910" s="11"/>
      <c r="BS910" s="11"/>
      <c r="BT910" s="11"/>
      <c r="BU910" s="11"/>
      <c r="BV910" s="11"/>
      <c r="BW910" s="11"/>
      <c r="BX910" s="11"/>
      <c r="BY910" s="11"/>
      <c r="BZ910" s="11"/>
      <c r="CA910" s="11"/>
      <c r="CB910" s="11"/>
      <c r="CC910" s="11"/>
      <c r="CD910" s="11"/>
    </row>
    <row r="911" ht="15.75" customHeight="1">
      <c r="BP911" s="34"/>
      <c r="BQ911" s="11"/>
      <c r="BR911" s="11"/>
      <c r="BS911" s="11"/>
      <c r="BT911" s="11"/>
      <c r="BU911" s="11"/>
      <c r="BV911" s="11"/>
      <c r="BW911" s="11"/>
      <c r="BX911" s="11"/>
      <c r="BY911" s="11"/>
      <c r="BZ911" s="11"/>
      <c r="CA911" s="11"/>
      <c r="CB911" s="11"/>
      <c r="CC911" s="11"/>
      <c r="CD911" s="11"/>
    </row>
    <row r="912" ht="15.75" customHeight="1">
      <c r="BP912" s="34"/>
      <c r="BQ912" s="11"/>
      <c r="BR912" s="11"/>
      <c r="BS912" s="11"/>
      <c r="BT912" s="11"/>
      <c r="BU912" s="11"/>
      <c r="BV912" s="11"/>
      <c r="BW912" s="11"/>
      <c r="BX912" s="11"/>
      <c r="BY912" s="11"/>
      <c r="BZ912" s="11"/>
      <c r="CA912" s="11"/>
      <c r="CB912" s="11"/>
      <c r="CC912" s="11"/>
      <c r="CD912" s="11"/>
    </row>
    <row r="913" ht="15.75" customHeight="1">
      <c r="BP913" s="34"/>
      <c r="BQ913" s="11"/>
      <c r="BR913" s="11"/>
      <c r="BS913" s="11"/>
      <c r="BT913" s="11"/>
      <c r="BU913" s="11"/>
      <c r="BV913" s="11"/>
      <c r="BW913" s="11"/>
      <c r="BX913" s="11"/>
      <c r="BY913" s="11"/>
      <c r="BZ913" s="11"/>
      <c r="CA913" s="11"/>
      <c r="CB913" s="11"/>
      <c r="CC913" s="11"/>
      <c r="CD913" s="11"/>
    </row>
    <row r="914" ht="15.75" customHeight="1">
      <c r="BP914" s="34"/>
      <c r="BQ914" s="11"/>
      <c r="BR914" s="11"/>
      <c r="BS914" s="11"/>
      <c r="BT914" s="11"/>
      <c r="BU914" s="11"/>
      <c r="BV914" s="11"/>
      <c r="BW914" s="11"/>
      <c r="BX914" s="11"/>
      <c r="BY914" s="11"/>
      <c r="BZ914" s="11"/>
      <c r="CA914" s="11"/>
      <c r="CB914" s="11"/>
      <c r="CC914" s="11"/>
      <c r="CD914" s="11"/>
    </row>
    <row r="915" ht="15.75" customHeight="1">
      <c r="BP915" s="34"/>
      <c r="BQ915" s="11"/>
      <c r="BR915" s="11"/>
      <c r="BS915" s="11"/>
      <c r="BT915" s="11"/>
      <c r="BU915" s="11"/>
      <c r="BV915" s="11"/>
      <c r="BW915" s="11"/>
      <c r="BX915" s="11"/>
      <c r="BY915" s="11"/>
      <c r="BZ915" s="11"/>
      <c r="CA915" s="11"/>
      <c r="CB915" s="11"/>
      <c r="CC915" s="11"/>
      <c r="CD915" s="11"/>
    </row>
    <row r="916" ht="15.75" customHeight="1">
      <c r="BP916" s="34"/>
      <c r="BQ916" s="11"/>
      <c r="BR916" s="11"/>
      <c r="BS916" s="11"/>
      <c r="BT916" s="11"/>
      <c r="BU916" s="11"/>
      <c r="BV916" s="11"/>
      <c r="BW916" s="11"/>
      <c r="BX916" s="11"/>
      <c r="BY916" s="11"/>
      <c r="BZ916" s="11"/>
      <c r="CA916" s="11"/>
      <c r="CB916" s="11"/>
      <c r="CC916" s="11"/>
      <c r="CD916" s="11"/>
    </row>
    <row r="917" ht="15.75" customHeight="1">
      <c r="BP917" s="34"/>
      <c r="BQ917" s="11"/>
      <c r="BR917" s="11"/>
      <c r="BS917" s="11"/>
      <c r="BT917" s="11"/>
      <c r="BU917" s="11"/>
      <c r="BV917" s="11"/>
      <c r="BW917" s="11"/>
      <c r="BX917" s="11"/>
      <c r="BY917" s="11"/>
      <c r="BZ917" s="11"/>
      <c r="CA917" s="11"/>
      <c r="CB917" s="11"/>
      <c r="CC917" s="11"/>
      <c r="CD917" s="11"/>
    </row>
    <row r="918" ht="15.75" customHeight="1">
      <c r="BP918" s="34"/>
      <c r="BQ918" s="11"/>
      <c r="BR918" s="11"/>
      <c r="BS918" s="11"/>
      <c r="BT918" s="11"/>
      <c r="BU918" s="11"/>
      <c r="BV918" s="11"/>
      <c r="BW918" s="11"/>
      <c r="BX918" s="11"/>
      <c r="BY918" s="11"/>
      <c r="BZ918" s="11"/>
      <c r="CA918" s="11"/>
      <c r="CB918" s="11"/>
      <c r="CC918" s="11"/>
      <c r="CD918" s="11"/>
    </row>
    <row r="919" ht="15.75" customHeight="1">
      <c r="BP919" s="34"/>
      <c r="BQ919" s="11"/>
      <c r="BR919" s="11"/>
      <c r="BS919" s="11"/>
      <c r="BT919" s="11"/>
      <c r="BU919" s="11"/>
      <c r="BV919" s="11"/>
      <c r="BW919" s="11"/>
      <c r="BX919" s="11"/>
      <c r="BY919" s="11"/>
      <c r="BZ919" s="11"/>
      <c r="CA919" s="11"/>
      <c r="CB919" s="11"/>
      <c r="CC919" s="11"/>
      <c r="CD919" s="11"/>
    </row>
    <row r="920" ht="15.75" customHeight="1">
      <c r="BP920" s="34"/>
      <c r="BQ920" s="11"/>
      <c r="BR920" s="11"/>
      <c r="BS920" s="11"/>
      <c r="BT920" s="11"/>
      <c r="BU920" s="11"/>
      <c r="BV920" s="11"/>
      <c r="BW920" s="11"/>
      <c r="BX920" s="11"/>
      <c r="BY920" s="11"/>
      <c r="BZ920" s="11"/>
      <c r="CA920" s="11"/>
      <c r="CB920" s="11"/>
      <c r="CC920" s="11"/>
      <c r="CD920" s="11"/>
    </row>
    <row r="921" ht="15.75" customHeight="1">
      <c r="BP921" s="34"/>
      <c r="BQ921" s="11"/>
      <c r="BR921" s="11"/>
      <c r="BS921" s="11"/>
      <c r="BT921" s="11"/>
      <c r="BU921" s="11"/>
      <c r="BV921" s="11"/>
      <c r="BW921" s="11"/>
      <c r="BX921" s="11"/>
      <c r="BY921" s="11"/>
      <c r="BZ921" s="11"/>
      <c r="CA921" s="11"/>
      <c r="CB921" s="11"/>
      <c r="CC921" s="11"/>
      <c r="CD921" s="11"/>
    </row>
    <row r="922" ht="15.75" customHeight="1">
      <c r="BP922" s="34"/>
      <c r="BQ922" s="11"/>
      <c r="BR922" s="11"/>
      <c r="BS922" s="11"/>
      <c r="BT922" s="11"/>
      <c r="BU922" s="11"/>
      <c r="BV922" s="11"/>
      <c r="BW922" s="11"/>
      <c r="BX922" s="11"/>
      <c r="BY922" s="11"/>
      <c r="BZ922" s="11"/>
      <c r="CA922" s="11"/>
      <c r="CB922" s="11"/>
      <c r="CC922" s="11"/>
      <c r="CD922" s="11"/>
    </row>
    <row r="923" ht="15.75" customHeight="1">
      <c r="BP923" s="34"/>
      <c r="BQ923" s="11"/>
      <c r="BR923" s="11"/>
      <c r="BS923" s="11"/>
      <c r="BT923" s="11"/>
      <c r="BU923" s="11"/>
      <c r="BV923" s="11"/>
      <c r="BW923" s="11"/>
      <c r="BX923" s="11"/>
      <c r="BY923" s="11"/>
      <c r="BZ923" s="11"/>
      <c r="CA923" s="11"/>
      <c r="CB923" s="11"/>
      <c r="CC923" s="11"/>
      <c r="CD923" s="11"/>
    </row>
    <row r="924" ht="15.75" customHeight="1">
      <c r="BP924" s="34"/>
      <c r="BQ924" s="11"/>
      <c r="BR924" s="11"/>
      <c r="BS924" s="11"/>
      <c r="BT924" s="11"/>
      <c r="BU924" s="11"/>
      <c r="BV924" s="11"/>
      <c r="BW924" s="11"/>
      <c r="BX924" s="11"/>
      <c r="BY924" s="11"/>
      <c r="BZ924" s="11"/>
      <c r="CA924" s="11"/>
      <c r="CB924" s="11"/>
      <c r="CC924" s="11"/>
      <c r="CD924" s="11"/>
    </row>
    <row r="925" ht="15.75" customHeight="1">
      <c r="BP925" s="34"/>
      <c r="BQ925" s="11"/>
      <c r="BR925" s="11"/>
      <c r="BS925" s="11"/>
      <c r="BT925" s="11"/>
      <c r="BU925" s="11"/>
      <c r="BV925" s="11"/>
      <c r="BW925" s="11"/>
      <c r="BX925" s="11"/>
      <c r="BY925" s="11"/>
      <c r="BZ925" s="11"/>
      <c r="CA925" s="11"/>
      <c r="CB925" s="11"/>
      <c r="CC925" s="11"/>
      <c r="CD925" s="11"/>
    </row>
    <row r="926" ht="15.75" customHeight="1">
      <c r="BP926" s="34"/>
      <c r="BQ926" s="11"/>
      <c r="BR926" s="11"/>
      <c r="BS926" s="11"/>
      <c r="BT926" s="11"/>
      <c r="BU926" s="11"/>
      <c r="BV926" s="11"/>
      <c r="BW926" s="11"/>
      <c r="BX926" s="11"/>
      <c r="BY926" s="11"/>
      <c r="BZ926" s="11"/>
      <c r="CA926" s="11"/>
      <c r="CB926" s="11"/>
      <c r="CC926" s="11"/>
      <c r="CD926" s="11"/>
    </row>
    <row r="927" ht="15.75" customHeight="1">
      <c r="BP927" s="34"/>
      <c r="BQ927" s="11"/>
      <c r="BR927" s="11"/>
      <c r="BS927" s="11"/>
      <c r="BT927" s="11"/>
      <c r="BU927" s="11"/>
      <c r="BV927" s="11"/>
      <c r="BW927" s="11"/>
      <c r="BX927" s="11"/>
      <c r="BY927" s="11"/>
      <c r="BZ927" s="11"/>
      <c r="CA927" s="11"/>
      <c r="CB927" s="11"/>
      <c r="CC927" s="11"/>
      <c r="CD927" s="11"/>
    </row>
    <row r="928" ht="15.75" customHeight="1">
      <c r="BP928" s="34"/>
      <c r="BQ928" s="11"/>
      <c r="BR928" s="11"/>
      <c r="BS928" s="11"/>
      <c r="BT928" s="11"/>
      <c r="BU928" s="11"/>
      <c r="BV928" s="11"/>
      <c r="BW928" s="11"/>
      <c r="BX928" s="11"/>
      <c r="BY928" s="11"/>
      <c r="BZ928" s="11"/>
      <c r="CA928" s="11"/>
      <c r="CB928" s="11"/>
      <c r="CC928" s="11"/>
      <c r="CD928" s="11"/>
    </row>
    <row r="929" ht="15.75" customHeight="1">
      <c r="BP929" s="34"/>
      <c r="BQ929" s="11"/>
      <c r="BR929" s="11"/>
      <c r="BS929" s="11"/>
      <c r="BT929" s="11"/>
      <c r="BU929" s="11"/>
      <c r="BV929" s="11"/>
      <c r="BW929" s="11"/>
      <c r="BX929" s="11"/>
      <c r="BY929" s="11"/>
      <c r="BZ929" s="11"/>
      <c r="CA929" s="11"/>
      <c r="CB929" s="11"/>
      <c r="CC929" s="11"/>
      <c r="CD929" s="11"/>
    </row>
    <row r="930" ht="15.75" customHeight="1">
      <c r="BP930" s="34"/>
      <c r="BQ930" s="11"/>
      <c r="BR930" s="11"/>
      <c r="BS930" s="11"/>
      <c r="BT930" s="11"/>
      <c r="BU930" s="11"/>
      <c r="BV930" s="11"/>
      <c r="BW930" s="11"/>
      <c r="BX930" s="11"/>
      <c r="BY930" s="11"/>
      <c r="BZ930" s="11"/>
      <c r="CA930" s="11"/>
      <c r="CB930" s="11"/>
      <c r="CC930" s="11"/>
      <c r="CD930" s="11"/>
    </row>
    <row r="931" ht="15.75" customHeight="1">
      <c r="BP931" s="34"/>
      <c r="BQ931" s="11"/>
      <c r="BR931" s="11"/>
      <c r="BS931" s="11"/>
      <c r="BT931" s="11"/>
      <c r="BU931" s="11"/>
      <c r="BV931" s="11"/>
      <c r="BW931" s="11"/>
      <c r="BX931" s="11"/>
      <c r="BY931" s="11"/>
      <c r="BZ931" s="11"/>
      <c r="CA931" s="11"/>
      <c r="CB931" s="11"/>
      <c r="CC931" s="11"/>
      <c r="CD931" s="11"/>
    </row>
    <row r="932" ht="15.75" customHeight="1">
      <c r="BP932" s="34"/>
      <c r="BQ932" s="11"/>
      <c r="BR932" s="11"/>
      <c r="BS932" s="11"/>
      <c r="BT932" s="11"/>
      <c r="BU932" s="11"/>
      <c r="BV932" s="11"/>
      <c r="BW932" s="11"/>
      <c r="BX932" s="11"/>
      <c r="BY932" s="11"/>
      <c r="BZ932" s="11"/>
      <c r="CA932" s="11"/>
      <c r="CB932" s="11"/>
      <c r="CC932" s="11"/>
      <c r="CD932" s="11"/>
    </row>
    <row r="933" ht="15.75" customHeight="1">
      <c r="BP933" s="34"/>
      <c r="BQ933" s="11"/>
      <c r="BR933" s="11"/>
      <c r="BS933" s="11"/>
      <c r="BT933" s="11"/>
      <c r="BU933" s="11"/>
      <c r="BV933" s="11"/>
      <c r="BW933" s="11"/>
      <c r="BX933" s="11"/>
      <c r="BY933" s="11"/>
      <c r="BZ933" s="11"/>
      <c r="CA933" s="11"/>
      <c r="CB933" s="11"/>
      <c r="CC933" s="11"/>
      <c r="CD933" s="11"/>
    </row>
    <row r="934" ht="15.75" customHeight="1">
      <c r="BP934" s="34"/>
      <c r="BQ934" s="11"/>
      <c r="BR934" s="11"/>
      <c r="BS934" s="11"/>
      <c r="BT934" s="11"/>
      <c r="BU934" s="11"/>
      <c r="BV934" s="11"/>
      <c r="BW934" s="11"/>
      <c r="BX934" s="11"/>
      <c r="BY934" s="11"/>
      <c r="BZ934" s="11"/>
      <c r="CA934" s="11"/>
      <c r="CB934" s="11"/>
      <c r="CC934" s="11"/>
      <c r="CD934" s="11"/>
    </row>
    <row r="935" ht="15.75" customHeight="1">
      <c r="BP935" s="34"/>
      <c r="BQ935" s="11"/>
      <c r="BR935" s="11"/>
      <c r="BS935" s="11"/>
      <c r="BT935" s="11"/>
      <c r="BU935" s="11"/>
      <c r="BV935" s="11"/>
      <c r="BW935" s="11"/>
      <c r="BX935" s="11"/>
      <c r="BY935" s="11"/>
      <c r="BZ935" s="11"/>
      <c r="CA935" s="11"/>
      <c r="CB935" s="11"/>
      <c r="CC935" s="11"/>
      <c r="CD935" s="11"/>
    </row>
    <row r="936" ht="15.75" customHeight="1">
      <c r="BP936" s="34"/>
      <c r="BQ936" s="11"/>
      <c r="BR936" s="11"/>
      <c r="BS936" s="11"/>
      <c r="BT936" s="11"/>
      <c r="BU936" s="11"/>
      <c r="BV936" s="11"/>
      <c r="BW936" s="11"/>
      <c r="BX936" s="11"/>
      <c r="BY936" s="11"/>
      <c r="BZ936" s="11"/>
      <c r="CA936" s="11"/>
      <c r="CB936" s="11"/>
      <c r="CC936" s="11"/>
      <c r="CD936" s="11"/>
    </row>
    <row r="937" ht="15.75" customHeight="1">
      <c r="BP937" s="34"/>
      <c r="BQ937" s="11"/>
      <c r="BR937" s="11"/>
      <c r="BS937" s="11"/>
      <c r="BT937" s="11"/>
      <c r="BU937" s="11"/>
      <c r="BV937" s="11"/>
      <c r="BW937" s="11"/>
      <c r="BX937" s="11"/>
      <c r="BY937" s="11"/>
      <c r="BZ937" s="11"/>
      <c r="CA937" s="11"/>
      <c r="CB937" s="11"/>
      <c r="CC937" s="11"/>
      <c r="CD937" s="11"/>
    </row>
    <row r="938" ht="15.75" customHeight="1">
      <c r="BP938" s="34"/>
      <c r="BQ938" s="11"/>
      <c r="BR938" s="11"/>
      <c r="BS938" s="11"/>
      <c r="BT938" s="11"/>
      <c r="BU938" s="11"/>
      <c r="BV938" s="11"/>
      <c r="BW938" s="11"/>
      <c r="BX938" s="11"/>
      <c r="BY938" s="11"/>
      <c r="BZ938" s="11"/>
      <c r="CA938" s="11"/>
      <c r="CB938" s="11"/>
      <c r="CC938" s="11"/>
      <c r="CD938" s="11"/>
    </row>
    <row r="939" ht="15.75" customHeight="1">
      <c r="BP939" s="34"/>
      <c r="BQ939" s="11"/>
      <c r="BR939" s="11"/>
      <c r="BS939" s="11"/>
      <c r="BT939" s="11"/>
      <c r="BU939" s="11"/>
      <c r="BV939" s="11"/>
      <c r="BW939" s="11"/>
      <c r="BX939" s="11"/>
      <c r="BY939" s="11"/>
      <c r="BZ939" s="11"/>
      <c r="CA939" s="11"/>
      <c r="CB939" s="11"/>
      <c r="CC939" s="11"/>
      <c r="CD939" s="11"/>
    </row>
    <row r="940" ht="15.75" customHeight="1">
      <c r="BP940" s="34"/>
      <c r="BQ940" s="11"/>
      <c r="BR940" s="11"/>
      <c r="BS940" s="11"/>
      <c r="BT940" s="11"/>
      <c r="BU940" s="11"/>
      <c r="BV940" s="11"/>
      <c r="BW940" s="11"/>
      <c r="BX940" s="11"/>
      <c r="BY940" s="11"/>
      <c r="BZ940" s="11"/>
      <c r="CA940" s="11"/>
      <c r="CB940" s="11"/>
      <c r="CC940" s="11"/>
      <c r="CD940" s="11"/>
    </row>
    <row r="941" ht="15.75" customHeight="1">
      <c r="BP941" s="34"/>
      <c r="BQ941" s="11"/>
      <c r="BR941" s="11"/>
      <c r="BS941" s="11"/>
      <c r="BT941" s="11"/>
      <c r="BU941" s="11"/>
      <c r="BV941" s="11"/>
      <c r="BW941" s="11"/>
      <c r="BX941" s="11"/>
      <c r="BY941" s="11"/>
      <c r="BZ941" s="11"/>
      <c r="CA941" s="11"/>
      <c r="CB941" s="11"/>
      <c r="CC941" s="11"/>
      <c r="CD941" s="11"/>
    </row>
    <row r="942" ht="15.75" customHeight="1">
      <c r="BP942" s="34"/>
      <c r="BQ942" s="11"/>
      <c r="BR942" s="11"/>
      <c r="BS942" s="11"/>
      <c r="BT942" s="11"/>
      <c r="BU942" s="11"/>
      <c r="BV942" s="11"/>
      <c r="BW942" s="11"/>
      <c r="BX942" s="11"/>
      <c r="BY942" s="11"/>
      <c r="BZ942" s="11"/>
      <c r="CA942" s="11"/>
      <c r="CB942" s="11"/>
      <c r="CC942" s="11"/>
      <c r="CD942" s="11"/>
    </row>
    <row r="943" ht="15.75" customHeight="1">
      <c r="BP943" s="34"/>
      <c r="BQ943" s="11"/>
      <c r="BR943" s="11"/>
      <c r="BS943" s="11"/>
      <c r="BT943" s="11"/>
      <c r="BU943" s="11"/>
      <c r="BV943" s="11"/>
      <c r="BW943" s="11"/>
      <c r="BX943" s="11"/>
      <c r="BY943" s="11"/>
      <c r="BZ943" s="11"/>
      <c r="CA943" s="11"/>
      <c r="CB943" s="11"/>
      <c r="CC943" s="11"/>
      <c r="CD943" s="11"/>
    </row>
    <row r="944" ht="15.75" customHeight="1">
      <c r="BP944" s="34"/>
      <c r="BQ944" s="11"/>
      <c r="BR944" s="11"/>
      <c r="BS944" s="11"/>
      <c r="BT944" s="11"/>
      <c r="BU944" s="11"/>
      <c r="BV944" s="11"/>
      <c r="BW944" s="11"/>
      <c r="BX944" s="11"/>
      <c r="BY944" s="11"/>
      <c r="BZ944" s="11"/>
      <c r="CA944" s="11"/>
      <c r="CB944" s="11"/>
      <c r="CC944" s="11"/>
      <c r="CD944" s="11"/>
    </row>
    <row r="945" ht="15.75" customHeight="1">
      <c r="BP945" s="34"/>
      <c r="BQ945" s="11"/>
      <c r="BR945" s="11"/>
      <c r="BS945" s="11"/>
      <c r="BT945" s="11"/>
      <c r="BU945" s="11"/>
      <c r="BV945" s="11"/>
      <c r="BW945" s="11"/>
      <c r="BX945" s="11"/>
      <c r="BY945" s="11"/>
      <c r="BZ945" s="11"/>
      <c r="CA945" s="11"/>
      <c r="CB945" s="11"/>
      <c r="CC945" s="11"/>
      <c r="CD945" s="11"/>
    </row>
    <row r="946" ht="15.75" customHeight="1">
      <c r="BP946" s="34"/>
      <c r="BQ946" s="11"/>
      <c r="BR946" s="11"/>
      <c r="BS946" s="11"/>
      <c r="BT946" s="11"/>
      <c r="BU946" s="11"/>
      <c r="BV946" s="11"/>
      <c r="BW946" s="11"/>
      <c r="BX946" s="11"/>
      <c r="BY946" s="11"/>
      <c r="BZ946" s="11"/>
      <c r="CA946" s="11"/>
      <c r="CB946" s="11"/>
      <c r="CC946" s="11"/>
      <c r="CD946" s="11"/>
    </row>
    <row r="947" ht="15.75" customHeight="1">
      <c r="BP947" s="34"/>
      <c r="BQ947" s="11"/>
      <c r="BR947" s="11"/>
      <c r="BS947" s="11"/>
      <c r="BT947" s="11"/>
      <c r="BU947" s="11"/>
      <c r="BV947" s="11"/>
      <c r="BW947" s="11"/>
      <c r="BX947" s="11"/>
      <c r="BY947" s="11"/>
      <c r="BZ947" s="11"/>
      <c r="CA947" s="11"/>
      <c r="CB947" s="11"/>
      <c r="CC947" s="11"/>
      <c r="CD947" s="11"/>
    </row>
    <row r="948" ht="15.75" customHeight="1">
      <c r="BP948" s="34"/>
      <c r="BQ948" s="11"/>
      <c r="BR948" s="11"/>
      <c r="BS948" s="11"/>
      <c r="BT948" s="11"/>
      <c r="BU948" s="11"/>
      <c r="BV948" s="11"/>
      <c r="BW948" s="11"/>
      <c r="BX948" s="11"/>
      <c r="BY948" s="11"/>
      <c r="BZ948" s="11"/>
      <c r="CA948" s="11"/>
      <c r="CB948" s="11"/>
      <c r="CC948" s="11"/>
      <c r="CD948" s="11"/>
    </row>
    <row r="949" ht="15.75" customHeight="1">
      <c r="BP949" s="34"/>
      <c r="BQ949" s="11"/>
      <c r="BR949" s="11"/>
      <c r="BS949" s="11"/>
      <c r="BT949" s="11"/>
      <c r="BU949" s="11"/>
      <c r="BV949" s="11"/>
      <c r="BW949" s="11"/>
      <c r="BX949" s="11"/>
      <c r="BY949" s="11"/>
      <c r="BZ949" s="11"/>
      <c r="CA949" s="11"/>
      <c r="CB949" s="11"/>
      <c r="CC949" s="11"/>
      <c r="CD949" s="11"/>
    </row>
    <row r="950" ht="15.75" customHeight="1">
      <c r="BP950" s="34"/>
      <c r="BQ950" s="11"/>
      <c r="BR950" s="11"/>
      <c r="BS950" s="11"/>
      <c r="BT950" s="11"/>
      <c r="BU950" s="11"/>
      <c r="BV950" s="11"/>
      <c r="BW950" s="11"/>
      <c r="BX950" s="11"/>
      <c r="BY950" s="11"/>
      <c r="BZ950" s="11"/>
      <c r="CA950" s="11"/>
      <c r="CB950" s="11"/>
      <c r="CC950" s="11"/>
      <c r="CD950" s="11"/>
    </row>
    <row r="951" ht="15.75" customHeight="1">
      <c r="BP951" s="34"/>
      <c r="BQ951" s="11"/>
      <c r="BR951" s="11"/>
      <c r="BS951" s="11"/>
      <c r="BT951" s="11"/>
      <c r="BU951" s="11"/>
      <c r="BV951" s="11"/>
      <c r="BW951" s="11"/>
      <c r="BX951" s="11"/>
      <c r="BY951" s="11"/>
      <c r="BZ951" s="11"/>
      <c r="CA951" s="11"/>
      <c r="CB951" s="11"/>
      <c r="CC951" s="11"/>
      <c r="CD951" s="11"/>
    </row>
    <row r="952" ht="15.75" customHeight="1">
      <c r="BP952" s="34"/>
      <c r="BQ952" s="11"/>
      <c r="BR952" s="11"/>
      <c r="BS952" s="11"/>
      <c r="BT952" s="11"/>
      <c r="BU952" s="11"/>
      <c r="BV952" s="11"/>
      <c r="BW952" s="11"/>
      <c r="BX952" s="11"/>
      <c r="BY952" s="11"/>
      <c r="BZ952" s="11"/>
      <c r="CA952" s="11"/>
      <c r="CB952" s="11"/>
      <c r="CC952" s="11"/>
      <c r="CD952" s="11"/>
    </row>
    <row r="953" ht="15.75" customHeight="1">
      <c r="BP953" s="34"/>
      <c r="BQ953" s="11"/>
      <c r="BR953" s="11"/>
      <c r="BS953" s="11"/>
      <c r="BT953" s="11"/>
      <c r="BU953" s="11"/>
      <c r="BV953" s="11"/>
      <c r="BW953" s="11"/>
      <c r="BX953" s="11"/>
      <c r="BY953" s="11"/>
      <c r="BZ953" s="11"/>
      <c r="CA953" s="11"/>
      <c r="CB953" s="11"/>
      <c r="CC953" s="11"/>
      <c r="CD953" s="11"/>
    </row>
    <row r="954" ht="15.75" customHeight="1">
      <c r="BP954" s="34"/>
      <c r="BQ954" s="11"/>
      <c r="BR954" s="11"/>
      <c r="BS954" s="11"/>
      <c r="BT954" s="11"/>
      <c r="BU954" s="11"/>
      <c r="BV954" s="11"/>
      <c r="BW954" s="11"/>
      <c r="BX954" s="11"/>
      <c r="BY954" s="11"/>
      <c r="BZ954" s="11"/>
      <c r="CA954" s="11"/>
      <c r="CB954" s="11"/>
      <c r="CC954" s="11"/>
      <c r="CD954" s="11"/>
    </row>
    <row r="955" ht="15.75" customHeight="1">
      <c r="BP955" s="34"/>
      <c r="BQ955" s="11"/>
      <c r="BR955" s="11"/>
      <c r="BS955" s="11"/>
      <c r="BT955" s="11"/>
      <c r="BU955" s="11"/>
      <c r="BV955" s="11"/>
      <c r="BW955" s="11"/>
      <c r="BX955" s="11"/>
      <c r="BY955" s="11"/>
      <c r="BZ955" s="11"/>
      <c r="CA955" s="11"/>
      <c r="CB955" s="11"/>
      <c r="CC955" s="11"/>
      <c r="CD955" s="11"/>
    </row>
    <row r="956" ht="15.75" customHeight="1">
      <c r="BP956" s="34"/>
      <c r="BQ956" s="11"/>
      <c r="BR956" s="11"/>
      <c r="BS956" s="11"/>
      <c r="BT956" s="11"/>
      <c r="BU956" s="11"/>
      <c r="BV956" s="11"/>
      <c r="BW956" s="11"/>
      <c r="BX956" s="11"/>
      <c r="BY956" s="11"/>
      <c r="BZ956" s="11"/>
      <c r="CA956" s="11"/>
      <c r="CB956" s="11"/>
      <c r="CC956" s="11"/>
      <c r="CD956" s="11"/>
    </row>
    <row r="957" ht="15.75" customHeight="1">
      <c r="BP957" s="34"/>
      <c r="BQ957" s="11"/>
      <c r="BR957" s="11"/>
      <c r="BS957" s="11"/>
      <c r="BT957" s="11"/>
      <c r="BU957" s="11"/>
      <c r="BV957" s="11"/>
      <c r="BW957" s="11"/>
      <c r="BX957" s="11"/>
      <c r="BY957" s="11"/>
      <c r="BZ957" s="11"/>
      <c r="CA957" s="11"/>
      <c r="CB957" s="11"/>
      <c r="CC957" s="11"/>
      <c r="CD957" s="11"/>
    </row>
    <row r="958" ht="15.75" customHeight="1">
      <c r="BP958" s="34"/>
      <c r="BQ958" s="11"/>
      <c r="BR958" s="11"/>
      <c r="BS958" s="11"/>
      <c r="BT958" s="11"/>
      <c r="BU958" s="11"/>
      <c r="BV958" s="11"/>
      <c r="BW958" s="11"/>
      <c r="BX958" s="11"/>
      <c r="BY958" s="11"/>
      <c r="BZ958" s="11"/>
      <c r="CA958" s="11"/>
      <c r="CB958" s="11"/>
      <c r="CC958" s="11"/>
      <c r="CD958" s="11"/>
    </row>
    <row r="959" ht="15.75" customHeight="1">
      <c r="BP959" s="34"/>
      <c r="BQ959" s="11"/>
      <c r="BR959" s="11"/>
      <c r="BS959" s="11"/>
      <c r="BT959" s="11"/>
      <c r="BU959" s="11"/>
      <c r="BV959" s="11"/>
      <c r="BW959" s="11"/>
      <c r="BX959" s="11"/>
      <c r="BY959" s="11"/>
      <c r="BZ959" s="11"/>
      <c r="CA959" s="11"/>
      <c r="CB959" s="11"/>
      <c r="CC959" s="11"/>
      <c r="CD959" s="11"/>
    </row>
    <row r="960" ht="15.75" customHeight="1">
      <c r="BP960" s="34"/>
      <c r="BQ960" s="11"/>
      <c r="BR960" s="11"/>
      <c r="BS960" s="11"/>
      <c r="BT960" s="11"/>
      <c r="BU960" s="11"/>
      <c r="BV960" s="11"/>
      <c r="BW960" s="11"/>
      <c r="BX960" s="11"/>
      <c r="BY960" s="11"/>
      <c r="BZ960" s="11"/>
      <c r="CA960" s="11"/>
      <c r="CB960" s="11"/>
      <c r="CC960" s="11"/>
      <c r="CD960" s="11"/>
    </row>
    <row r="961" ht="15.75" customHeight="1">
      <c r="BP961" s="34"/>
      <c r="BQ961" s="11"/>
      <c r="BR961" s="11"/>
      <c r="BS961" s="11"/>
      <c r="BT961" s="11"/>
      <c r="BU961" s="11"/>
      <c r="BV961" s="11"/>
      <c r="BW961" s="11"/>
      <c r="BX961" s="11"/>
      <c r="BY961" s="11"/>
      <c r="BZ961" s="11"/>
      <c r="CA961" s="11"/>
      <c r="CB961" s="11"/>
      <c r="CC961" s="11"/>
      <c r="CD961" s="11"/>
    </row>
    <row r="962" ht="15.75" customHeight="1">
      <c r="BP962" s="34"/>
      <c r="BQ962" s="11"/>
      <c r="BR962" s="11"/>
      <c r="BS962" s="11"/>
      <c r="BT962" s="11"/>
      <c r="BU962" s="11"/>
      <c r="BV962" s="11"/>
      <c r="BW962" s="11"/>
      <c r="BX962" s="11"/>
      <c r="BY962" s="11"/>
      <c r="BZ962" s="11"/>
      <c r="CA962" s="11"/>
      <c r="CB962" s="11"/>
      <c r="CC962" s="11"/>
      <c r="CD962" s="11"/>
    </row>
    <row r="963" ht="15.75" customHeight="1">
      <c r="BP963" s="34"/>
      <c r="BQ963" s="11"/>
      <c r="BR963" s="11"/>
      <c r="BS963" s="11"/>
      <c r="BT963" s="11"/>
      <c r="BU963" s="11"/>
      <c r="BV963" s="11"/>
      <c r="BW963" s="11"/>
      <c r="BX963" s="11"/>
      <c r="BY963" s="11"/>
      <c r="BZ963" s="11"/>
      <c r="CA963" s="11"/>
      <c r="CB963" s="11"/>
      <c r="CC963" s="11"/>
      <c r="CD963" s="11"/>
    </row>
    <row r="964" ht="15.75" customHeight="1">
      <c r="BP964" s="34"/>
      <c r="BQ964" s="11"/>
      <c r="BR964" s="11"/>
      <c r="BS964" s="11"/>
      <c r="BT964" s="11"/>
      <c r="BU964" s="11"/>
      <c r="BV964" s="11"/>
      <c r="BW964" s="11"/>
      <c r="BX964" s="11"/>
      <c r="BY964" s="11"/>
      <c r="BZ964" s="11"/>
      <c r="CA964" s="11"/>
      <c r="CB964" s="11"/>
      <c r="CC964" s="11"/>
      <c r="CD964" s="11"/>
    </row>
    <row r="965" ht="15.75" customHeight="1">
      <c r="BP965" s="34"/>
      <c r="BQ965" s="11"/>
      <c r="BR965" s="11"/>
      <c r="BS965" s="11"/>
      <c r="BT965" s="11"/>
      <c r="BU965" s="11"/>
      <c r="BV965" s="11"/>
      <c r="BW965" s="11"/>
      <c r="BX965" s="11"/>
      <c r="BY965" s="11"/>
      <c r="BZ965" s="11"/>
      <c r="CA965" s="11"/>
      <c r="CB965" s="11"/>
      <c r="CC965" s="11"/>
      <c r="CD965" s="11"/>
    </row>
    <row r="966" ht="15.75" customHeight="1">
      <c r="BP966" s="34"/>
      <c r="BQ966" s="11"/>
      <c r="BR966" s="11"/>
      <c r="BS966" s="11"/>
      <c r="BT966" s="11"/>
      <c r="BU966" s="11"/>
      <c r="BV966" s="11"/>
      <c r="BW966" s="11"/>
      <c r="BX966" s="11"/>
      <c r="BY966" s="11"/>
      <c r="BZ966" s="11"/>
      <c r="CA966" s="11"/>
      <c r="CB966" s="11"/>
      <c r="CC966" s="11"/>
      <c r="CD966" s="11"/>
    </row>
    <row r="967" ht="15.75" customHeight="1">
      <c r="BP967" s="34"/>
      <c r="BQ967" s="11"/>
      <c r="BR967" s="11"/>
      <c r="BS967" s="11"/>
      <c r="BT967" s="11"/>
      <c r="BU967" s="11"/>
      <c r="BV967" s="11"/>
      <c r="BW967" s="11"/>
      <c r="BX967" s="11"/>
      <c r="BY967" s="11"/>
      <c r="BZ967" s="11"/>
      <c r="CA967" s="11"/>
      <c r="CB967" s="11"/>
      <c r="CC967" s="11"/>
      <c r="CD967" s="11"/>
    </row>
    <row r="968" ht="15.75" customHeight="1">
      <c r="BP968" s="34"/>
      <c r="BQ968" s="11"/>
      <c r="BR968" s="11"/>
      <c r="BS968" s="11"/>
      <c r="BT968" s="11"/>
      <c r="BU968" s="11"/>
      <c r="BV968" s="11"/>
      <c r="BW968" s="11"/>
      <c r="BX968" s="11"/>
      <c r="BY968" s="11"/>
      <c r="BZ968" s="11"/>
      <c r="CA968" s="11"/>
      <c r="CB968" s="11"/>
      <c r="CC968" s="11"/>
      <c r="CD968" s="11"/>
    </row>
    <row r="969" ht="15.75" customHeight="1">
      <c r="BP969" s="34"/>
      <c r="BQ969" s="11"/>
      <c r="BR969" s="11"/>
      <c r="BS969" s="11"/>
      <c r="BT969" s="11"/>
      <c r="BU969" s="11"/>
      <c r="BV969" s="11"/>
      <c r="BW969" s="11"/>
      <c r="BX969" s="11"/>
      <c r="BY969" s="11"/>
      <c r="BZ969" s="11"/>
      <c r="CA969" s="11"/>
      <c r="CB969" s="11"/>
      <c r="CC969" s="11"/>
      <c r="CD969" s="11"/>
    </row>
    <row r="970" ht="15.75" customHeight="1">
      <c r="BP970" s="34"/>
      <c r="BQ970" s="11"/>
      <c r="BR970" s="11"/>
      <c r="BS970" s="11"/>
      <c r="BT970" s="11"/>
      <c r="BU970" s="11"/>
      <c r="BV970" s="11"/>
      <c r="BW970" s="11"/>
      <c r="BX970" s="11"/>
      <c r="BY970" s="11"/>
      <c r="BZ970" s="11"/>
      <c r="CA970" s="11"/>
      <c r="CB970" s="11"/>
      <c r="CC970" s="11"/>
      <c r="CD970" s="11"/>
    </row>
    <row r="971" ht="15.75" customHeight="1">
      <c r="BP971" s="34"/>
      <c r="BQ971" s="11"/>
      <c r="BR971" s="11"/>
      <c r="BS971" s="11"/>
      <c r="BT971" s="11"/>
      <c r="BU971" s="11"/>
      <c r="BV971" s="11"/>
      <c r="BW971" s="11"/>
      <c r="BX971" s="11"/>
      <c r="BY971" s="11"/>
      <c r="BZ971" s="11"/>
      <c r="CA971" s="11"/>
      <c r="CB971" s="11"/>
      <c r="CC971" s="11"/>
      <c r="CD971" s="11"/>
    </row>
    <row r="972" ht="15.75" customHeight="1">
      <c r="BP972" s="34"/>
      <c r="BQ972" s="11"/>
      <c r="BR972" s="11"/>
      <c r="BS972" s="11"/>
      <c r="BT972" s="11"/>
      <c r="BU972" s="11"/>
      <c r="BV972" s="11"/>
      <c r="BW972" s="11"/>
      <c r="BX972" s="11"/>
      <c r="BY972" s="11"/>
      <c r="BZ972" s="11"/>
      <c r="CA972" s="11"/>
      <c r="CB972" s="11"/>
      <c r="CC972" s="11"/>
      <c r="CD972" s="11"/>
    </row>
    <row r="973" ht="15.75" customHeight="1">
      <c r="BP973" s="34"/>
      <c r="BQ973" s="11"/>
      <c r="BR973" s="11"/>
      <c r="BS973" s="11"/>
      <c r="BT973" s="11"/>
      <c r="BU973" s="11"/>
      <c r="BV973" s="11"/>
      <c r="BW973" s="11"/>
      <c r="BX973" s="11"/>
      <c r="BY973" s="11"/>
      <c r="BZ973" s="11"/>
      <c r="CA973" s="11"/>
      <c r="CB973" s="11"/>
      <c r="CC973" s="11"/>
      <c r="CD973" s="11"/>
    </row>
    <row r="974" ht="15.75" customHeight="1">
      <c r="BP974" s="34"/>
      <c r="BQ974" s="11"/>
      <c r="BR974" s="11"/>
      <c r="BS974" s="11"/>
      <c r="BT974" s="11"/>
      <c r="BU974" s="11"/>
      <c r="BV974" s="11"/>
      <c r="BW974" s="11"/>
      <c r="BX974" s="11"/>
      <c r="BY974" s="11"/>
      <c r="BZ974" s="11"/>
      <c r="CA974" s="11"/>
      <c r="CB974" s="11"/>
      <c r="CC974" s="11"/>
      <c r="CD974" s="11"/>
    </row>
    <row r="975" ht="15.75" customHeight="1">
      <c r="BP975" s="34"/>
      <c r="BQ975" s="11"/>
      <c r="BR975" s="11"/>
      <c r="BS975" s="11"/>
      <c r="BT975" s="11"/>
      <c r="BU975" s="11"/>
      <c r="BV975" s="11"/>
      <c r="BW975" s="11"/>
      <c r="BX975" s="11"/>
      <c r="BY975" s="11"/>
      <c r="BZ975" s="11"/>
      <c r="CA975" s="11"/>
      <c r="CB975" s="11"/>
      <c r="CC975" s="11"/>
      <c r="CD975" s="11"/>
    </row>
    <row r="976" ht="15.75" customHeight="1">
      <c r="BP976" s="34"/>
      <c r="BQ976" s="11"/>
      <c r="BR976" s="11"/>
      <c r="BS976" s="11"/>
      <c r="BT976" s="11"/>
      <c r="BU976" s="11"/>
      <c r="BV976" s="11"/>
      <c r="BW976" s="11"/>
      <c r="BX976" s="11"/>
      <c r="BY976" s="11"/>
      <c r="BZ976" s="11"/>
      <c r="CA976" s="11"/>
      <c r="CB976" s="11"/>
      <c r="CC976" s="11"/>
      <c r="CD976" s="11"/>
    </row>
    <row r="977" ht="15.75" customHeight="1">
      <c r="BP977" s="34"/>
      <c r="BQ977" s="11"/>
      <c r="BR977" s="11"/>
      <c r="BS977" s="11"/>
      <c r="BT977" s="11"/>
      <c r="BU977" s="11"/>
      <c r="BV977" s="11"/>
      <c r="BW977" s="11"/>
      <c r="BX977" s="11"/>
      <c r="BY977" s="11"/>
      <c r="BZ977" s="11"/>
      <c r="CA977" s="11"/>
      <c r="CB977" s="11"/>
      <c r="CC977" s="11"/>
      <c r="CD977" s="11"/>
    </row>
    <row r="978" ht="15.75" customHeight="1">
      <c r="BP978" s="34"/>
      <c r="BQ978" s="11"/>
      <c r="BR978" s="11"/>
      <c r="BS978" s="11"/>
      <c r="BT978" s="11"/>
      <c r="BU978" s="11"/>
      <c r="BV978" s="11"/>
      <c r="BW978" s="11"/>
      <c r="BX978" s="11"/>
      <c r="BY978" s="11"/>
      <c r="BZ978" s="11"/>
      <c r="CA978" s="11"/>
      <c r="CB978" s="11"/>
      <c r="CC978" s="11"/>
      <c r="CD978" s="11"/>
    </row>
    <row r="979" ht="15.75" customHeight="1">
      <c r="BP979" s="34"/>
      <c r="BQ979" s="11"/>
      <c r="BR979" s="11"/>
      <c r="BS979" s="11"/>
      <c r="BT979" s="11"/>
      <c r="BU979" s="11"/>
      <c r="BV979" s="11"/>
      <c r="BW979" s="11"/>
      <c r="BX979" s="11"/>
      <c r="BY979" s="11"/>
      <c r="BZ979" s="11"/>
      <c r="CA979" s="11"/>
      <c r="CB979" s="11"/>
      <c r="CC979" s="11"/>
      <c r="CD979" s="11"/>
    </row>
    <row r="980" ht="15.75" customHeight="1">
      <c r="BP980" s="34"/>
      <c r="BQ980" s="11"/>
      <c r="BR980" s="11"/>
      <c r="BS980" s="11"/>
      <c r="BT980" s="11"/>
      <c r="BU980" s="11"/>
      <c r="BV980" s="11"/>
      <c r="BW980" s="11"/>
      <c r="BX980" s="11"/>
      <c r="BY980" s="11"/>
      <c r="BZ980" s="11"/>
      <c r="CA980" s="11"/>
      <c r="CB980" s="11"/>
      <c r="CC980" s="11"/>
      <c r="CD980" s="11"/>
    </row>
    <row r="981" ht="15.75" customHeight="1">
      <c r="BP981" s="34"/>
      <c r="BQ981" s="11"/>
      <c r="BR981" s="11"/>
      <c r="BS981" s="11"/>
      <c r="BT981" s="11"/>
      <c r="BU981" s="11"/>
      <c r="BV981" s="11"/>
      <c r="BW981" s="11"/>
      <c r="BX981" s="11"/>
      <c r="BY981" s="11"/>
      <c r="BZ981" s="11"/>
      <c r="CA981" s="11"/>
      <c r="CB981" s="11"/>
      <c r="CC981" s="11"/>
      <c r="CD981" s="11"/>
    </row>
    <row r="982" ht="15.75" customHeight="1">
      <c r="BP982" s="34"/>
      <c r="BQ982" s="11"/>
      <c r="BR982" s="11"/>
      <c r="BS982" s="11"/>
      <c r="BT982" s="11"/>
      <c r="BU982" s="11"/>
      <c r="BV982" s="11"/>
      <c r="BW982" s="11"/>
      <c r="BX982" s="11"/>
      <c r="BY982" s="11"/>
      <c r="BZ982" s="11"/>
      <c r="CA982" s="11"/>
      <c r="CB982" s="11"/>
      <c r="CC982" s="11"/>
      <c r="CD982" s="11"/>
    </row>
    <row r="983" ht="15.75" customHeight="1">
      <c r="BP983" s="34"/>
      <c r="BQ983" s="11"/>
      <c r="BR983" s="11"/>
      <c r="BS983" s="11"/>
      <c r="BT983" s="11"/>
      <c r="BU983" s="11"/>
      <c r="BV983" s="11"/>
      <c r="BW983" s="11"/>
      <c r="BX983" s="11"/>
      <c r="BY983" s="11"/>
      <c r="BZ983" s="11"/>
      <c r="CA983" s="11"/>
      <c r="CB983" s="11"/>
      <c r="CC983" s="11"/>
      <c r="CD983" s="11"/>
    </row>
    <row r="984" ht="15.75" customHeight="1">
      <c r="BP984" s="34"/>
      <c r="BQ984" s="11"/>
      <c r="BR984" s="11"/>
      <c r="BS984" s="11"/>
      <c r="BT984" s="11"/>
      <c r="BU984" s="11"/>
      <c r="BV984" s="11"/>
      <c r="BW984" s="11"/>
      <c r="BX984" s="11"/>
      <c r="BY984" s="11"/>
      <c r="BZ984" s="11"/>
      <c r="CA984" s="11"/>
      <c r="CB984" s="11"/>
      <c r="CC984" s="11"/>
      <c r="CD984" s="11"/>
    </row>
    <row r="985" ht="15.75" customHeight="1">
      <c r="BP985" s="34"/>
      <c r="BQ985" s="11"/>
      <c r="BR985" s="11"/>
      <c r="BS985" s="11"/>
      <c r="BT985" s="11"/>
      <c r="BU985" s="11"/>
      <c r="BV985" s="11"/>
      <c r="BW985" s="11"/>
      <c r="BX985" s="11"/>
      <c r="BY985" s="11"/>
      <c r="BZ985" s="11"/>
      <c r="CA985" s="11"/>
      <c r="CB985" s="11"/>
      <c r="CC985" s="11"/>
      <c r="CD985" s="11"/>
    </row>
    <row r="986" ht="15.75" customHeight="1">
      <c r="BP986" s="34"/>
      <c r="BQ986" s="11"/>
      <c r="BR986" s="11"/>
      <c r="BS986" s="11"/>
      <c r="BT986" s="11"/>
      <c r="BU986" s="11"/>
      <c r="BV986" s="11"/>
      <c r="BW986" s="11"/>
      <c r="BX986" s="11"/>
      <c r="BY986" s="11"/>
      <c r="BZ986" s="11"/>
      <c r="CA986" s="11"/>
      <c r="CB986" s="11"/>
      <c r="CC986" s="11"/>
      <c r="CD986" s="11"/>
    </row>
    <row r="987" ht="15.75" customHeight="1">
      <c r="BP987" s="34"/>
      <c r="BQ987" s="11"/>
      <c r="BR987" s="11"/>
      <c r="BS987" s="11"/>
      <c r="BT987" s="11"/>
      <c r="BU987" s="11"/>
      <c r="BV987" s="11"/>
      <c r="BW987" s="11"/>
      <c r="BX987" s="11"/>
      <c r="BY987" s="11"/>
      <c r="BZ987" s="11"/>
      <c r="CA987" s="11"/>
      <c r="CB987" s="11"/>
      <c r="CC987" s="11"/>
      <c r="CD987" s="11"/>
    </row>
    <row r="988" ht="15.75" customHeight="1">
      <c r="BP988" s="34"/>
      <c r="BQ988" s="11"/>
      <c r="BR988" s="11"/>
      <c r="BS988" s="11"/>
      <c r="BT988" s="11"/>
      <c r="BU988" s="11"/>
      <c r="BV988" s="11"/>
      <c r="BW988" s="11"/>
      <c r="BX988" s="11"/>
      <c r="BY988" s="11"/>
      <c r="BZ988" s="11"/>
      <c r="CA988" s="11"/>
      <c r="CB988" s="11"/>
      <c r="CC988" s="11"/>
      <c r="CD988" s="11"/>
    </row>
    <row r="989" ht="15.75" customHeight="1">
      <c r="BP989" s="34"/>
      <c r="BQ989" s="11"/>
      <c r="BR989" s="11"/>
      <c r="BS989" s="11"/>
      <c r="BT989" s="11"/>
      <c r="BU989" s="11"/>
      <c r="BV989" s="11"/>
      <c r="BW989" s="11"/>
      <c r="BX989" s="11"/>
      <c r="BY989" s="11"/>
      <c r="BZ989" s="11"/>
      <c r="CA989" s="11"/>
      <c r="CB989" s="11"/>
      <c r="CC989" s="11"/>
      <c r="CD989" s="11"/>
    </row>
    <row r="990" ht="15.75" customHeight="1">
      <c r="BP990" s="34"/>
      <c r="BQ990" s="11"/>
      <c r="BR990" s="11"/>
      <c r="BS990" s="11"/>
      <c r="BT990" s="11"/>
      <c r="BU990" s="11"/>
      <c r="BV990" s="11"/>
      <c r="BW990" s="11"/>
      <c r="BX990" s="11"/>
      <c r="BY990" s="11"/>
      <c r="BZ990" s="11"/>
      <c r="CA990" s="11"/>
      <c r="CB990" s="11"/>
      <c r="CC990" s="11"/>
      <c r="CD990" s="11"/>
    </row>
    <row r="991" ht="15.75" customHeight="1">
      <c r="BP991" s="34"/>
      <c r="BQ991" s="11"/>
      <c r="BR991" s="11"/>
      <c r="BS991" s="11"/>
      <c r="BT991" s="11"/>
      <c r="BU991" s="11"/>
      <c r="BV991" s="11"/>
      <c r="BW991" s="11"/>
      <c r="BX991" s="11"/>
      <c r="BY991" s="11"/>
      <c r="BZ991" s="11"/>
      <c r="CA991" s="11"/>
      <c r="CB991" s="11"/>
      <c r="CC991" s="11"/>
      <c r="CD991" s="11"/>
    </row>
    <row r="992" ht="15.75" customHeight="1">
      <c r="BP992" s="34"/>
      <c r="BQ992" s="11"/>
      <c r="BR992" s="11"/>
      <c r="BS992" s="11"/>
      <c r="BT992" s="11"/>
      <c r="BU992" s="11"/>
      <c r="BV992" s="11"/>
      <c r="BW992" s="11"/>
      <c r="BX992" s="11"/>
      <c r="BY992" s="11"/>
      <c r="BZ992" s="11"/>
      <c r="CA992" s="11"/>
      <c r="CB992" s="11"/>
      <c r="CC992" s="11"/>
      <c r="CD992" s="11"/>
    </row>
    <row r="993" ht="15.75" customHeight="1">
      <c r="BP993" s="34"/>
      <c r="BQ993" s="11"/>
      <c r="BR993" s="11"/>
      <c r="BS993" s="11"/>
      <c r="BT993" s="11"/>
      <c r="BU993" s="11"/>
      <c r="BV993" s="11"/>
      <c r="BW993" s="11"/>
      <c r="BX993" s="11"/>
      <c r="BY993" s="11"/>
      <c r="BZ993" s="11"/>
      <c r="CA993" s="11"/>
      <c r="CB993" s="11"/>
      <c r="CC993" s="11"/>
      <c r="CD993" s="11"/>
    </row>
    <row r="994" ht="15.75" customHeight="1">
      <c r="BP994" s="34"/>
      <c r="BQ994" s="11"/>
      <c r="BR994" s="11"/>
      <c r="BS994" s="11"/>
      <c r="BT994" s="11"/>
      <c r="BU994" s="11"/>
      <c r="BV994" s="11"/>
      <c r="BW994" s="11"/>
      <c r="BX994" s="11"/>
      <c r="BY994" s="11"/>
      <c r="BZ994" s="11"/>
      <c r="CA994" s="11"/>
      <c r="CB994" s="11"/>
      <c r="CC994" s="11"/>
      <c r="CD994" s="11"/>
    </row>
    <row r="995" ht="15.75" customHeight="1">
      <c r="BP995" s="34"/>
      <c r="BQ995" s="11"/>
      <c r="BR995" s="11"/>
      <c r="BS995" s="11"/>
      <c r="BT995" s="11"/>
      <c r="BU995" s="11"/>
      <c r="BV995" s="11"/>
      <c r="BW995" s="11"/>
      <c r="BX995" s="11"/>
      <c r="BY995" s="11"/>
      <c r="BZ995" s="11"/>
      <c r="CA995" s="11"/>
      <c r="CB995" s="11"/>
      <c r="CC995" s="11"/>
      <c r="CD995" s="11"/>
    </row>
    <row r="996" ht="15.75" customHeight="1">
      <c r="BP996" s="34"/>
      <c r="BQ996" s="11"/>
      <c r="BR996" s="11"/>
      <c r="BS996" s="11"/>
      <c r="BT996" s="11"/>
      <c r="BU996" s="11"/>
      <c r="BV996" s="11"/>
      <c r="BW996" s="11"/>
      <c r="BX996" s="11"/>
      <c r="BY996" s="11"/>
      <c r="BZ996" s="11"/>
      <c r="CA996" s="11"/>
      <c r="CB996" s="11"/>
      <c r="CC996" s="11"/>
      <c r="CD996" s="11"/>
    </row>
    <row r="997" ht="15.75" customHeight="1">
      <c r="BP997" s="34"/>
      <c r="BQ997" s="11"/>
      <c r="BR997" s="11"/>
      <c r="BS997" s="11"/>
      <c r="BT997" s="11"/>
      <c r="BU997" s="11"/>
      <c r="BV997" s="11"/>
      <c r="BW997" s="11"/>
      <c r="BX997" s="11"/>
      <c r="BY997" s="11"/>
      <c r="BZ997" s="11"/>
      <c r="CA997" s="11"/>
      <c r="CB997" s="11"/>
      <c r="CC997" s="11"/>
      <c r="CD997" s="11"/>
    </row>
    <row r="998" ht="15.75" customHeight="1">
      <c r="BP998" s="34"/>
      <c r="BQ998" s="11"/>
      <c r="BR998" s="11"/>
      <c r="BS998" s="11"/>
      <c r="BT998" s="11"/>
      <c r="BU998" s="11"/>
      <c r="BV998" s="11"/>
      <c r="BW998" s="11"/>
      <c r="BX998" s="11"/>
      <c r="BY998" s="11"/>
      <c r="BZ998" s="11"/>
      <c r="CA998" s="11"/>
      <c r="CB998" s="11"/>
      <c r="CC998" s="11"/>
      <c r="CD998" s="11"/>
    </row>
    <row r="999" ht="15.75" customHeight="1">
      <c r="BP999" s="34"/>
      <c r="BQ999" s="11"/>
      <c r="BR999" s="11"/>
      <c r="BS999" s="11"/>
      <c r="BT999" s="11"/>
      <c r="BU999" s="11"/>
      <c r="BV999" s="11"/>
      <c r="BW999" s="11"/>
      <c r="BX999" s="11"/>
      <c r="BY999" s="11"/>
      <c r="BZ999" s="11"/>
      <c r="CA999" s="11"/>
      <c r="CB999" s="11"/>
      <c r="CC999" s="11"/>
      <c r="CD999" s="11"/>
    </row>
    <row r="1000" ht="15.75" customHeight="1">
      <c r="BP1000" s="34"/>
      <c r="BQ1000" s="11"/>
      <c r="BR1000" s="11"/>
      <c r="BS1000" s="11"/>
      <c r="BT1000" s="11"/>
      <c r="BU1000" s="11"/>
      <c r="BV1000" s="11"/>
      <c r="BW1000" s="11"/>
      <c r="BX1000" s="11"/>
      <c r="BY1000" s="11"/>
      <c r="BZ1000" s="11"/>
      <c r="CA1000" s="11"/>
      <c r="CB1000" s="11"/>
      <c r="CC1000" s="11"/>
      <c r="CD1000" s="11"/>
    </row>
  </sheetData>
  <mergeCells count="631">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AL22:AM23"/>
    <mergeCell ref="AN22:AO23"/>
    <mergeCell ref="T22:U23"/>
    <mergeCell ref="X22:Y23"/>
    <mergeCell ref="Z22:AA23"/>
    <mergeCell ref="AB22:AC23"/>
    <mergeCell ref="AD22:AE23"/>
    <mergeCell ref="AH22:AI23"/>
    <mergeCell ref="AJ22:AK23"/>
    <mergeCell ref="AB33:AC34"/>
    <mergeCell ref="AD33:AE34"/>
    <mergeCell ref="N33:O34"/>
    <mergeCell ref="P33:Q34"/>
    <mergeCell ref="R33:S34"/>
    <mergeCell ref="T33:U34"/>
    <mergeCell ref="V33:W34"/>
    <mergeCell ref="X33:Y34"/>
    <mergeCell ref="Z33:AA34"/>
    <mergeCell ref="N35:O36"/>
    <mergeCell ref="P35:Q36"/>
    <mergeCell ref="R35:S36"/>
    <mergeCell ref="T35:U36"/>
    <mergeCell ref="V35:W36"/>
    <mergeCell ref="X35:Y36"/>
    <mergeCell ref="Z35:AA36"/>
    <mergeCell ref="AB35:AC36"/>
    <mergeCell ref="AD35:AE36"/>
    <mergeCell ref="AF35:AG36"/>
    <mergeCell ref="AH35:AI36"/>
    <mergeCell ref="AJ35:AK36"/>
    <mergeCell ref="AL35:AM36"/>
    <mergeCell ref="AN35:AO36"/>
    <mergeCell ref="BD35:BE36"/>
    <mergeCell ref="BF35:BG36"/>
    <mergeCell ref="BH35:BI36"/>
    <mergeCell ref="AP35:AQ36"/>
    <mergeCell ref="AR35:AS36"/>
    <mergeCell ref="AT35:AU36"/>
    <mergeCell ref="AV35:AW36"/>
    <mergeCell ref="AX35:AY36"/>
    <mergeCell ref="AZ35:BA36"/>
    <mergeCell ref="BB35:BC36"/>
    <mergeCell ref="B35:B36"/>
    <mergeCell ref="C35:C36"/>
    <mergeCell ref="D35:E36"/>
    <mergeCell ref="F35:G36"/>
    <mergeCell ref="H35:I36"/>
    <mergeCell ref="J35:K36"/>
    <mergeCell ref="L35:M36"/>
    <mergeCell ref="N31:O32"/>
    <mergeCell ref="P31:Q32"/>
    <mergeCell ref="R31:S32"/>
    <mergeCell ref="T31:U32"/>
    <mergeCell ref="V31:W32"/>
    <mergeCell ref="X31:Y32"/>
    <mergeCell ref="Z31:AA32"/>
    <mergeCell ref="B31:B32"/>
    <mergeCell ref="C31:C32"/>
    <mergeCell ref="D31:E32"/>
    <mergeCell ref="F31:G32"/>
    <mergeCell ref="H31:I32"/>
    <mergeCell ref="J31:K32"/>
    <mergeCell ref="L31:M32"/>
    <mergeCell ref="N44:O45"/>
    <mergeCell ref="P44:Q45"/>
    <mergeCell ref="R44:S45"/>
    <mergeCell ref="T44:U45"/>
    <mergeCell ref="V44:W45"/>
    <mergeCell ref="X44:Y45"/>
    <mergeCell ref="Z44:AA45"/>
    <mergeCell ref="AB44:AC45"/>
    <mergeCell ref="AD44:AE45"/>
    <mergeCell ref="AF44:AG45"/>
    <mergeCell ref="AH44:AI45"/>
    <mergeCell ref="AJ44:AK45"/>
    <mergeCell ref="AL44:AM45"/>
    <mergeCell ref="AN44:AO45"/>
    <mergeCell ref="BD44:BE45"/>
    <mergeCell ref="BF44:BG45"/>
    <mergeCell ref="BH44:BI45"/>
    <mergeCell ref="AP44:AQ45"/>
    <mergeCell ref="AR44:AS45"/>
    <mergeCell ref="AT44:AU45"/>
    <mergeCell ref="AV44:AW45"/>
    <mergeCell ref="AX44:AY45"/>
    <mergeCell ref="AZ44:BA45"/>
    <mergeCell ref="BB44:BC45"/>
    <mergeCell ref="B44:B45"/>
    <mergeCell ref="C44:C45"/>
    <mergeCell ref="D44:E45"/>
    <mergeCell ref="F44:G45"/>
    <mergeCell ref="H44:I45"/>
    <mergeCell ref="J44:K45"/>
    <mergeCell ref="L44:M45"/>
    <mergeCell ref="AV20:AW21"/>
    <mergeCell ref="AX20:AY21"/>
    <mergeCell ref="AZ20:BA21"/>
    <mergeCell ref="BB20:BC21"/>
    <mergeCell ref="BD20:BE21"/>
    <mergeCell ref="BF20:BG21"/>
    <mergeCell ref="BH20:BI21"/>
    <mergeCell ref="AT20:AU21"/>
    <mergeCell ref="AR22:AS23"/>
    <mergeCell ref="AT22:AU23"/>
    <mergeCell ref="AV22:AW23"/>
    <mergeCell ref="AX22:AY23"/>
    <mergeCell ref="BB22:BC23"/>
    <mergeCell ref="BD22:BE2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F22:BG23"/>
    <mergeCell ref="BH22:BI23"/>
    <mergeCell ref="D22:E23"/>
    <mergeCell ref="F22:G23"/>
    <mergeCell ref="H22:I23"/>
    <mergeCell ref="J22:K23"/>
    <mergeCell ref="N22:O23"/>
    <mergeCell ref="P22:Q23"/>
    <mergeCell ref="R22:S23"/>
    <mergeCell ref="AP31:AQ32"/>
    <mergeCell ref="AR31:AS32"/>
    <mergeCell ref="AB31:AC32"/>
    <mergeCell ref="AD31:AE32"/>
    <mergeCell ref="AF31:AG32"/>
    <mergeCell ref="AH31:AI32"/>
    <mergeCell ref="AJ31:AK32"/>
    <mergeCell ref="AL31:AM32"/>
    <mergeCell ref="AN31:AO32"/>
    <mergeCell ref="AT33:AU34"/>
    <mergeCell ref="AV33:AW34"/>
    <mergeCell ref="AF33:AG34"/>
    <mergeCell ref="AH33:AI34"/>
    <mergeCell ref="AJ33:AK34"/>
    <mergeCell ref="AL33:AM34"/>
    <mergeCell ref="AN33:AO34"/>
    <mergeCell ref="AP33:AQ34"/>
    <mergeCell ref="AR33:AS34"/>
    <mergeCell ref="N29:O30"/>
    <mergeCell ref="P29:Q30"/>
    <mergeCell ref="R29:S30"/>
    <mergeCell ref="T29:U30"/>
    <mergeCell ref="V29:W30"/>
    <mergeCell ref="X29:Y30"/>
    <mergeCell ref="Z29:AA30"/>
    <mergeCell ref="AB29:AC30"/>
    <mergeCell ref="AD29:AE30"/>
    <mergeCell ref="AF29:AG30"/>
    <mergeCell ref="AH29:AI30"/>
    <mergeCell ref="AJ29:AK30"/>
    <mergeCell ref="AL29:AM30"/>
    <mergeCell ref="AN29:AO30"/>
    <mergeCell ref="BD29:BE30"/>
    <mergeCell ref="BF29:BG30"/>
    <mergeCell ref="BH29:BI30"/>
    <mergeCell ref="B29:B30"/>
    <mergeCell ref="C29:C30"/>
    <mergeCell ref="D29:E30"/>
    <mergeCell ref="F29:G30"/>
    <mergeCell ref="H29:I30"/>
    <mergeCell ref="J29:K30"/>
    <mergeCell ref="L29:M30"/>
    <mergeCell ref="AP29:AQ30"/>
    <mergeCell ref="AR29:AS30"/>
    <mergeCell ref="AT29:AU30"/>
    <mergeCell ref="AV29:AW30"/>
    <mergeCell ref="AX29:AY30"/>
    <mergeCell ref="AZ29:BA30"/>
    <mergeCell ref="BB29:BC30"/>
    <mergeCell ref="B33:B34"/>
    <mergeCell ref="C33:C34"/>
    <mergeCell ref="D33:E34"/>
    <mergeCell ref="F33:G34"/>
    <mergeCell ref="H33:I34"/>
    <mergeCell ref="J33:K34"/>
    <mergeCell ref="L33:M34"/>
    <mergeCell ref="AX31:AY32"/>
    <mergeCell ref="AX33:AY34"/>
    <mergeCell ref="AZ33:BA34"/>
    <mergeCell ref="BB33:BC34"/>
    <mergeCell ref="BD33:BE34"/>
    <mergeCell ref="BF33:BG34"/>
    <mergeCell ref="BH33:BI34"/>
    <mergeCell ref="AT31:AU32"/>
    <mergeCell ref="AV31:AW32"/>
    <mergeCell ref="AZ31:BA32"/>
    <mergeCell ref="BB31:BC32"/>
    <mergeCell ref="BD31:BE32"/>
    <mergeCell ref="BF31:BG32"/>
    <mergeCell ref="BH31:BI32"/>
    <mergeCell ref="D37:E38"/>
    <mergeCell ref="F37:G38"/>
    <mergeCell ref="H37:I38"/>
    <mergeCell ref="J37:K38"/>
    <mergeCell ref="N37:O38"/>
    <mergeCell ref="P37:Q38"/>
    <mergeCell ref="R37:S38"/>
    <mergeCell ref="T37:U38"/>
    <mergeCell ref="X37:Y38"/>
    <mergeCell ref="Z37:AA38"/>
    <mergeCell ref="AB37:AC38"/>
    <mergeCell ref="AD37:AE38"/>
    <mergeCell ref="AH37:AI38"/>
    <mergeCell ref="AJ37:AK38"/>
    <mergeCell ref="BD37:BE38"/>
    <mergeCell ref="BF37:BG38"/>
    <mergeCell ref="BH37:BI38"/>
    <mergeCell ref="AL37:AM38"/>
    <mergeCell ref="AN37:AO38"/>
    <mergeCell ref="AR37:AS38"/>
    <mergeCell ref="AT37:AU38"/>
    <mergeCell ref="AV37:AW38"/>
    <mergeCell ref="AX37:AY38"/>
    <mergeCell ref="BB37:BC38"/>
    <mergeCell ref="AP48:AQ49"/>
    <mergeCell ref="AR48:AS49"/>
    <mergeCell ref="AB48:AC49"/>
    <mergeCell ref="AD48:AE49"/>
    <mergeCell ref="AF48:AG49"/>
    <mergeCell ref="AH48:AI49"/>
    <mergeCell ref="AJ48:AK49"/>
    <mergeCell ref="AL48:AM49"/>
    <mergeCell ref="AN48:AO49"/>
    <mergeCell ref="N63:O64"/>
    <mergeCell ref="P63:Q64"/>
    <mergeCell ref="R63:S64"/>
    <mergeCell ref="T63:U64"/>
    <mergeCell ref="V63:W64"/>
    <mergeCell ref="X63:Y64"/>
    <mergeCell ref="Z63:AA64"/>
    <mergeCell ref="B63:B64"/>
    <mergeCell ref="C63:C64"/>
    <mergeCell ref="D63:E64"/>
    <mergeCell ref="F63:G64"/>
    <mergeCell ref="H63:I64"/>
    <mergeCell ref="J63:K64"/>
    <mergeCell ref="L63:M64"/>
    <mergeCell ref="N61:O62"/>
    <mergeCell ref="P61:Q62"/>
    <mergeCell ref="R61:S62"/>
    <mergeCell ref="T61:U62"/>
    <mergeCell ref="V61:W62"/>
    <mergeCell ref="X61:Y62"/>
    <mergeCell ref="Z61:AA62"/>
    <mergeCell ref="AB61:AC62"/>
    <mergeCell ref="AD61:AE62"/>
    <mergeCell ref="AF61:AG62"/>
    <mergeCell ref="AH61:AI62"/>
    <mergeCell ref="AJ61:AK62"/>
    <mergeCell ref="AL61:AM62"/>
    <mergeCell ref="AN61:AO62"/>
    <mergeCell ref="BD61:BE62"/>
    <mergeCell ref="BF61:BG62"/>
    <mergeCell ref="BH61:BI62"/>
    <mergeCell ref="B61:B62"/>
    <mergeCell ref="C61:C62"/>
    <mergeCell ref="D61:E62"/>
    <mergeCell ref="F61:G62"/>
    <mergeCell ref="H61:I62"/>
    <mergeCell ref="J61:K62"/>
    <mergeCell ref="L61:M62"/>
    <mergeCell ref="AP61:AQ62"/>
    <mergeCell ref="AR61:AS62"/>
    <mergeCell ref="AT61:AU62"/>
    <mergeCell ref="AV61:AW62"/>
    <mergeCell ref="AX61:AY62"/>
    <mergeCell ref="AZ61:BA62"/>
    <mergeCell ref="BB61:BC62"/>
    <mergeCell ref="B65:B66"/>
    <mergeCell ref="C65:C66"/>
    <mergeCell ref="D65:E66"/>
    <mergeCell ref="F65:G66"/>
    <mergeCell ref="H65:I66"/>
    <mergeCell ref="J65:K66"/>
    <mergeCell ref="L65:M66"/>
    <mergeCell ref="AX63:AY64"/>
    <mergeCell ref="AX65:AY66"/>
    <mergeCell ref="AZ65:BA66"/>
    <mergeCell ref="BB65:BC66"/>
    <mergeCell ref="BD65:BE66"/>
    <mergeCell ref="BF65:BG66"/>
    <mergeCell ref="BH65:BI66"/>
    <mergeCell ref="AT63:AU64"/>
    <mergeCell ref="AV63:AW64"/>
    <mergeCell ref="AZ63:BA64"/>
    <mergeCell ref="BB63:BC64"/>
    <mergeCell ref="BD63:BE64"/>
    <mergeCell ref="BF63:BG64"/>
    <mergeCell ref="BH63:BI64"/>
    <mergeCell ref="AB50:AC51"/>
    <mergeCell ref="AD50:AE51"/>
    <mergeCell ref="N50:O51"/>
    <mergeCell ref="P50:Q51"/>
    <mergeCell ref="R50:S51"/>
    <mergeCell ref="T50:U51"/>
    <mergeCell ref="V50:W51"/>
    <mergeCell ref="X50:Y51"/>
    <mergeCell ref="Z50:AA51"/>
    <mergeCell ref="D52:E53"/>
    <mergeCell ref="F52:G53"/>
    <mergeCell ref="H52:I53"/>
    <mergeCell ref="J52:K53"/>
    <mergeCell ref="N52:O53"/>
    <mergeCell ref="P52:Q53"/>
    <mergeCell ref="R52:S53"/>
    <mergeCell ref="T52:U53"/>
    <mergeCell ref="X52:Y53"/>
    <mergeCell ref="Z52:AA53"/>
    <mergeCell ref="AB52:AC53"/>
    <mergeCell ref="AD52:AE53"/>
    <mergeCell ref="AH52:AI53"/>
    <mergeCell ref="AJ52:AK53"/>
    <mergeCell ref="BD52:BE53"/>
    <mergeCell ref="BF52:BG53"/>
    <mergeCell ref="BH52:BI53"/>
    <mergeCell ref="AL52:AM53"/>
    <mergeCell ref="AN52:AO53"/>
    <mergeCell ref="AR52:AS53"/>
    <mergeCell ref="AT52:AU53"/>
    <mergeCell ref="AV52:AW53"/>
    <mergeCell ref="AX52:AY53"/>
    <mergeCell ref="BB52:BC53"/>
    <mergeCell ref="AT50:AU51"/>
    <mergeCell ref="AV50:AW51"/>
    <mergeCell ref="AF50:AG51"/>
    <mergeCell ref="AH50:AI51"/>
    <mergeCell ref="AJ50:AK51"/>
    <mergeCell ref="AL50:AM51"/>
    <mergeCell ref="AN50:AO51"/>
    <mergeCell ref="AP50:AQ51"/>
    <mergeCell ref="AR50:AS51"/>
    <mergeCell ref="N46:O47"/>
    <mergeCell ref="P46:Q47"/>
    <mergeCell ref="R46:S47"/>
    <mergeCell ref="T46:U47"/>
    <mergeCell ref="V46:W47"/>
    <mergeCell ref="X46:Y47"/>
    <mergeCell ref="Z46:AA47"/>
    <mergeCell ref="AB46:AC47"/>
    <mergeCell ref="AD46:AE47"/>
    <mergeCell ref="AF46:AG47"/>
    <mergeCell ref="AH46:AI47"/>
    <mergeCell ref="AJ46:AK47"/>
    <mergeCell ref="AL46:AM47"/>
    <mergeCell ref="AN46:AO47"/>
    <mergeCell ref="BD46:BE47"/>
    <mergeCell ref="BF46:BG47"/>
    <mergeCell ref="BH46:BI47"/>
    <mergeCell ref="B46:B47"/>
    <mergeCell ref="C46:C47"/>
    <mergeCell ref="D46:E47"/>
    <mergeCell ref="F46:G47"/>
    <mergeCell ref="H46:I47"/>
    <mergeCell ref="J46:K47"/>
    <mergeCell ref="L46:M47"/>
    <mergeCell ref="AP46:AQ47"/>
    <mergeCell ref="AR46:AS47"/>
    <mergeCell ref="AT46:AU47"/>
    <mergeCell ref="AV46:AW47"/>
    <mergeCell ref="AX46:AY47"/>
    <mergeCell ref="AZ46:BA47"/>
    <mergeCell ref="BB46:BC47"/>
    <mergeCell ref="B50:B51"/>
    <mergeCell ref="C50:C51"/>
    <mergeCell ref="D50:E51"/>
    <mergeCell ref="F50:G51"/>
    <mergeCell ref="H50:I51"/>
    <mergeCell ref="J50:K51"/>
    <mergeCell ref="L50:M51"/>
    <mergeCell ref="AX48:AY49"/>
    <mergeCell ref="AX50:AY51"/>
    <mergeCell ref="AZ50:BA51"/>
    <mergeCell ref="BB50:BC51"/>
    <mergeCell ref="BD50:BE51"/>
    <mergeCell ref="BF50:BG51"/>
    <mergeCell ref="BH50:BI51"/>
    <mergeCell ref="AT48:AU49"/>
    <mergeCell ref="AV48:AW49"/>
    <mergeCell ref="AZ48:BA49"/>
    <mergeCell ref="BB48:BC49"/>
    <mergeCell ref="BD48:BE49"/>
    <mergeCell ref="BF48:BG49"/>
    <mergeCell ref="BH48:BI49"/>
    <mergeCell ref="N48:O49"/>
    <mergeCell ref="P48:Q49"/>
    <mergeCell ref="R48:S49"/>
    <mergeCell ref="T48:U49"/>
    <mergeCell ref="V48:W49"/>
    <mergeCell ref="X48:Y49"/>
    <mergeCell ref="Z48:AA49"/>
    <mergeCell ref="B48:B49"/>
    <mergeCell ref="C48:C49"/>
    <mergeCell ref="D48:E49"/>
    <mergeCell ref="F48:G49"/>
    <mergeCell ref="H48:I49"/>
    <mergeCell ref="J48:K49"/>
    <mergeCell ref="L48:M49"/>
    <mergeCell ref="N59:O60"/>
    <mergeCell ref="P59:Q60"/>
    <mergeCell ref="R59:S60"/>
    <mergeCell ref="T59:U60"/>
    <mergeCell ref="V59:W60"/>
    <mergeCell ref="X59:Y60"/>
    <mergeCell ref="Z59:AA60"/>
    <mergeCell ref="AB59:AC60"/>
    <mergeCell ref="AD59:AE60"/>
    <mergeCell ref="AF59:AG60"/>
    <mergeCell ref="AH59:AI60"/>
    <mergeCell ref="AJ59:AK60"/>
    <mergeCell ref="AL59:AM60"/>
    <mergeCell ref="AN59:AO60"/>
    <mergeCell ref="BD59:BE60"/>
    <mergeCell ref="BF59:BG60"/>
    <mergeCell ref="BH59:BI60"/>
    <mergeCell ref="AP59:AQ60"/>
    <mergeCell ref="AR59:AS60"/>
    <mergeCell ref="AT59:AU60"/>
    <mergeCell ref="AV59:AW60"/>
    <mergeCell ref="AX59:AY60"/>
    <mergeCell ref="AZ59:BA60"/>
    <mergeCell ref="BB59:BC60"/>
    <mergeCell ref="B59:B60"/>
    <mergeCell ref="C59:C60"/>
    <mergeCell ref="D59:E60"/>
    <mergeCell ref="F59:G60"/>
    <mergeCell ref="H59:I60"/>
    <mergeCell ref="J59:K60"/>
    <mergeCell ref="L59:M60"/>
    <mergeCell ref="AP63:AQ64"/>
    <mergeCell ref="AR63:AS64"/>
    <mergeCell ref="AB63:AC64"/>
    <mergeCell ref="AD63:AE64"/>
    <mergeCell ref="AF63:AG64"/>
    <mergeCell ref="AH63:AI64"/>
    <mergeCell ref="AJ63:AK64"/>
    <mergeCell ref="AL63:AM64"/>
    <mergeCell ref="AN63:AO64"/>
    <mergeCell ref="AB65:AC66"/>
    <mergeCell ref="AD65:AE66"/>
    <mergeCell ref="N65:O66"/>
    <mergeCell ref="P65:Q66"/>
    <mergeCell ref="R65:S66"/>
    <mergeCell ref="T65:U66"/>
    <mergeCell ref="V65:W66"/>
    <mergeCell ref="X65:Y66"/>
    <mergeCell ref="Z65:AA66"/>
    <mergeCell ref="D67:E68"/>
    <mergeCell ref="F67:G68"/>
    <mergeCell ref="H67:I68"/>
    <mergeCell ref="J67:K68"/>
    <mergeCell ref="N67:O68"/>
    <mergeCell ref="P67:Q68"/>
    <mergeCell ref="R67:S68"/>
    <mergeCell ref="T67:U68"/>
    <mergeCell ref="X67:Y68"/>
    <mergeCell ref="Z67:AA68"/>
    <mergeCell ref="AB67:AC68"/>
    <mergeCell ref="AD67:AE68"/>
    <mergeCell ref="AH67:AI68"/>
    <mergeCell ref="AJ67:AK68"/>
    <mergeCell ref="BD67:BE68"/>
    <mergeCell ref="BF67:BG68"/>
    <mergeCell ref="BH67:BI68"/>
    <mergeCell ref="AL67:AM68"/>
    <mergeCell ref="AN67:AO68"/>
    <mergeCell ref="AR67:AS68"/>
    <mergeCell ref="AT67:AU68"/>
    <mergeCell ref="AV67:AW68"/>
    <mergeCell ref="AX67:AY68"/>
    <mergeCell ref="BB67:BC68"/>
    <mergeCell ref="AT65:AU66"/>
    <mergeCell ref="AV65:AW66"/>
    <mergeCell ref="AF65:AG66"/>
    <mergeCell ref="AH65:AI66"/>
    <mergeCell ref="AJ65:AK66"/>
    <mergeCell ref="AL65:AM66"/>
    <mergeCell ref="AN65:AO66"/>
    <mergeCell ref="AP65:AQ66"/>
    <mergeCell ref="AR65:AS66"/>
  </mergeCells>
  <conditionalFormatting sqref="D14:E21 D29:E36 D44:E51 D59:E66 N14:O21 N29:O36 N44:O51 N59:O66 X14:Y21 X29:Y36 X44:Y51 X59:Y66 AH14:AI21 AH29:AI36 AH44:AI51 AH59:AI66 AR14:AS21 AR29:AS36 AR44:AS51 AR59:AS66 BB14:BC21 BB29:BC36 BB44:BC51 BB59:BC66">
    <cfRule type="cellIs" dxfId="0" priority="1" operator="equal">
      <formula>1</formula>
    </cfRule>
  </conditionalFormatting>
  <conditionalFormatting sqref="F14:G21 F29:G36 F44:G51 F59:G66 P14:Q21 P29:Q36 P44:Q51 P59:Q66 Z14:AA21 Z29:AA36 Z44:AA51 Z59:AA66 AJ14:AK21 AJ29:AK36 AJ44:AK51 AJ59:AK66 AT14:AU21 AT29:AU36 AT44:AU51 AT59:AU66 BD14:BE21 BD29:BE36 BD44:BE51 BD59:BE66">
    <cfRule type="cellIs" dxfId="1" priority="2" operator="equal">
      <formula>2</formula>
    </cfRule>
  </conditionalFormatting>
  <conditionalFormatting sqref="H14:I21 H29:I36 H44:I51 H59:I66 R14:S21 R29:S36 R44:S51 R59:S66 AB14:AC21 AB29:AC36 AB44:AC51 AB59:AC66 AL14:AM21 AL29:AM36 AL44:AM51 AL59:AM66 AV14:AW21 AV29:AW36 AV44:AW51 AV59:AW66 BF14:BG21 BF29:BG36 BF44:BG51 BF59:BG66">
    <cfRule type="cellIs" dxfId="2" priority="3" operator="equal">
      <formula>3</formula>
    </cfRule>
  </conditionalFormatting>
  <conditionalFormatting sqref="J14:K21 J29:K36 J44:K51 J59:K66 T14:U21 T29:U36 T44:U51 T59:U66 AD14:AE21 AD29:AE36 AD44:AE51 AD59:AE66 AN14:AO21 AN29:AO36 AN44:AO51 AN59:AO66 AX14:AY21 AX29:AY36 AX44:AY51 AX59:AY66 BH14:BI21 BH29:BI36 BH44:BI51 BH59:BI66">
    <cfRule type="cellIs" dxfId="3" priority="4" operator="equal">
      <formula>4</formula>
    </cfRule>
  </conditionalFormatting>
  <conditionalFormatting sqref="AO6:AS9">
    <cfRule type="expression" dxfId="5" priority="5">
      <formula>OR(AO6&gt;0,BI6=1)</formula>
    </cfRule>
  </conditionalFormatting>
  <conditionalFormatting sqref="H6:AE7">
    <cfRule type="cellIs" dxfId="4" priority="6" operator="equal">
      <formula>0</formula>
    </cfRule>
  </conditionalFormatting>
  <printOptions horizontalCentered="1"/>
  <pageMargins bottom="0.75" footer="0.0" header="0.0" left="0.25" right="0.25"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015001"/>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0" width="8.86"/>
  </cols>
  <sheetData>
    <row r="1">
      <c r="A1" s="18" t="s">
        <v>13</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19"/>
      <c r="BQ1" s="11"/>
      <c r="BR1" s="11"/>
      <c r="BS1" s="11"/>
      <c r="BT1" s="11"/>
      <c r="BU1" s="11"/>
      <c r="BV1" s="11"/>
      <c r="BW1" s="11"/>
      <c r="BX1" s="11"/>
      <c r="BY1" s="11"/>
      <c r="BZ1" s="11"/>
      <c r="CA1" s="11"/>
      <c r="CB1" s="11"/>
    </row>
    <row r="2">
      <c r="A2" s="4"/>
      <c r="BP2" s="19"/>
      <c r="BQ2" s="11"/>
      <c r="BR2" s="11"/>
      <c r="BS2" s="11"/>
      <c r="BT2" s="11"/>
      <c r="BU2" s="11"/>
      <c r="BV2" s="11"/>
      <c r="BW2" s="11"/>
      <c r="BX2" s="11"/>
      <c r="BY2" s="11"/>
      <c r="BZ2" s="11"/>
      <c r="CA2" s="11"/>
      <c r="CB2" s="11"/>
    </row>
    <row r="3">
      <c r="A3" s="4"/>
      <c r="BP3" s="19"/>
      <c r="BQ3" s="11"/>
      <c r="BR3" s="11"/>
      <c r="BS3" s="11"/>
      <c r="BT3" s="11"/>
      <c r="BU3" s="11"/>
      <c r="BV3" s="11"/>
      <c r="BW3" s="11"/>
      <c r="BX3" s="11"/>
      <c r="BY3" s="11"/>
      <c r="BZ3" s="11"/>
      <c r="CA3" s="11"/>
      <c r="CB3" s="11"/>
    </row>
    <row r="4">
      <c r="BQ4" s="11"/>
      <c r="BR4" s="11"/>
      <c r="BS4" s="11"/>
      <c r="BT4" s="11"/>
      <c r="BU4" s="11"/>
      <c r="BV4" s="11"/>
      <c r="BW4" s="11"/>
      <c r="BX4" s="11"/>
      <c r="BY4" s="11"/>
      <c r="BZ4" s="11"/>
      <c r="CA4" s="11"/>
      <c r="CB4" s="11"/>
    </row>
    <row r="5" ht="19.5" customHeight="1">
      <c r="AK5" s="21" t="s">
        <v>10</v>
      </c>
      <c r="AL5" s="16"/>
      <c r="AM5" s="16"/>
      <c r="AN5" s="17"/>
      <c r="AO5" s="21" t="s">
        <v>12</v>
      </c>
      <c r="AP5" s="16"/>
      <c r="AQ5" s="16"/>
      <c r="AR5" s="16"/>
      <c r="AS5" s="17"/>
      <c r="AT5" s="21" t="s">
        <v>14</v>
      </c>
      <c r="AU5" s="16"/>
      <c r="AV5" s="16"/>
      <c r="AW5" s="16"/>
      <c r="AX5" s="17"/>
      <c r="AY5" s="21" t="s">
        <v>15</v>
      </c>
      <c r="AZ5" s="16"/>
      <c r="BA5" s="16"/>
      <c r="BB5" s="16"/>
      <c r="BC5" s="17"/>
      <c r="BD5" s="21" t="s">
        <v>16</v>
      </c>
      <c r="BE5" s="16"/>
      <c r="BF5" s="16"/>
      <c r="BG5" s="16"/>
      <c r="BH5" s="17"/>
      <c r="BQ5" s="11"/>
      <c r="BR5" s="11"/>
      <c r="BS5" s="11"/>
      <c r="BT5" s="11"/>
      <c r="BU5" s="11"/>
      <c r="BV5" s="11"/>
      <c r="BW5" s="11"/>
      <c r="BX5" s="11"/>
      <c r="BY5" s="11"/>
      <c r="BZ5" s="11"/>
      <c r="CA5" s="11"/>
      <c r="CB5" s="11"/>
    </row>
    <row r="6" ht="19.5" customHeight="1">
      <c r="B6" s="21" t="s">
        <v>17</v>
      </c>
      <c r="C6" s="16"/>
      <c r="D6" s="16"/>
      <c r="E6" s="16"/>
      <c r="F6" s="16"/>
      <c r="G6" s="17"/>
      <c r="H6" s="29" t="str">
        <f>'Milestones Grid'!$H$6</f>
        <v>TEST NAME- GOLF</v>
      </c>
      <c r="I6" s="16"/>
      <c r="J6" s="16"/>
      <c r="K6" s="16"/>
      <c r="L6" s="16"/>
      <c r="M6" s="16"/>
      <c r="N6" s="16"/>
      <c r="O6" s="16"/>
      <c r="P6" s="16"/>
      <c r="Q6" s="16"/>
      <c r="R6" s="16"/>
      <c r="S6" s="16"/>
      <c r="T6" s="16"/>
      <c r="U6" s="16"/>
      <c r="V6" s="16"/>
      <c r="W6" s="16"/>
      <c r="X6" s="16"/>
      <c r="Y6" s="16"/>
      <c r="Z6" s="16"/>
      <c r="AA6" s="16"/>
      <c r="AB6" s="16"/>
      <c r="AC6" s="16"/>
      <c r="AD6" s="16"/>
      <c r="AE6" s="17"/>
      <c r="AK6" s="21" t="s">
        <v>19</v>
      </c>
      <c r="AL6" s="16"/>
      <c r="AM6" s="16"/>
      <c r="AN6" s="17"/>
      <c r="AO6" s="22">
        <f>SUM(N14:O23,X14:Y23,BI6)</f>
        <v>11</v>
      </c>
      <c r="AP6" s="16"/>
      <c r="AQ6" s="16"/>
      <c r="AR6" s="16"/>
      <c r="AS6" s="17"/>
      <c r="AT6" s="31"/>
      <c r="AU6" s="16"/>
      <c r="AV6" s="16"/>
      <c r="AW6" s="16"/>
      <c r="AX6" s="17"/>
      <c r="AY6" s="25"/>
      <c r="AZ6" s="16"/>
      <c r="BA6" s="16"/>
      <c r="BB6" s="16"/>
      <c r="BC6" s="17"/>
      <c r="BD6" s="32"/>
      <c r="BE6" s="16"/>
      <c r="BF6" s="16"/>
      <c r="BG6" s="16"/>
      <c r="BH6" s="17"/>
      <c r="BI6" s="14">
        <f>SUM(D14:E23,AH14:AI23,AR14:AS23,BB14:BC23,D30:E39,N30:O39,X30:Y39,AH30:AI39,AR30:AS39,BB30:BC39,D46:E55,N46:O55,X46:Y55,AH46:AI55,AR46:AS55,BB46:BC55)</f>
        <v>1</v>
      </c>
      <c r="BJ6" s="14">
        <f>SUM(F14:G23,AJ14:AK23,AT14:AU23,BD14:BE23,F30:G39,P30:Q39,Z30:AA39,AJ30:AK39,AT30:AU39,BD30:BE39,F46:G55,P46:Q55,Z46:AA55,AJ46:AK55,AT46:AU55,BD46:BE55)/2</f>
        <v>0</v>
      </c>
      <c r="BK6" s="14">
        <f>SUM(H14:I23,AL14:AM23,AV14:AW23,BF14:BG23,H30:I39,R30:S39,AB30:AC39,AL30:AM39,AV30:AW39,BF30:BG39,H46:I55,R46:S55,AB46:AC55,AL46:AM55,AV46:AW55,BF46:BG55)/3</f>
        <v>0</v>
      </c>
      <c r="BL6" s="14">
        <f>SUM(J14:K23,AN14:AO23,AX14:AY23,BH14:BI23,J30:K39,T30:U39,AD30:AE39,AN30:AO39,AX30:AY39,BH30:BI39,J46:K55,T46:U55,AD46:AE55,AN46:AO55,AX46:AY55,BH46:BI55)/4</f>
        <v>0</v>
      </c>
      <c r="BQ6" s="11"/>
      <c r="BR6" s="11"/>
      <c r="BS6" s="11"/>
      <c r="BT6" s="11"/>
      <c r="BU6" s="11"/>
      <c r="BV6" s="11"/>
      <c r="BW6" s="11"/>
      <c r="BX6" s="11"/>
      <c r="BY6" s="11"/>
      <c r="BZ6" s="11"/>
      <c r="CA6" s="11"/>
      <c r="CB6" s="11"/>
    </row>
    <row r="7" ht="19.5" customHeight="1">
      <c r="B7" s="21" t="s">
        <v>22</v>
      </c>
      <c r="C7" s="16"/>
      <c r="D7" s="16"/>
      <c r="E7" s="16"/>
      <c r="F7" s="16"/>
      <c r="G7" s="17"/>
      <c r="H7" s="41">
        <f>'Milestones Grid'!$H$7</f>
        <v>45108</v>
      </c>
      <c r="I7" s="16"/>
      <c r="J7" s="16"/>
      <c r="K7" s="16"/>
      <c r="L7" s="16"/>
      <c r="M7" s="16"/>
      <c r="N7" s="16"/>
      <c r="O7" s="16"/>
      <c r="P7" s="16"/>
      <c r="Q7" s="16"/>
      <c r="R7" s="16"/>
      <c r="S7" s="16"/>
      <c r="T7" s="16"/>
      <c r="U7" s="16"/>
      <c r="V7" s="16"/>
      <c r="W7" s="16"/>
      <c r="X7" s="16"/>
      <c r="Y7" s="16"/>
      <c r="Z7" s="16"/>
      <c r="AA7" s="16"/>
      <c r="AB7" s="16"/>
      <c r="AC7" s="16"/>
      <c r="AD7" s="16"/>
      <c r="AE7" s="17"/>
      <c r="AK7" s="21" t="s">
        <v>23</v>
      </c>
      <c r="AL7" s="16"/>
      <c r="AM7" s="16"/>
      <c r="AN7" s="17"/>
      <c r="AO7" s="22">
        <f>SUM(SUM(P14:Q23,Z14:AA23)/2,BJ6)</f>
        <v>0</v>
      </c>
      <c r="AP7" s="16"/>
      <c r="AQ7" s="16"/>
      <c r="AR7" s="16"/>
      <c r="AS7" s="17"/>
      <c r="AT7" s="31"/>
      <c r="AU7" s="16"/>
      <c r="AV7" s="16"/>
      <c r="AW7" s="16"/>
      <c r="AX7" s="17"/>
      <c r="AY7" s="33"/>
      <c r="AZ7" s="16"/>
      <c r="BA7" s="16"/>
      <c r="BB7" s="16"/>
      <c r="BC7" s="17"/>
      <c r="BD7" s="32"/>
      <c r="BE7" s="16"/>
      <c r="BF7" s="16"/>
      <c r="BG7" s="16"/>
      <c r="BH7" s="17"/>
      <c r="BQ7" s="11"/>
      <c r="BR7" s="11"/>
      <c r="BS7" s="11"/>
      <c r="BT7" s="11"/>
      <c r="BU7" s="11"/>
      <c r="BV7" s="11"/>
      <c r="BW7" s="11"/>
      <c r="BX7" s="11"/>
      <c r="BY7" s="11"/>
      <c r="BZ7" s="11"/>
      <c r="CA7" s="11"/>
      <c r="CB7" s="11"/>
    </row>
    <row r="8" ht="19.5" customHeight="1">
      <c r="B8" s="21" t="s">
        <v>24</v>
      </c>
      <c r="C8" s="16"/>
      <c r="D8" s="16"/>
      <c r="E8" s="16"/>
      <c r="F8" s="16"/>
      <c r="G8" s="17"/>
      <c r="H8" s="44">
        <v>1.0</v>
      </c>
      <c r="I8" s="17"/>
      <c r="J8" s="39" t="str">
        <f>IF(OR(ISBLANK($H$7),ISBLANK($AT$6)),"",INT(YEARFRAC($H$7,$AT$6))&amp;" y, "&amp;INT((YEARFRAC($H$7,$AT$6)-INT(YEARFRAC($H$7,$AT$6)))*12)&amp;" m")</f>
        <v/>
      </c>
      <c r="K8" s="16"/>
      <c r="L8" s="16"/>
      <c r="M8" s="17"/>
      <c r="N8" s="44">
        <v>2.0</v>
      </c>
      <c r="O8" s="17"/>
      <c r="P8" s="39" t="str">
        <f>IF(OR(ISBLANK($H$7),ISBLANK($AT$7)),"",INT(YEARFRAC($H$7,$AT$7))&amp;" y, "&amp;INT((YEARFRAC($H$7,$AT$7)-INT(YEARFRAC($H$7,$AT$7)))*12)&amp;" m")</f>
        <v/>
      </c>
      <c r="Q8" s="16"/>
      <c r="R8" s="16"/>
      <c r="S8" s="17"/>
      <c r="T8" s="44">
        <v>3.0</v>
      </c>
      <c r="U8" s="17"/>
      <c r="V8" s="39" t="str">
        <f>IF(OR(ISBLANK($H$7),ISBLANK($AT$8)),"",INT(YEARFRAC($H$7,$AT$8))&amp;" y, "&amp;INT((YEARFRAC($H$7,$AT$8)-INT(YEARFRAC($H$7,$AT$8)))*12)&amp;" m")</f>
        <v/>
      </c>
      <c r="W8" s="16"/>
      <c r="X8" s="16"/>
      <c r="Y8" s="17"/>
      <c r="Z8" s="44">
        <v>4.0</v>
      </c>
      <c r="AA8" s="17"/>
      <c r="AB8" s="39" t="str">
        <f>IF(OR(ISBLANK($H$7),ISBLANK($AT$9)),"",INT(YEARFRAC($H$7,$AT$9))&amp;" y, "&amp;INT((YEARFRAC($H$7,$AT$9)-INT(YEARFRAC($H$7,$AT$9)))*12)&amp;" m")</f>
        <v/>
      </c>
      <c r="AC8" s="16"/>
      <c r="AD8" s="16"/>
      <c r="AE8" s="17"/>
      <c r="AK8" s="21" t="s">
        <v>30</v>
      </c>
      <c r="AL8" s="16"/>
      <c r="AM8" s="16"/>
      <c r="AN8" s="17"/>
      <c r="AO8" s="22">
        <f>SUM(SUM(R14:S23,AB14:AC23)/3,BK6)</f>
        <v>0</v>
      </c>
      <c r="AP8" s="16"/>
      <c r="AQ8" s="16"/>
      <c r="AR8" s="16"/>
      <c r="AS8" s="17"/>
      <c r="AT8" s="31"/>
      <c r="AU8" s="16"/>
      <c r="AV8" s="16"/>
      <c r="AW8" s="16"/>
      <c r="AX8" s="17"/>
      <c r="AY8" s="43"/>
      <c r="AZ8" s="16"/>
      <c r="BA8" s="16"/>
      <c r="BB8" s="16"/>
      <c r="BC8" s="17"/>
      <c r="BD8" s="32"/>
      <c r="BE8" s="16"/>
      <c r="BF8" s="16"/>
      <c r="BG8" s="16"/>
      <c r="BH8" s="17"/>
      <c r="BQ8" s="11"/>
      <c r="BR8" s="11"/>
      <c r="BS8" s="11"/>
      <c r="BT8" s="11"/>
      <c r="BU8" s="11"/>
      <c r="BV8" s="11"/>
      <c r="BW8" s="11"/>
      <c r="BX8" s="11"/>
      <c r="BY8" s="11"/>
      <c r="BZ8" s="11"/>
      <c r="CA8" s="11"/>
      <c r="CB8" s="11"/>
    </row>
    <row r="9" ht="19.5" customHeight="1">
      <c r="AK9" s="21" t="s">
        <v>32</v>
      </c>
      <c r="AL9" s="16"/>
      <c r="AM9" s="16"/>
      <c r="AN9" s="17"/>
      <c r="AO9" s="22">
        <f>SUM(SUM(T14:U23,AD14:AE23)/4,BL6)</f>
        <v>0</v>
      </c>
      <c r="AP9" s="16"/>
      <c r="AQ9" s="16"/>
      <c r="AR9" s="16"/>
      <c r="AS9" s="17"/>
      <c r="AT9" s="31"/>
      <c r="AU9" s="16"/>
      <c r="AV9" s="16"/>
      <c r="AW9" s="16"/>
      <c r="AX9" s="17"/>
      <c r="AY9" s="45"/>
      <c r="AZ9" s="16"/>
      <c r="BA9" s="16"/>
      <c r="BB9" s="16"/>
      <c r="BC9" s="17"/>
      <c r="BD9" s="32"/>
      <c r="BE9" s="16"/>
      <c r="BF9" s="16"/>
      <c r="BG9" s="16"/>
      <c r="BH9" s="17"/>
      <c r="BQ9" s="11"/>
      <c r="BR9" s="11"/>
      <c r="BS9" s="11"/>
      <c r="BT9" s="11"/>
      <c r="BU9" s="11"/>
      <c r="BV9" s="11"/>
      <c r="BW9" s="11"/>
      <c r="BX9" s="11"/>
      <c r="BY9" s="11"/>
      <c r="BZ9" s="11"/>
      <c r="CA9" s="11"/>
      <c r="CB9" s="11"/>
    </row>
    <row r="10">
      <c r="BQ10" s="11"/>
      <c r="BR10" s="11"/>
      <c r="BS10" s="11"/>
      <c r="BT10" s="11"/>
      <c r="BU10" s="11"/>
      <c r="BV10" s="11"/>
      <c r="BW10" s="11"/>
      <c r="BX10" s="11"/>
      <c r="BY10" s="11"/>
      <c r="BZ10" s="11"/>
      <c r="CA10" s="11"/>
      <c r="CB10" s="11"/>
    </row>
    <row r="11">
      <c r="BQ11" s="11"/>
      <c r="BR11" s="11"/>
      <c r="BS11" s="11"/>
      <c r="BT11" s="11"/>
      <c r="BU11" s="11"/>
      <c r="BV11" s="11"/>
      <c r="BW11" s="11"/>
      <c r="BX11" s="11"/>
      <c r="BY11" s="11"/>
      <c r="BZ11" s="11"/>
      <c r="CA11" s="11"/>
      <c r="CB11" s="11"/>
    </row>
    <row r="12">
      <c r="BQ12" s="11"/>
      <c r="BR12" s="11"/>
      <c r="BS12" s="11"/>
      <c r="BT12" s="11"/>
      <c r="BU12" s="11"/>
      <c r="BV12" s="11"/>
      <c r="BW12" s="11"/>
      <c r="BX12" s="11"/>
      <c r="BY12" s="11"/>
      <c r="BZ12" s="11"/>
      <c r="CA12" s="11"/>
      <c r="CB12" s="11"/>
    </row>
    <row r="13">
      <c r="D13" s="14">
        <f>SUM(D14:E23)</f>
        <v>0</v>
      </c>
      <c r="E13" s="14"/>
      <c r="F13" s="14">
        <f>SUM(F14:G23)/2</f>
        <v>0</v>
      </c>
      <c r="G13" s="14"/>
      <c r="H13" s="14">
        <f>SUM(H14:I23)/3</f>
        <v>0</v>
      </c>
      <c r="I13" s="14"/>
      <c r="J13" s="14">
        <f>SUM(J14:K23)/4</f>
        <v>0</v>
      </c>
      <c r="K13" s="14"/>
      <c r="L13" s="14">
        <f>IF(J13&gt;0,J13,IF(H13&gt;0,H13,IF(F13&gt;0,F13,IF(D13&gt;0,D13,0))))</f>
        <v>0</v>
      </c>
      <c r="M13" s="14"/>
      <c r="N13" s="14">
        <f>SUM(N14:O23)</f>
        <v>5</v>
      </c>
      <c r="O13" s="14"/>
      <c r="P13" s="14">
        <f>SUM(P14:Q23)/2</f>
        <v>0</v>
      </c>
      <c r="Q13" s="14"/>
      <c r="R13" s="14">
        <f>SUM(R14:S23)/3</f>
        <v>0</v>
      </c>
      <c r="S13" s="14"/>
      <c r="T13" s="14">
        <f>SUM(T14:U23)/4</f>
        <v>0</v>
      </c>
      <c r="U13" s="14"/>
      <c r="V13" s="14">
        <f>IF(T13&gt;0,T13,IF(R13&gt;0,R13,IF(P13&gt;0,P13,IF(N13&gt;0,N13,0))))</f>
        <v>5</v>
      </c>
      <c r="W13" s="14"/>
      <c r="X13" s="14">
        <f>SUM(X14:Y23)</f>
        <v>5</v>
      </c>
      <c r="Y13" s="14"/>
      <c r="Z13" s="14">
        <f>SUM(Z14:AA23)/2</f>
        <v>0</v>
      </c>
      <c r="AA13" s="14"/>
      <c r="AB13" s="14">
        <f>SUM(AB14:AC23)/3</f>
        <v>0</v>
      </c>
      <c r="AC13" s="14"/>
      <c r="AD13" s="14">
        <f>SUM(AD14:AE23)/4</f>
        <v>0</v>
      </c>
      <c r="AE13" s="14"/>
      <c r="AF13" s="14">
        <f>IF(AD13&gt;0,AD13,IF(AB13&gt;0,AB13,IF(Z13&gt;0,Z13,IF(X13&gt;0,X13,0))))</f>
        <v>5</v>
      </c>
      <c r="AG13" s="14"/>
      <c r="AH13" s="14">
        <f>SUM(AH14:AI23)</f>
        <v>0</v>
      </c>
      <c r="AI13" s="14"/>
      <c r="AJ13" s="14">
        <f>SUM(AJ14:AK23)/2</f>
        <v>0</v>
      </c>
      <c r="AK13" s="14"/>
      <c r="AL13" s="14">
        <f>SUM(AL14:AM23)/3</f>
        <v>0</v>
      </c>
      <c r="AM13" s="14"/>
      <c r="AN13" s="14">
        <f>SUM(AN14:AO23)/4</f>
        <v>0</v>
      </c>
      <c r="AO13" s="14"/>
      <c r="AP13" s="14">
        <f>IF(AN13&gt;0,AN13,IF(AL13&gt;0,AL13,IF(AJ13&gt;0,AJ13,IF(AH13&gt;0,AH13,0))))</f>
        <v>0</v>
      </c>
      <c r="AQ13" s="14"/>
      <c r="AR13" s="14">
        <f>SUM(AR14:AS23)</f>
        <v>1</v>
      </c>
      <c r="AS13" s="14"/>
      <c r="AT13" s="14">
        <f>SUM(AT14:AU23)/2</f>
        <v>0</v>
      </c>
      <c r="AU13" s="14"/>
      <c r="AV13" s="14">
        <f>SUM(AV14:AW23)/3</f>
        <v>0</v>
      </c>
      <c r="AW13" s="14"/>
      <c r="AX13" s="14">
        <f>SUM(AX14:AY23)/4</f>
        <v>0</v>
      </c>
      <c r="AY13" s="14"/>
      <c r="AZ13" s="14">
        <f>IF(AX13&gt;0,AX13,IF(AV13&gt;0,AV13,IF(AT13&gt;0,AT13,IF(AR13&gt;0,AR13,0))))</f>
        <v>1</v>
      </c>
      <c r="BA13" s="14"/>
      <c r="BB13" s="14">
        <f>SUM(BB14:BC23)</f>
        <v>0</v>
      </c>
      <c r="BC13" s="14"/>
      <c r="BD13" s="14">
        <f>SUM(BD14:BE23)/2</f>
        <v>0</v>
      </c>
      <c r="BE13" s="14"/>
      <c r="BF13" s="14">
        <f>SUM(BF14:BG23)/3</f>
        <v>0</v>
      </c>
      <c r="BG13" s="14"/>
      <c r="BH13" s="14">
        <f>SUM(BH14:BI23)/4</f>
        <v>0</v>
      </c>
      <c r="BI13" s="14"/>
      <c r="BJ13" s="14">
        <f>IF(BH13&gt;0,BH13,IF(BF13&gt;0,BF13,IF(BD13&gt;0,BD13,IF(BB13&gt;0,BB13,0))))</f>
        <v>0</v>
      </c>
      <c r="BQ13" s="11"/>
      <c r="BR13" s="11"/>
      <c r="BS13" s="11"/>
      <c r="BT13" s="11"/>
      <c r="BU13" s="11"/>
      <c r="BV13" s="11"/>
      <c r="BW13" s="11"/>
      <c r="BX13" s="11"/>
      <c r="BY13" s="11"/>
      <c r="BZ13" s="11"/>
      <c r="CA13" s="11"/>
      <c r="CB13" s="11"/>
    </row>
    <row r="14" ht="13.5" customHeight="1">
      <c r="B14" s="54">
        <v>5.0</v>
      </c>
      <c r="C14" s="55"/>
      <c r="D14" s="56" t="str">
        <f>IF(AND('Milestones Grid'!BQ24&gt;0,'Milestones Grid'!$AO$6&gt;135),1,"")</f>
        <v/>
      </c>
      <c r="E14" s="57"/>
      <c r="F14" s="56" t="str">
        <f>IF(AND('Milestones Grid'!BR24&gt;0,'Milestones Grid'!$AO$7&gt;135),2,"")</f>
        <v/>
      </c>
      <c r="G14" s="57"/>
      <c r="H14" s="56" t="str">
        <f>IF(AND('Milestones Grid'!BS24&gt;0,'Milestones Grid'!$AO$8&gt;135),3,"")</f>
        <v/>
      </c>
      <c r="I14" s="57"/>
      <c r="J14" s="56" t="str">
        <f>IF(AND('Milestones Grid'!BT24&gt;0,'Milestones Grid'!$AO$9&gt;135),4,"")</f>
        <v/>
      </c>
      <c r="K14" s="57"/>
      <c r="L14" s="58"/>
      <c r="M14" s="59"/>
      <c r="N14" s="56">
        <f>IF(AND('Barrier Grid'!$AO$6&lt;=10,OR('Barrier Grid'!$AO$6&gt;0,'Transition Grid'!$BI$6&gt;0)),1,"")</f>
        <v>1</v>
      </c>
      <c r="O14" s="57"/>
      <c r="P14" s="56"/>
      <c r="Q14" s="57"/>
      <c r="R14" s="56" t="str">
        <f>IF(AND('Barrier Grid'!$AO$8&lt;=10,OR('Barrier Grid'!$AO$8&gt;0,'Transition Grid'!$BK$6&gt;0)),3,"")</f>
        <v/>
      </c>
      <c r="S14" s="57"/>
      <c r="T14" s="56" t="str">
        <f>IF(AND('Barrier Grid'!$AO$9&lt;=10,OR('Barrier Grid'!$AO$9&gt;0,'Transition Grid'!$BL$6&gt;0)),4,"")</f>
        <v/>
      </c>
      <c r="U14" s="57"/>
      <c r="V14" s="58"/>
      <c r="W14" s="59"/>
      <c r="X14" s="56">
        <f>IF(AND(OR('Barrier Grid'!$AO$6&gt;0,'Transition Grid'!$BI$6&gt;0),'Barrier Grid'!$N$10&lt;=1),1,"")</f>
        <v>1</v>
      </c>
      <c r="Y14" s="57"/>
      <c r="Z14" s="56"/>
      <c r="AA14" s="57"/>
      <c r="AB14" s="56" t="str">
        <f>IF(AND(OR('Barrier Grid'!$AO$8&gt;0,'Transition Grid'!$BK$6&gt;0),'Barrier Grid'!$P$10&lt;=1),3,"")</f>
        <v/>
      </c>
      <c r="AC14" s="57"/>
      <c r="AD14" s="56" t="str">
        <f>IF(AND(OR('Barrier Grid'!$AO$9&gt;0,'Transition Grid'!$BL$6&gt;0),'Barrier Grid'!$Q$10&lt;=1),4,"")</f>
        <v/>
      </c>
      <c r="AE14" s="57"/>
      <c r="AF14" s="58"/>
      <c r="AG14" s="59"/>
      <c r="AH14" s="56" t="str">
        <f>IF(AND('Milestones Grid'!BQ24&gt;0,SUM('Milestones Grid'!$BB$15,'Milestones Grid'!$BB$32)&gt;=10),1,"")</f>
        <v/>
      </c>
      <c r="AI14" s="57"/>
      <c r="AJ14" s="56" t="str">
        <f>IF(AND('Milestones Grid'!BR24&gt;0,SUM('Milestones Grid'!$BB$15:$BC$15,'Milestones Grid'!$BB$32:$BC$32)&gt;=10),2,"")</f>
        <v/>
      </c>
      <c r="AK14" s="57"/>
      <c r="AL14" s="56" t="str">
        <f>IF(AND('Milestones Grid'!BS24&gt;0,SUM('Milestones Grid'!$BB$15:$BD$15,'Milestones Grid'!$BB$32:$BD$32)&gt;=10),3,"")</f>
        <v/>
      </c>
      <c r="AM14" s="57"/>
      <c r="AN14" s="56" t="str">
        <f>IF(AND('Milestones Grid'!BT24&gt;0,SUM('Milestones Grid'!$BB$15:$BE$15,'Milestones Grid'!$BB$32:$BE$32)&gt;=10),4,"")</f>
        <v/>
      </c>
      <c r="AO14" s="57"/>
      <c r="AP14" s="58"/>
      <c r="AQ14" s="59"/>
      <c r="AR14" s="56" t="str">
        <f>IF(AND('Milestones Grid'!$BQ$24&gt;0,SUM('Milestones Grid'!$AC$15,'Milestones Grid'!$AC$32,'Milestones Grid'!$AC$49)&gt;=13),1,"")</f>
        <v/>
      </c>
      <c r="AS14" s="57"/>
      <c r="AT14" s="56" t="str">
        <f>IF(AND('Milestones Grid'!$BR$24&gt;0,SUM('Milestones Grid'!$AC$15:$AD$15,'Milestones Grid'!$AC$32:$AD$32,'Milestones Grid'!$AC$49:$AD$49)&gt;=13),2,"")</f>
        <v/>
      </c>
      <c r="AU14" s="57"/>
      <c r="AV14" s="56" t="str">
        <f>IF(AND('Milestones Grid'!$BS$24&gt;0,SUM('Milestones Grid'!$AC$15:$AE$15,'Milestones Grid'!$AC$32:$AE$32,'Milestones Grid'!$AC$49:$AE$49)&gt;=13),3,"")</f>
        <v/>
      </c>
      <c r="AW14" s="57"/>
      <c r="AX14" s="56" t="str">
        <f>IF(AND('Milestones Grid'!$BT$24&gt;0,SUM('Milestones Grid'!$AC$15:$AF$15,'Milestones Grid'!$AC$32:$AF$32,'Milestones Grid'!$AC$49:$AF$49)&gt;=13),4,"")</f>
        <v/>
      </c>
      <c r="AY14" s="57"/>
      <c r="AZ14" s="58"/>
      <c r="BA14" s="59"/>
      <c r="BB14" s="56"/>
      <c r="BC14" s="57"/>
      <c r="BD14" s="56"/>
      <c r="BE14" s="57"/>
      <c r="BF14" s="56"/>
      <c r="BG14" s="57"/>
      <c r="BH14" s="56"/>
      <c r="BI14" s="57"/>
      <c r="BQ14" s="11"/>
      <c r="BR14" s="11"/>
      <c r="BS14" s="11"/>
      <c r="BT14" s="11"/>
      <c r="BU14" s="11"/>
      <c r="BV14" s="11"/>
      <c r="BW14" s="11"/>
      <c r="BX14" s="11"/>
      <c r="BY14" s="11"/>
      <c r="BZ14" s="11"/>
      <c r="CA14" s="11"/>
      <c r="CB14" s="11"/>
    </row>
    <row r="15" ht="13.5" customHeight="1">
      <c r="B15" s="73"/>
      <c r="C15" s="74"/>
      <c r="D15" s="75"/>
      <c r="E15" s="76"/>
      <c r="F15" s="75"/>
      <c r="G15" s="76"/>
      <c r="H15" s="75"/>
      <c r="I15" s="76"/>
      <c r="J15" s="75"/>
      <c r="K15" s="76"/>
      <c r="L15" s="77"/>
      <c r="M15" s="59"/>
      <c r="N15" s="75"/>
      <c r="O15" s="76"/>
      <c r="P15" s="75"/>
      <c r="Q15" s="76"/>
      <c r="R15" s="75"/>
      <c r="S15" s="76"/>
      <c r="T15" s="75"/>
      <c r="U15" s="76"/>
      <c r="V15" s="77"/>
      <c r="W15" s="59"/>
      <c r="X15" s="75"/>
      <c r="Y15" s="76"/>
      <c r="Z15" s="75"/>
      <c r="AA15" s="76"/>
      <c r="AB15" s="75"/>
      <c r="AC15" s="76"/>
      <c r="AD15" s="75"/>
      <c r="AE15" s="76"/>
      <c r="AF15" s="77"/>
      <c r="AG15" s="59"/>
      <c r="AH15" s="75"/>
      <c r="AI15" s="76"/>
      <c r="AJ15" s="75"/>
      <c r="AK15" s="76"/>
      <c r="AL15" s="75"/>
      <c r="AM15" s="76"/>
      <c r="AN15" s="75"/>
      <c r="AO15" s="76"/>
      <c r="AP15" s="77"/>
      <c r="AQ15" s="59"/>
      <c r="AR15" s="75"/>
      <c r="AS15" s="76"/>
      <c r="AT15" s="75"/>
      <c r="AU15" s="76"/>
      <c r="AV15" s="75"/>
      <c r="AW15" s="76"/>
      <c r="AX15" s="75"/>
      <c r="AY15" s="76"/>
      <c r="AZ15" s="77"/>
      <c r="BA15" s="59"/>
      <c r="BB15" s="75"/>
      <c r="BC15" s="76"/>
      <c r="BD15" s="75"/>
      <c r="BE15" s="76"/>
      <c r="BF15" s="75"/>
      <c r="BG15" s="76"/>
      <c r="BH15" s="75"/>
      <c r="BI15" s="76"/>
      <c r="BQ15" s="11"/>
      <c r="BR15" s="11"/>
      <c r="BS15" s="11"/>
      <c r="BT15" s="11"/>
      <c r="BU15" s="11"/>
      <c r="BV15" s="11"/>
      <c r="BW15" s="11"/>
      <c r="BX15" s="11"/>
      <c r="BY15" s="11"/>
      <c r="BZ15" s="11"/>
      <c r="CA15" s="11"/>
      <c r="CB15" s="11"/>
    </row>
    <row r="16" ht="13.5" customHeight="1">
      <c r="B16" s="54">
        <v>4.0</v>
      </c>
      <c r="C16" s="55"/>
      <c r="D16" s="56" t="str">
        <f>IF(AND('Milestones Grid'!BQ24&gt;0,'Milestones Grid'!$AO$6&gt;100),1,"")</f>
        <v/>
      </c>
      <c r="E16" s="57"/>
      <c r="F16" s="56" t="str">
        <f>IF(AND('Milestones Grid'!BR24&gt;0,'Milestones Grid'!$AO$7&gt;100),2,"")</f>
        <v/>
      </c>
      <c r="G16" s="57"/>
      <c r="H16" s="56" t="str">
        <f>IF(AND('Milestones Grid'!BS24&gt;0,'Milestones Grid'!$AO$8&gt;100),3,"")</f>
        <v/>
      </c>
      <c r="I16" s="57"/>
      <c r="J16" s="56" t="str">
        <f>IF(AND('Milestones Grid'!BT24&gt;0,'Milestones Grid'!$AO$9&gt;100),4,"")</f>
        <v/>
      </c>
      <c r="K16" s="57"/>
      <c r="L16" s="58"/>
      <c r="M16" s="59"/>
      <c r="N16" s="56">
        <f>IF(AND('Barrier Grid'!$AO$6&lt;=20,OR('Barrier Grid'!$AO$6&gt;0,'Transition Grid'!$BI$6&gt;0)),1,"")</f>
        <v>1</v>
      </c>
      <c r="O16" s="57"/>
      <c r="P16" s="56"/>
      <c r="Q16" s="57"/>
      <c r="R16" s="56" t="str">
        <f>IF(AND('Barrier Grid'!$AO$8&lt;=20,OR('Barrier Grid'!$AO$8&gt;0,'Transition Grid'!$BK$6&gt;0)),3,"")</f>
        <v/>
      </c>
      <c r="S16" s="57"/>
      <c r="T16" s="56" t="str">
        <f>IF(AND('Barrier Grid'!$AO$9&lt;=20,OR('Barrier Grid'!$AO$9&gt;0,'Transition Grid'!$BL$6&gt;0)),4,"")</f>
        <v/>
      </c>
      <c r="U16" s="57"/>
      <c r="V16" s="58"/>
      <c r="W16" s="59"/>
      <c r="X16" s="56">
        <f>IF(AND(OR('Barrier Grid'!$AO$6&gt;0,'Transition Grid'!$BI$6&gt;0),'Barrier Grid'!$N$10&lt;=2),1,"")</f>
        <v>1</v>
      </c>
      <c r="Y16" s="57"/>
      <c r="Z16" s="56"/>
      <c r="AA16" s="57"/>
      <c r="AB16" s="56" t="str">
        <f>IF(AND(OR('Barrier Grid'!$AO$8&gt;0,'Transition Grid'!$BK$6&gt;0),'Barrier Grid'!$P$10&lt;=2),3,"")</f>
        <v/>
      </c>
      <c r="AC16" s="57"/>
      <c r="AD16" s="56" t="str">
        <f>IF(AND(OR('Barrier Grid'!$AO$9&gt;0,'Transition Grid'!$BL$6&gt;0),'Barrier Grid'!$Q$10&lt;=2),4,"")</f>
        <v/>
      </c>
      <c r="AE16" s="57"/>
      <c r="AF16" s="58"/>
      <c r="AG16" s="59"/>
      <c r="AH16" s="56" t="str">
        <f>IF(AND('Milestones Grid'!BQ24&gt;0,SUM('Milestones Grid'!$BB$15,'Milestones Grid'!$BB$32)&gt;=8),1,"")</f>
        <v/>
      </c>
      <c r="AI16" s="57"/>
      <c r="AJ16" s="56" t="str">
        <f>IF(AND('Milestones Grid'!BR24&gt;0,SUM('Milestones Grid'!$BB$15:$BC$15,'Milestones Grid'!$BB$32:$BC$32)&gt;=8),2,"")</f>
        <v/>
      </c>
      <c r="AK16" s="57"/>
      <c r="AL16" s="56" t="str">
        <f>IF(AND('Milestones Grid'!BS24&gt;0,SUM('Milestones Grid'!$BB$15:$BD$15,'Milestones Grid'!$BB$32:$BD$32)&gt;=8),3,"")</f>
        <v/>
      </c>
      <c r="AM16" s="57"/>
      <c r="AN16" s="56" t="str">
        <f>IF(AND('Milestones Grid'!BT24&gt;0,SUM('Milestones Grid'!$BB$15:$BE$15,'Milestones Grid'!$BB$32:$BE$32)&gt;=8),4,"")</f>
        <v/>
      </c>
      <c r="AO16" s="57"/>
      <c r="AP16" s="58"/>
      <c r="AQ16" s="59"/>
      <c r="AR16" s="56" t="str">
        <f>IF(AND('Milestones Grid'!$BQ$24&gt;0,SUM('Milestones Grid'!$AC$15,'Milestones Grid'!$AC$32,'Milestones Grid'!$AC$49)&gt;=10),1,"")</f>
        <v/>
      </c>
      <c r="AS16" s="57"/>
      <c r="AT16" s="56" t="str">
        <f>IF(AND('Milestones Grid'!$BR$24&gt;0,SUM('Milestones Grid'!$AC$15:$AD$15,'Milestones Grid'!$AC$32:$AD$32,'Milestones Grid'!$AC$49:$AD$49)&gt;=10),2,"")</f>
        <v/>
      </c>
      <c r="AU16" s="57"/>
      <c r="AV16" s="56" t="str">
        <f>IF(AND('Milestones Grid'!$BS$24&gt;0,SUM('Milestones Grid'!$AC$15:$AE$15,'Milestones Grid'!$AC$32:$AE$32,'Milestones Grid'!$AC$49:$AE$49)&gt;=10),3,"")</f>
        <v/>
      </c>
      <c r="AW16" s="57"/>
      <c r="AX16" s="56" t="str">
        <f>IF(AND('Milestones Grid'!$BT$24&gt;0,SUM('Milestones Grid'!$AC$15:$AF$15,'Milestones Grid'!$AC$32:$AF$32,'Milestones Grid'!$AC$49:$AF$49)&gt;=10),4,"")</f>
        <v/>
      </c>
      <c r="AY16" s="57"/>
      <c r="AZ16" s="58"/>
      <c r="BA16" s="59"/>
      <c r="BB16" s="56"/>
      <c r="BC16" s="57"/>
      <c r="BD16" s="56"/>
      <c r="BE16" s="57"/>
      <c r="BF16" s="56"/>
      <c r="BG16" s="57"/>
      <c r="BH16" s="56"/>
      <c r="BI16" s="57"/>
      <c r="BQ16" s="11"/>
      <c r="BR16" s="11"/>
      <c r="BS16" s="11"/>
      <c r="BT16" s="11"/>
      <c r="BU16" s="11"/>
      <c r="BV16" s="11"/>
      <c r="BW16" s="11"/>
      <c r="BX16" s="11"/>
      <c r="BY16" s="11"/>
      <c r="BZ16" s="11"/>
      <c r="CA16" s="11"/>
      <c r="CB16" s="11"/>
    </row>
    <row r="17" ht="13.5" customHeight="1">
      <c r="B17" s="73"/>
      <c r="C17" s="74"/>
      <c r="D17" s="75"/>
      <c r="E17" s="76"/>
      <c r="F17" s="75"/>
      <c r="G17" s="76"/>
      <c r="H17" s="75"/>
      <c r="I17" s="76"/>
      <c r="J17" s="75"/>
      <c r="K17" s="76"/>
      <c r="L17" s="77"/>
      <c r="M17" s="59"/>
      <c r="N17" s="75"/>
      <c r="O17" s="76"/>
      <c r="P17" s="75"/>
      <c r="Q17" s="76"/>
      <c r="R17" s="75"/>
      <c r="S17" s="76"/>
      <c r="T17" s="75"/>
      <c r="U17" s="76"/>
      <c r="V17" s="77"/>
      <c r="W17" s="59"/>
      <c r="X17" s="75"/>
      <c r="Y17" s="76"/>
      <c r="Z17" s="75"/>
      <c r="AA17" s="76"/>
      <c r="AB17" s="75"/>
      <c r="AC17" s="76"/>
      <c r="AD17" s="75"/>
      <c r="AE17" s="76"/>
      <c r="AF17" s="77"/>
      <c r="AG17" s="59"/>
      <c r="AH17" s="75"/>
      <c r="AI17" s="76"/>
      <c r="AJ17" s="75"/>
      <c r="AK17" s="76"/>
      <c r="AL17" s="75"/>
      <c r="AM17" s="76"/>
      <c r="AN17" s="75"/>
      <c r="AO17" s="76"/>
      <c r="AP17" s="77"/>
      <c r="AQ17" s="59"/>
      <c r="AR17" s="75"/>
      <c r="AS17" s="76"/>
      <c r="AT17" s="75"/>
      <c r="AU17" s="76"/>
      <c r="AV17" s="75"/>
      <c r="AW17" s="76"/>
      <c r="AX17" s="75"/>
      <c r="AY17" s="76"/>
      <c r="AZ17" s="77"/>
      <c r="BA17" s="59"/>
      <c r="BB17" s="75"/>
      <c r="BC17" s="76"/>
      <c r="BD17" s="75"/>
      <c r="BE17" s="76"/>
      <c r="BF17" s="75"/>
      <c r="BG17" s="76"/>
      <c r="BH17" s="75"/>
      <c r="BI17" s="76"/>
      <c r="BQ17" s="11"/>
      <c r="BR17" s="11"/>
      <c r="BS17" s="11"/>
      <c r="BT17" s="11"/>
      <c r="BU17" s="11"/>
      <c r="BV17" s="11"/>
      <c r="BW17" s="11"/>
      <c r="BX17" s="11"/>
      <c r="BY17" s="11"/>
      <c r="BZ17" s="11"/>
      <c r="CA17" s="11"/>
      <c r="CB17" s="11"/>
    </row>
    <row r="18" ht="13.5" customHeight="1">
      <c r="B18" s="54">
        <v>3.0</v>
      </c>
      <c r="C18" s="55"/>
      <c r="D18" s="56" t="str">
        <f>IF(AND('Milestones Grid'!BQ24&gt;0,'Milestones Grid'!$AO$6&gt;50),1,"")</f>
        <v/>
      </c>
      <c r="E18" s="57"/>
      <c r="F18" s="56" t="str">
        <f>IF(AND('Milestones Grid'!BR24&gt;0,'Milestones Grid'!$AO$7&gt;50),2,"")</f>
        <v/>
      </c>
      <c r="G18" s="57"/>
      <c r="H18" s="56" t="str">
        <f>IF(AND('Milestones Grid'!BS24&gt;0,'Milestones Grid'!$AO$8&gt;50),3,"")</f>
        <v/>
      </c>
      <c r="I18" s="57"/>
      <c r="J18" s="56" t="str">
        <f>IF(AND('Milestones Grid'!BT24&gt;0,'Milestones Grid'!$AO$9&gt;50),4,"")</f>
        <v/>
      </c>
      <c r="K18" s="57"/>
      <c r="L18" s="58"/>
      <c r="M18" s="59"/>
      <c r="N18" s="56">
        <f>IF(AND('Barrier Grid'!$AO$6&lt;=30,OR('Barrier Grid'!$AO$6&gt;0,'Transition Grid'!$BI$6&gt;0)),1,"")</f>
        <v>1</v>
      </c>
      <c r="O18" s="57"/>
      <c r="P18" s="56"/>
      <c r="Q18" s="57"/>
      <c r="R18" s="56" t="str">
        <f>IF(AND('Barrier Grid'!$AO$8&lt;=30,OR('Barrier Grid'!$AO$8&gt;0,'Transition Grid'!$BK$6&gt;0)),3,"")</f>
        <v/>
      </c>
      <c r="S18" s="57"/>
      <c r="T18" s="56" t="str">
        <f>IF(AND('Barrier Grid'!$AO$9&lt;=30,OR('Barrier Grid'!$AO$9&gt;0,'Transition Grid'!$BL$6&gt;0)),4,"")</f>
        <v/>
      </c>
      <c r="U18" s="57"/>
      <c r="V18" s="58"/>
      <c r="W18" s="59"/>
      <c r="X18" s="56">
        <f>IF(AND(OR('Barrier Grid'!$AO$6&gt;0,'Transition Grid'!$BI$6&gt;0),'Barrier Grid'!$N$10&lt;=4),1,"")</f>
        <v>1</v>
      </c>
      <c r="Y18" s="57"/>
      <c r="Z18" s="56"/>
      <c r="AA18" s="57"/>
      <c r="AB18" s="56" t="str">
        <f>IF(AND(OR('Barrier Grid'!$AO$8&gt;0,'Transition Grid'!$BK$6&gt;0),'Barrier Grid'!$P$10&lt;=4),3,"")</f>
        <v/>
      </c>
      <c r="AC18" s="57"/>
      <c r="AD18" s="56" t="str">
        <f>IF(AND(OR('Barrier Grid'!$AO$9&gt;0,'Transition Grid'!$BL$6&gt;0),'Barrier Grid'!$Q$10&lt;=4),4,"")</f>
        <v/>
      </c>
      <c r="AE18" s="57"/>
      <c r="AF18" s="58"/>
      <c r="AG18" s="59"/>
      <c r="AH18" s="56" t="str">
        <f>IF(AND('Milestones Grid'!BQ24&gt;0,SUM('Milestones Grid'!$BB$15,'Milestones Grid'!$BB$32)&gt;=5),1,"")</f>
        <v/>
      </c>
      <c r="AI18" s="57"/>
      <c r="AJ18" s="56" t="str">
        <f>IF(AND('Milestones Grid'!BR24&gt;0,SUM('Milestones Grid'!$BB$15:$BC$15,'Milestones Grid'!$BB$32:$BC$32)&gt;=5),2,"")</f>
        <v/>
      </c>
      <c r="AK18" s="57"/>
      <c r="AL18" s="56" t="str">
        <f>IF(AND('Milestones Grid'!BS24&gt;0,SUM('Milestones Grid'!$BB$15:$BD$15,'Milestones Grid'!$BB$32:$BD$32)&gt;=5),3,"")</f>
        <v/>
      </c>
      <c r="AM18" s="57"/>
      <c r="AN18" s="56" t="str">
        <f>IF(AND('Milestones Grid'!BT24&gt;0,SUM('Milestones Grid'!$BB$15:$BE$15,'Milestones Grid'!$BB$32:$BE$32)&gt;=5),4,"")</f>
        <v/>
      </c>
      <c r="AO18" s="57"/>
      <c r="AP18" s="58"/>
      <c r="AQ18" s="59"/>
      <c r="AR18" s="56" t="str">
        <f>IF(AND('Milestones Grid'!$BQ$24&gt;0,SUM('Milestones Grid'!$AC$15,'Milestones Grid'!$AC$32,'Milestones Grid'!$AC$49)&gt;=6),1,"")</f>
        <v/>
      </c>
      <c r="AS18" s="57"/>
      <c r="AT18" s="56" t="str">
        <f>IF(AND('Milestones Grid'!$BR$24&gt;0,SUM('Milestones Grid'!$AC$15:$AD$15,'Milestones Grid'!$AC$32:$AD$32,'Milestones Grid'!$AC$49:$AD$49)&gt;=6),2,"")</f>
        <v/>
      </c>
      <c r="AU18" s="57"/>
      <c r="AV18" s="56" t="str">
        <f>IF(AND('Milestones Grid'!$BS$24&gt;0,SUM('Milestones Grid'!$AC$15:$AE$15,'Milestones Grid'!$AC$32:$AE$32,'Milestones Grid'!$AC$49:$AE$49)&gt;=6),3,"")</f>
        <v/>
      </c>
      <c r="AW18" s="57"/>
      <c r="AX18" s="56" t="str">
        <f>IF(AND('Milestones Grid'!$BT$24&gt;0,SUM('Milestones Grid'!$AC$15:$AF$15,'Milestones Grid'!$AC$32:$AF$32,'Milestones Grid'!$AC$49:$AF$49)&gt;=6),4,"")</f>
        <v/>
      </c>
      <c r="AY18" s="57"/>
      <c r="AZ18" s="58"/>
      <c r="BA18" s="59"/>
      <c r="BB18" s="56"/>
      <c r="BC18" s="57"/>
      <c r="BD18" s="56"/>
      <c r="BE18" s="57"/>
      <c r="BF18" s="56"/>
      <c r="BG18" s="57"/>
      <c r="BH18" s="56"/>
      <c r="BI18" s="57"/>
      <c r="BQ18" s="11"/>
      <c r="BR18" s="11"/>
      <c r="BS18" s="11"/>
      <c r="BT18" s="11"/>
      <c r="BU18" s="11"/>
      <c r="BV18" s="11"/>
      <c r="BW18" s="11"/>
      <c r="BX18" s="11"/>
      <c r="BY18" s="11"/>
      <c r="BZ18" s="11"/>
      <c r="CA18" s="11"/>
      <c r="CB18" s="11"/>
    </row>
    <row r="19" ht="13.5" customHeight="1">
      <c r="B19" s="73"/>
      <c r="C19" s="74"/>
      <c r="D19" s="75"/>
      <c r="E19" s="76"/>
      <c r="F19" s="75"/>
      <c r="G19" s="76"/>
      <c r="H19" s="75"/>
      <c r="I19" s="76"/>
      <c r="J19" s="75"/>
      <c r="K19" s="76"/>
      <c r="L19" s="77"/>
      <c r="M19" s="59"/>
      <c r="N19" s="75"/>
      <c r="O19" s="76"/>
      <c r="P19" s="75"/>
      <c r="Q19" s="76"/>
      <c r="R19" s="75"/>
      <c r="S19" s="76"/>
      <c r="T19" s="75"/>
      <c r="U19" s="76"/>
      <c r="V19" s="77"/>
      <c r="W19" s="59"/>
      <c r="X19" s="75"/>
      <c r="Y19" s="76"/>
      <c r="Z19" s="75"/>
      <c r="AA19" s="76"/>
      <c r="AB19" s="75"/>
      <c r="AC19" s="76"/>
      <c r="AD19" s="75"/>
      <c r="AE19" s="76"/>
      <c r="AF19" s="77"/>
      <c r="AG19" s="59"/>
      <c r="AH19" s="75"/>
      <c r="AI19" s="76"/>
      <c r="AJ19" s="75"/>
      <c r="AK19" s="76"/>
      <c r="AL19" s="75"/>
      <c r="AM19" s="76"/>
      <c r="AN19" s="75"/>
      <c r="AO19" s="76"/>
      <c r="AP19" s="77"/>
      <c r="AQ19" s="59"/>
      <c r="AR19" s="75"/>
      <c r="AS19" s="76"/>
      <c r="AT19" s="75"/>
      <c r="AU19" s="76"/>
      <c r="AV19" s="75"/>
      <c r="AW19" s="76"/>
      <c r="AX19" s="75"/>
      <c r="AY19" s="76"/>
      <c r="AZ19" s="77"/>
      <c r="BA19" s="59"/>
      <c r="BB19" s="75"/>
      <c r="BC19" s="76"/>
      <c r="BD19" s="75"/>
      <c r="BE19" s="76"/>
      <c r="BF19" s="75"/>
      <c r="BG19" s="76"/>
      <c r="BH19" s="75"/>
      <c r="BI19" s="76"/>
      <c r="BQ19" s="11"/>
      <c r="BR19" s="11"/>
      <c r="BS19" s="11"/>
      <c r="BT19" s="11"/>
      <c r="BU19" s="11"/>
      <c r="BV19" s="11"/>
      <c r="BW19" s="11"/>
      <c r="BX19" s="11"/>
      <c r="BY19" s="11"/>
      <c r="BZ19" s="11"/>
      <c r="CA19" s="11"/>
      <c r="CB19" s="11"/>
    </row>
    <row r="20" ht="13.5" customHeight="1">
      <c r="B20" s="54">
        <v>2.0</v>
      </c>
      <c r="C20" s="55"/>
      <c r="D20" s="56" t="str">
        <f>IF(AND('Milestones Grid'!BQ24&gt;0,'Milestones Grid'!$AO$6&gt;25),1,"")</f>
        <v/>
      </c>
      <c r="E20" s="57"/>
      <c r="F20" s="56" t="str">
        <f>IF(AND('Milestones Grid'!BR24&gt;0,'Milestones Grid'!$AO$7&gt;25),2,"")</f>
        <v/>
      </c>
      <c r="G20" s="57"/>
      <c r="H20" s="56" t="str">
        <f>IF(AND('Milestones Grid'!BS24&gt;0,'Milestones Grid'!$AO$8&gt;25),3,"")</f>
        <v/>
      </c>
      <c r="I20" s="57"/>
      <c r="J20" s="56" t="str">
        <f>IF(AND('Milestones Grid'!BT24&gt;0,'Milestones Grid'!$AO$9&gt;25),4,"")</f>
        <v/>
      </c>
      <c r="K20" s="57"/>
      <c r="L20" s="58"/>
      <c r="M20" s="59"/>
      <c r="N20" s="56">
        <f>IF(AND('Barrier Grid'!$AO$6&lt;=55,OR('Barrier Grid'!$AO$6&gt;0,'Transition Grid'!$BI$6&gt;0)),1,"")</f>
        <v>1</v>
      </c>
      <c r="O20" s="57"/>
      <c r="P20" s="56"/>
      <c r="Q20" s="57"/>
      <c r="R20" s="56" t="str">
        <f>IF(AND('Barrier Grid'!$AO$8&lt;=55,OR('Barrier Grid'!$AO$8&gt;0,'Transition Grid'!$BK$6&gt;0)),3,"")</f>
        <v/>
      </c>
      <c r="S20" s="57"/>
      <c r="T20" s="56" t="str">
        <f>IF(AND('Barrier Grid'!$AO$9&lt;=55,OR('Barrier Grid'!$AO$9&gt;0,'Transition Grid'!$BL$6&gt;0)),4,"")</f>
        <v/>
      </c>
      <c r="U20" s="57"/>
      <c r="V20" s="58"/>
      <c r="W20" s="59"/>
      <c r="X20" s="56">
        <f>IF(AND(OR('Barrier Grid'!$AO$6&gt;0,'Transition Grid'!$BI$6&gt;0),'Barrier Grid'!$N$10&lt;=5),1,"")</f>
        <v>1</v>
      </c>
      <c r="Y20" s="57"/>
      <c r="Z20" s="56"/>
      <c r="AA20" s="57"/>
      <c r="AB20" s="56" t="str">
        <f>IF(AND(OR('Barrier Grid'!$AO$8&gt;0,'Transition Grid'!$BK$6&gt;0),'Barrier Grid'!$P$10&lt;=5),3,"")</f>
        <v/>
      </c>
      <c r="AC20" s="57"/>
      <c r="AD20" s="56" t="str">
        <f>IF(AND(OR('Barrier Grid'!$AO$9&gt;0,'Transition Grid'!$BL$6&gt;0),'Barrier Grid'!$Q$10&lt;=5),4,"")</f>
        <v/>
      </c>
      <c r="AE20" s="57"/>
      <c r="AF20" s="58"/>
      <c r="AG20" s="59"/>
      <c r="AH20" s="56" t="str">
        <f>IF(AND('Milestones Grid'!BQ24&gt;0,SUM('Milestones Grid'!$BB$15,'Milestones Grid'!$BB$32)&gt;=3),1,"")</f>
        <v/>
      </c>
      <c r="AI20" s="57"/>
      <c r="AJ20" s="56" t="str">
        <f>IF(AND('Milestones Grid'!BR24&gt;0,SUM('Milestones Grid'!$BB$15:$BC$15,'Milestones Grid'!$BB$32:$BC$32)&gt;=3),2,"")</f>
        <v/>
      </c>
      <c r="AK20" s="57"/>
      <c r="AL20" s="56" t="str">
        <f>IF(AND('Milestones Grid'!BS24&gt;0,SUM('Milestones Grid'!$BB$15:$BD$15,'Milestones Grid'!$BB$32:$BD$32)&gt;=3),3,"")</f>
        <v/>
      </c>
      <c r="AM20" s="57"/>
      <c r="AN20" s="56" t="str">
        <f>IF(AND('Milestones Grid'!BT24&gt;0,SUM('Milestones Grid'!$BB$15:$BE$15,'Milestones Grid'!$BB$32:$BE$32)&gt;=3),4,"")</f>
        <v/>
      </c>
      <c r="AO20" s="57"/>
      <c r="AP20" s="58"/>
      <c r="AQ20" s="59"/>
      <c r="AR20" s="56" t="str">
        <f>IF(AND('Milestones Grid'!$BQ$24&gt;0,SUM('Milestones Grid'!$AC$15,'Milestones Grid'!$AC$32,'Milestones Grid'!$AC$49)&gt;=4),1,"")</f>
        <v/>
      </c>
      <c r="AS20" s="57"/>
      <c r="AT20" s="56" t="str">
        <f>IF(AND('Milestones Grid'!$BR$24&gt;0,SUM('Milestones Grid'!$AC$15:$AD$15,'Milestones Grid'!$AC$32:$AD$32,'Milestones Grid'!$AC$49:$AD$49)&gt;=4),2,"")</f>
        <v/>
      </c>
      <c r="AU20" s="57"/>
      <c r="AV20" s="56" t="str">
        <f>IF(AND('Milestones Grid'!$BS$24&gt;0,SUM('Milestones Grid'!$AC$15:$AE$15,'Milestones Grid'!$AC$32:$AE$32,'Milestones Grid'!$AC$49:$AE$49)&gt;=4),3,"")</f>
        <v/>
      </c>
      <c r="AW20" s="57"/>
      <c r="AX20" s="56" t="str">
        <f>IF(AND('Milestones Grid'!$BT$24&gt;0,SUM('Milestones Grid'!$AC$15:$AF$15,'Milestones Grid'!$AC$32:$AF$32,'Milestones Grid'!$AC$49:$AF$49)&gt;=4),4,"")</f>
        <v/>
      </c>
      <c r="AY20" s="57"/>
      <c r="AZ20" s="58"/>
      <c r="BA20" s="59"/>
      <c r="BB20" s="56"/>
      <c r="BC20" s="57"/>
      <c r="BD20" s="56"/>
      <c r="BE20" s="57"/>
      <c r="BF20" s="56"/>
      <c r="BG20" s="57"/>
      <c r="BH20" s="56"/>
      <c r="BI20" s="57"/>
      <c r="BQ20" s="11"/>
      <c r="BR20" s="11"/>
      <c r="BS20" s="11"/>
      <c r="BT20" s="11"/>
      <c r="BU20" s="11"/>
      <c r="BV20" s="11"/>
      <c r="BW20" s="11"/>
      <c r="BX20" s="11"/>
      <c r="BY20" s="11"/>
      <c r="BZ20" s="11"/>
      <c r="CA20" s="11"/>
      <c r="CB20" s="11"/>
    </row>
    <row r="21" ht="13.5" customHeight="1">
      <c r="B21" s="73"/>
      <c r="C21" s="74"/>
      <c r="D21" s="75"/>
      <c r="E21" s="76"/>
      <c r="F21" s="75"/>
      <c r="G21" s="76"/>
      <c r="H21" s="75"/>
      <c r="I21" s="76"/>
      <c r="J21" s="75"/>
      <c r="K21" s="76"/>
      <c r="L21" s="77"/>
      <c r="M21" s="59"/>
      <c r="N21" s="75"/>
      <c r="O21" s="76"/>
      <c r="P21" s="75"/>
      <c r="Q21" s="76"/>
      <c r="R21" s="75"/>
      <c r="S21" s="76"/>
      <c r="T21" s="75"/>
      <c r="U21" s="76"/>
      <c r="V21" s="77"/>
      <c r="W21" s="59"/>
      <c r="X21" s="75"/>
      <c r="Y21" s="76"/>
      <c r="Z21" s="75"/>
      <c r="AA21" s="76"/>
      <c r="AB21" s="75"/>
      <c r="AC21" s="76"/>
      <c r="AD21" s="75"/>
      <c r="AE21" s="76"/>
      <c r="AF21" s="77"/>
      <c r="AG21" s="59"/>
      <c r="AH21" s="75"/>
      <c r="AI21" s="76"/>
      <c r="AJ21" s="75"/>
      <c r="AK21" s="76"/>
      <c r="AL21" s="75"/>
      <c r="AM21" s="76"/>
      <c r="AN21" s="75"/>
      <c r="AO21" s="76"/>
      <c r="AP21" s="77"/>
      <c r="AQ21" s="59"/>
      <c r="AR21" s="75"/>
      <c r="AS21" s="76"/>
      <c r="AT21" s="75"/>
      <c r="AU21" s="76"/>
      <c r="AV21" s="75"/>
      <c r="AW21" s="76"/>
      <c r="AX21" s="75"/>
      <c r="AY21" s="76"/>
      <c r="AZ21" s="77"/>
      <c r="BA21" s="59"/>
      <c r="BB21" s="75"/>
      <c r="BC21" s="76"/>
      <c r="BD21" s="75"/>
      <c r="BE21" s="76"/>
      <c r="BF21" s="75"/>
      <c r="BG21" s="76"/>
      <c r="BH21" s="75"/>
      <c r="BI21" s="76"/>
      <c r="BQ21" s="11"/>
      <c r="BR21" s="11"/>
      <c r="BS21" s="11"/>
      <c r="BT21" s="11"/>
      <c r="BU21" s="11"/>
      <c r="BV21" s="11"/>
      <c r="BW21" s="11"/>
      <c r="BX21" s="11"/>
      <c r="BY21" s="11"/>
      <c r="BZ21" s="11"/>
      <c r="CA21" s="11"/>
      <c r="CB21" s="11"/>
    </row>
    <row r="22" ht="13.5" customHeight="1">
      <c r="B22" s="54">
        <v>1.0</v>
      </c>
      <c r="C22" s="55"/>
      <c r="D22" s="56"/>
      <c r="E22" s="57"/>
      <c r="F22" s="56"/>
      <c r="G22" s="57"/>
      <c r="H22" s="56" t="str">
        <f>IF(AND('Milestones Grid'!BS24&gt;0,'Milestones Grid'!$AO$8&gt;0),3,"")</f>
        <v/>
      </c>
      <c r="I22" s="57"/>
      <c r="J22" s="56" t="str">
        <f>IF(AND('Milestones Grid'!BT24&gt;0,'Milestones Grid'!$AO$9&gt;0),4,"")</f>
        <v/>
      </c>
      <c r="K22" s="57"/>
      <c r="L22" s="58"/>
      <c r="M22" s="59"/>
      <c r="N22" s="56">
        <f>IF(AND('Barrier Grid'!$AO$6&lt;=96,OR('Barrier Grid'!$AO$6&gt;0,'Transition Grid'!$BI$6&gt;0)),1,"")</f>
        <v>1</v>
      </c>
      <c r="O22" s="57"/>
      <c r="P22" s="56"/>
      <c r="Q22" s="57"/>
      <c r="R22" s="56" t="str">
        <f>IF(AND('Barrier Grid'!$AO$8&lt;=96,OR('Barrier Grid'!$AO$8&gt;0,'Transition Grid'!$BK$6&gt;0)),3,"")</f>
        <v/>
      </c>
      <c r="S22" s="57"/>
      <c r="T22" s="56" t="str">
        <f>IF(AND('Barrier Grid'!$AO$9&lt;=96,OR('Barrier Grid'!$AO$9&gt;0,'Transition Grid'!$BL$6&gt;0)),4,"")</f>
        <v/>
      </c>
      <c r="U22" s="57"/>
      <c r="V22" s="58"/>
      <c r="W22" s="59"/>
      <c r="X22" s="56">
        <f>IF(AND(OR('Barrier Grid'!$AO$6&gt;0,'Transition Grid'!$BI$6&gt;0),'Barrier Grid'!$N$10&lt;=7),1,"")</f>
        <v>1</v>
      </c>
      <c r="Y22" s="57"/>
      <c r="Z22" s="56"/>
      <c r="AA22" s="57"/>
      <c r="AB22" s="56" t="str">
        <f>IF(AND(OR('Barrier Grid'!$AO$8&gt;0,'Transition Grid'!$BK$6&gt;0),'Barrier Grid'!$P$10&lt;=7),3,"")</f>
        <v/>
      </c>
      <c r="AC22" s="57"/>
      <c r="AD22" s="56" t="str">
        <f>IF(AND(OR('Barrier Grid'!$AO$9&gt;0,'Transition Grid'!$BL$6&gt;0),'Barrier Grid'!$Q$10&lt;=7),4,"")</f>
        <v/>
      </c>
      <c r="AE22" s="57"/>
      <c r="AF22" s="58"/>
      <c r="AG22" s="59"/>
      <c r="AH22" s="56" t="str">
        <f>IF(AND('Milestones Grid'!BQ24&gt;0,SUM('Milestones Grid'!$BB$15,'Milestones Grid'!$BB$32)&gt;=2),1,"")</f>
        <v/>
      </c>
      <c r="AI22" s="57"/>
      <c r="AJ22" s="56" t="str">
        <f>IF(AND('Milestones Grid'!BR24&gt;0,SUM('Milestones Grid'!$BB$15:$BC$15,'Milestones Grid'!$BB$32:$BC$32)&gt;=2),2,"")</f>
        <v/>
      </c>
      <c r="AK22" s="57"/>
      <c r="AL22" s="56" t="str">
        <f>IF(AND('Milestones Grid'!BS24&gt;0,SUM('Milestones Grid'!$BB$15:$BD$15,'Milestones Grid'!$BB$32:$BD$32)&gt;=2),3,"")</f>
        <v/>
      </c>
      <c r="AM22" s="57"/>
      <c r="AN22" s="56" t="str">
        <f>IF(AND('Milestones Grid'!BT24&gt;0,SUM('Milestones Grid'!$BB$15:$BE$15,'Milestones Grid'!$BB$32:$BE$32)&gt;=2),4,"")</f>
        <v/>
      </c>
      <c r="AO22" s="57"/>
      <c r="AP22" s="58"/>
      <c r="AQ22" s="59"/>
      <c r="AR22" s="56">
        <f>IF(AND('Milestones Grid'!$BQ$24&gt;0,SUM('Milestones Grid'!$AC$15,'Milestones Grid'!$AC$32,'Milestones Grid'!$AC$49)&gt;=2),1,"")</f>
        <v>1</v>
      </c>
      <c r="AS22" s="57"/>
      <c r="AT22" s="56" t="str">
        <f>IF(AND('Milestones Grid'!$BR$24&gt;0,SUM('Milestones Grid'!$AC$15:$AD$15,'Milestones Grid'!$AC$32:$AD$32,'Milestones Grid'!$AC$49:$AD$49)&gt;=2),2,"")</f>
        <v/>
      </c>
      <c r="AU22" s="57"/>
      <c r="AV22" s="56" t="str">
        <f>IF(AND('Milestones Grid'!$BS$24&gt;0,SUM('Milestones Grid'!$AC$15:$AE$15,'Milestones Grid'!$AC$32:$AE$32,'Milestones Grid'!$AC$49:$AE$49)&gt;=2),3,"")</f>
        <v/>
      </c>
      <c r="AW22" s="57"/>
      <c r="AX22" s="56" t="str">
        <f>IF(AND('Milestones Grid'!$BT$24&gt;0,SUM('Milestones Grid'!$AC$15:$AF$15,'Milestones Grid'!$AC$32:$AF$32,'Milestones Grid'!$AC$49:$AF$49)&gt;=2),4,"")</f>
        <v/>
      </c>
      <c r="AY22" s="57"/>
      <c r="AZ22" s="58"/>
      <c r="BA22" s="59"/>
      <c r="BB22" s="56"/>
      <c r="BC22" s="57"/>
      <c r="BD22" s="56"/>
      <c r="BE22" s="57"/>
      <c r="BF22" s="56"/>
      <c r="BG22" s="57"/>
      <c r="BH22" s="56"/>
      <c r="BI22" s="57"/>
      <c r="BQ22" s="11"/>
      <c r="BR22" s="11"/>
      <c r="BS22" s="11"/>
      <c r="BT22" s="11"/>
      <c r="BU22" s="11"/>
      <c r="BV22" s="11"/>
      <c r="BW22" s="11"/>
      <c r="BX22" s="11"/>
      <c r="BY22" s="11"/>
      <c r="BZ22" s="11"/>
      <c r="CA22" s="11"/>
      <c r="CB22" s="11"/>
    </row>
    <row r="23" ht="13.5" customHeight="1">
      <c r="B23" s="73"/>
      <c r="C23" s="87"/>
      <c r="D23" s="88"/>
      <c r="E23" s="89"/>
      <c r="F23" s="88"/>
      <c r="G23" s="89"/>
      <c r="H23" s="88"/>
      <c r="I23" s="89"/>
      <c r="J23" s="88"/>
      <c r="K23" s="89"/>
      <c r="L23" s="88"/>
      <c r="M23" s="89"/>
      <c r="N23" s="88"/>
      <c r="O23" s="89"/>
      <c r="P23" s="88"/>
      <c r="Q23" s="89"/>
      <c r="R23" s="88"/>
      <c r="S23" s="89"/>
      <c r="T23" s="88"/>
      <c r="U23" s="89"/>
      <c r="V23" s="88"/>
      <c r="W23" s="89"/>
      <c r="X23" s="88"/>
      <c r="Y23" s="89"/>
      <c r="Z23" s="88"/>
      <c r="AA23" s="89"/>
      <c r="AB23" s="88"/>
      <c r="AC23" s="89"/>
      <c r="AD23" s="88"/>
      <c r="AE23" s="89"/>
      <c r="AF23" s="88"/>
      <c r="AG23" s="89"/>
      <c r="AH23" s="88"/>
      <c r="AI23" s="89"/>
      <c r="AJ23" s="88"/>
      <c r="AK23" s="89"/>
      <c r="AL23" s="88"/>
      <c r="AM23" s="89"/>
      <c r="AN23" s="88"/>
      <c r="AO23" s="89"/>
      <c r="AP23" s="88"/>
      <c r="AQ23" s="89"/>
      <c r="AR23" s="88"/>
      <c r="AS23" s="89"/>
      <c r="AT23" s="88"/>
      <c r="AU23" s="89"/>
      <c r="AV23" s="88"/>
      <c r="AW23" s="89"/>
      <c r="AX23" s="88"/>
      <c r="AY23" s="89"/>
      <c r="AZ23" s="88"/>
      <c r="BA23" s="89"/>
      <c r="BB23" s="88"/>
      <c r="BC23" s="89"/>
      <c r="BD23" s="88"/>
      <c r="BE23" s="89"/>
      <c r="BF23" s="88"/>
      <c r="BG23" s="89"/>
      <c r="BH23" s="88"/>
      <c r="BI23" s="89"/>
      <c r="BQ23" s="11"/>
      <c r="BR23" s="11"/>
      <c r="BS23" s="11"/>
      <c r="BT23" s="11"/>
      <c r="BU23" s="11"/>
      <c r="BV23" s="11"/>
      <c r="BW23" s="11"/>
      <c r="BX23" s="11"/>
      <c r="BY23" s="11"/>
      <c r="BZ23" s="11"/>
      <c r="CA23" s="11"/>
      <c r="CB23" s="11"/>
    </row>
    <row r="24" ht="15.75" customHeight="1">
      <c r="D24" s="90">
        <v>1.0</v>
      </c>
      <c r="E24" s="91"/>
      <c r="F24" s="90">
        <v>2.0</v>
      </c>
      <c r="G24" s="91"/>
      <c r="H24" s="90">
        <v>3.0</v>
      </c>
      <c r="I24" s="91"/>
      <c r="J24" s="90">
        <v>4.0</v>
      </c>
      <c r="K24" s="91"/>
      <c r="N24" s="90">
        <v>1.0</v>
      </c>
      <c r="O24" s="91"/>
      <c r="P24" s="90">
        <v>2.0</v>
      </c>
      <c r="Q24" s="91"/>
      <c r="R24" s="90">
        <v>3.0</v>
      </c>
      <c r="S24" s="91"/>
      <c r="T24" s="90">
        <v>4.0</v>
      </c>
      <c r="U24" s="91"/>
      <c r="X24" s="90">
        <v>1.0</v>
      </c>
      <c r="Y24" s="91"/>
      <c r="Z24" s="90">
        <v>2.0</v>
      </c>
      <c r="AA24" s="91"/>
      <c r="AB24" s="90">
        <v>3.0</v>
      </c>
      <c r="AC24" s="91"/>
      <c r="AD24" s="90">
        <v>4.0</v>
      </c>
      <c r="AE24" s="91"/>
      <c r="AH24" s="90">
        <v>1.0</v>
      </c>
      <c r="AI24" s="91"/>
      <c r="AJ24" s="90">
        <v>2.0</v>
      </c>
      <c r="AK24" s="91"/>
      <c r="AL24" s="90">
        <v>3.0</v>
      </c>
      <c r="AM24" s="91"/>
      <c r="AN24" s="90">
        <v>4.0</v>
      </c>
      <c r="AO24" s="91"/>
      <c r="AR24" s="90">
        <v>1.0</v>
      </c>
      <c r="AS24" s="91"/>
      <c r="AT24" s="90">
        <v>2.0</v>
      </c>
      <c r="AU24" s="91"/>
      <c r="AV24" s="90">
        <v>3.0</v>
      </c>
      <c r="AW24" s="91"/>
      <c r="AX24" s="90">
        <v>4.0</v>
      </c>
      <c r="AY24" s="91"/>
      <c r="BB24" s="90">
        <v>1.0</v>
      </c>
      <c r="BC24" s="91"/>
      <c r="BD24" s="90">
        <v>2.0</v>
      </c>
      <c r="BE24" s="91"/>
      <c r="BF24" s="90">
        <v>3.0</v>
      </c>
      <c r="BG24" s="91"/>
      <c r="BH24" s="90">
        <v>4.0</v>
      </c>
      <c r="BI24" s="91"/>
      <c r="BQ24" s="11"/>
      <c r="BR24" s="11"/>
      <c r="BS24" s="11"/>
      <c r="BT24" s="11"/>
      <c r="BU24" s="11"/>
      <c r="BV24" s="11"/>
      <c r="BW24" s="11"/>
      <c r="BX24" s="11"/>
      <c r="BY24" s="11"/>
      <c r="BZ24" s="11"/>
      <c r="CA24" s="11"/>
      <c r="CB24" s="11"/>
    </row>
    <row r="25" ht="15.75" customHeight="1">
      <c r="BQ25" s="11"/>
      <c r="BR25" s="11"/>
      <c r="BS25" s="11"/>
      <c r="BT25" s="11"/>
      <c r="BU25" s="11"/>
      <c r="BV25" s="11"/>
      <c r="BW25" s="11"/>
      <c r="BX25" s="11"/>
      <c r="BY25" s="11"/>
      <c r="BZ25" s="11"/>
      <c r="CA25" s="11"/>
      <c r="CB25" s="11"/>
    </row>
    <row r="26" ht="15.75" customHeight="1">
      <c r="BQ26" s="11"/>
      <c r="BR26" s="11"/>
      <c r="BS26" s="11"/>
      <c r="BT26" s="11"/>
      <c r="BU26" s="11"/>
      <c r="BV26" s="11"/>
      <c r="BW26" s="11"/>
      <c r="BX26" s="11"/>
      <c r="BY26" s="11"/>
      <c r="BZ26" s="11"/>
      <c r="CA26" s="11"/>
      <c r="CB26" s="11"/>
    </row>
    <row r="27" ht="15.75" customHeight="1">
      <c r="BQ27" s="11"/>
      <c r="BR27" s="11"/>
      <c r="BS27" s="11"/>
      <c r="BT27" s="11"/>
      <c r="BU27" s="11"/>
      <c r="BV27" s="11"/>
      <c r="BW27" s="11"/>
      <c r="BX27" s="11"/>
      <c r="BY27" s="11"/>
      <c r="BZ27" s="11"/>
      <c r="CA27" s="11"/>
      <c r="CB27" s="11"/>
    </row>
    <row r="28" ht="15.75" customHeight="1">
      <c r="BQ28" s="11"/>
      <c r="BR28" s="11"/>
      <c r="BS28" s="11"/>
      <c r="BT28" s="11"/>
      <c r="BU28" s="11"/>
      <c r="BV28" s="11"/>
      <c r="BW28" s="11"/>
      <c r="BX28" s="11"/>
      <c r="BY28" s="11"/>
      <c r="BZ28" s="11"/>
      <c r="CA28" s="11"/>
      <c r="CB28" s="11"/>
    </row>
    <row r="29" ht="15.75" customHeight="1">
      <c r="D29" s="14">
        <f>SUM(D30:E39)</f>
        <v>0</v>
      </c>
      <c r="E29" s="14"/>
      <c r="F29" s="14">
        <f>SUM(F30:G39)/2</f>
        <v>0</v>
      </c>
      <c r="G29" s="14"/>
      <c r="H29" s="14">
        <f>SUM(H30:I39)/3</f>
        <v>0</v>
      </c>
      <c r="I29" s="14"/>
      <c r="J29" s="14">
        <f>SUM(J30:K39)/4</f>
        <v>0</v>
      </c>
      <c r="K29" s="14"/>
      <c r="L29" s="14">
        <f>IF(J29&gt;0,J29,IF(H29&gt;0,H29,IF(F29&gt;0,F29,IF(D29&gt;0,D29,0))))</f>
        <v>0</v>
      </c>
      <c r="M29" s="14"/>
      <c r="N29" s="14">
        <f>SUM(N30:O39)</f>
        <v>0</v>
      </c>
      <c r="O29" s="14"/>
      <c r="P29" s="14">
        <f>SUM(P30:Q39)/2</f>
        <v>0</v>
      </c>
      <c r="Q29" s="14"/>
      <c r="R29" s="14">
        <f>SUM(R30:S39)/3</f>
        <v>0</v>
      </c>
      <c r="S29" s="14"/>
      <c r="T29" s="14">
        <f>SUM(T30:U39)/4</f>
        <v>0</v>
      </c>
      <c r="U29" s="14"/>
      <c r="V29" s="14">
        <f>IF(T29&gt;0,T29,IF(R29&gt;0,R29,IF(P29&gt;0,P29,IF(N29&gt;0,N29,0))))</f>
        <v>0</v>
      </c>
      <c r="W29" s="14"/>
      <c r="X29" s="14">
        <f>SUM(X30:Y39)</f>
        <v>0</v>
      </c>
      <c r="Y29" s="14"/>
      <c r="Z29" s="14">
        <f>SUM(Z30:AA39)/2</f>
        <v>0</v>
      </c>
      <c r="AA29" s="14"/>
      <c r="AB29" s="14">
        <f>SUM(AB30:AC39)/3</f>
        <v>0</v>
      </c>
      <c r="AC29" s="14"/>
      <c r="AD29" s="14">
        <f>SUM(AD30:AE39)/4</f>
        <v>0</v>
      </c>
      <c r="AE29" s="14"/>
      <c r="AF29" s="14">
        <f>IF(AD29&gt;0,AD29,IF(AB29&gt;0,AB29,IF(Z29&gt;0,Z29,IF(X29&gt;0,X29,0))))</f>
        <v>0</v>
      </c>
      <c r="AG29" s="14"/>
      <c r="AH29" s="14">
        <f>SUM(AH30:AI39)</f>
        <v>0</v>
      </c>
      <c r="AI29" s="14"/>
      <c r="AJ29" s="14">
        <f>SUM(AJ30:AK39)/2</f>
        <v>0</v>
      </c>
      <c r="AK29" s="14"/>
      <c r="AL29" s="14">
        <f>SUM(AL30:AM39)/3</f>
        <v>0</v>
      </c>
      <c r="AM29" s="14"/>
      <c r="AN29" s="14">
        <f>SUM(AN30:AO39)/4</f>
        <v>0</v>
      </c>
      <c r="AO29" s="14"/>
      <c r="AP29" s="14">
        <f>IF(AN29&gt;0,AN29,IF(AL29&gt;0,AL29,IF(AJ29&gt;0,AJ29,IF(AH29&gt;0,AH29,0))))</f>
        <v>0</v>
      </c>
      <c r="AQ29" s="14"/>
      <c r="AR29" s="14">
        <f>SUM(AR30:AS39)</f>
        <v>0</v>
      </c>
      <c r="AS29" s="14"/>
      <c r="AT29" s="14">
        <f>SUM(AT30:AU39)/2</f>
        <v>0</v>
      </c>
      <c r="AU29" s="14"/>
      <c r="AV29" s="14">
        <f>SUM(AV30:AW39)/3</f>
        <v>0</v>
      </c>
      <c r="AW29" s="14"/>
      <c r="AX29" s="14">
        <f>SUM(AX30:AY39)/4</f>
        <v>0</v>
      </c>
      <c r="AY29" s="14"/>
      <c r="AZ29" s="14">
        <f>IF(AX29&gt;0,AX29,IF(AV29&gt;0,AV29,IF(AT29&gt;0,AT29,IF(AR29&gt;0,AR29,0))))</f>
        <v>0</v>
      </c>
      <c r="BA29" s="14"/>
      <c r="BB29" s="14">
        <f>SUM(BB30:BC39)</f>
        <v>0</v>
      </c>
      <c r="BC29" s="14"/>
      <c r="BD29" s="14">
        <f>SUM(BD30:BE39)/2</f>
        <v>0</v>
      </c>
      <c r="BE29" s="14"/>
      <c r="BF29" s="14">
        <f>SUM(BF30:BG39)/3</f>
        <v>0</v>
      </c>
      <c r="BG29" s="14"/>
      <c r="BH29" s="14">
        <f>SUM(BH30:BI39)/4</f>
        <v>0</v>
      </c>
      <c r="BI29" s="14"/>
      <c r="BJ29" s="14">
        <f>IF(BH29&gt;0,BH29,IF(BF29&gt;0,BF29,IF(BD29&gt;0,BD29,IF(BB29&gt;0,BB29,0))))</f>
        <v>0</v>
      </c>
      <c r="BQ29" s="11"/>
      <c r="BR29" s="11"/>
      <c r="BS29" s="11"/>
      <c r="BT29" s="11"/>
      <c r="BU29" s="11"/>
      <c r="BV29" s="11"/>
      <c r="BW29" s="11"/>
      <c r="BX29" s="11"/>
      <c r="BY29" s="11"/>
      <c r="BZ29" s="11"/>
      <c r="CA29" s="11"/>
      <c r="CB29" s="11"/>
    </row>
    <row r="30" ht="13.5" customHeight="1">
      <c r="B30" s="54">
        <v>5.0</v>
      </c>
      <c r="C30" s="55"/>
      <c r="D30" s="56"/>
      <c r="E30" s="57"/>
      <c r="F30" s="56"/>
      <c r="G30" s="57"/>
      <c r="H30" s="56"/>
      <c r="I30" s="57"/>
      <c r="J30" s="56"/>
      <c r="K30" s="57"/>
      <c r="L30" s="58"/>
      <c r="M30" s="59"/>
      <c r="N30" s="56"/>
      <c r="O30" s="57"/>
      <c r="P30" s="56"/>
      <c r="Q30" s="57"/>
      <c r="R30" s="56"/>
      <c r="S30" s="57"/>
      <c r="T30" s="56"/>
      <c r="U30" s="57"/>
      <c r="V30" s="58"/>
      <c r="W30" s="59"/>
      <c r="X30" s="56"/>
      <c r="Y30" s="57"/>
      <c r="Z30" s="56"/>
      <c r="AA30" s="57"/>
      <c r="AB30" s="56"/>
      <c r="AC30" s="57"/>
      <c r="AD30" s="56"/>
      <c r="AE30" s="57"/>
      <c r="AF30" s="58"/>
      <c r="AG30" s="59"/>
      <c r="AH30" s="56"/>
      <c r="AI30" s="57"/>
      <c r="AJ30" s="56"/>
      <c r="AK30" s="57"/>
      <c r="AL30" s="56"/>
      <c r="AM30" s="57"/>
      <c r="AN30" s="56"/>
      <c r="AO30" s="57"/>
      <c r="AP30" s="58"/>
      <c r="AQ30" s="59"/>
      <c r="AR30" s="56"/>
      <c r="AS30" s="57"/>
      <c r="AT30" s="56"/>
      <c r="AU30" s="57"/>
      <c r="AV30" s="56"/>
      <c r="AW30" s="57"/>
      <c r="AX30" s="56"/>
      <c r="AY30" s="57"/>
      <c r="AZ30" s="58"/>
      <c r="BA30" s="59"/>
      <c r="BB30" s="56"/>
      <c r="BC30" s="57"/>
      <c r="BD30" s="56"/>
      <c r="BE30" s="57"/>
      <c r="BF30" s="56"/>
      <c r="BG30" s="57"/>
      <c r="BH30" s="56"/>
      <c r="BI30" s="57"/>
      <c r="BQ30" s="11"/>
      <c r="BR30" s="11"/>
      <c r="BS30" s="11"/>
      <c r="BT30" s="11"/>
      <c r="BU30" s="11"/>
      <c r="BV30" s="11"/>
      <c r="BW30" s="11"/>
      <c r="BX30" s="11"/>
      <c r="BY30" s="11"/>
      <c r="BZ30" s="11"/>
      <c r="CA30" s="11"/>
      <c r="CB30" s="11"/>
    </row>
    <row r="31" ht="13.5" customHeight="1">
      <c r="B31" s="73"/>
      <c r="C31" s="74"/>
      <c r="D31" s="75"/>
      <c r="E31" s="76"/>
      <c r="F31" s="75"/>
      <c r="G31" s="76"/>
      <c r="H31" s="75"/>
      <c r="I31" s="76"/>
      <c r="J31" s="75"/>
      <c r="K31" s="76"/>
      <c r="L31" s="77"/>
      <c r="M31" s="59"/>
      <c r="N31" s="75"/>
      <c r="O31" s="76"/>
      <c r="P31" s="75"/>
      <c r="Q31" s="76"/>
      <c r="R31" s="75"/>
      <c r="S31" s="76"/>
      <c r="T31" s="75"/>
      <c r="U31" s="76"/>
      <c r="V31" s="77"/>
      <c r="W31" s="59"/>
      <c r="X31" s="75"/>
      <c r="Y31" s="76"/>
      <c r="Z31" s="75"/>
      <c r="AA31" s="76"/>
      <c r="AB31" s="75"/>
      <c r="AC31" s="76"/>
      <c r="AD31" s="75"/>
      <c r="AE31" s="76"/>
      <c r="AF31" s="77"/>
      <c r="AG31" s="59"/>
      <c r="AH31" s="75"/>
      <c r="AI31" s="76"/>
      <c r="AJ31" s="75"/>
      <c r="AK31" s="76"/>
      <c r="AL31" s="75"/>
      <c r="AM31" s="76"/>
      <c r="AN31" s="75"/>
      <c r="AO31" s="76"/>
      <c r="AP31" s="77"/>
      <c r="AQ31" s="59"/>
      <c r="AR31" s="75"/>
      <c r="AS31" s="76"/>
      <c r="AT31" s="75"/>
      <c r="AU31" s="76"/>
      <c r="AV31" s="75"/>
      <c r="AW31" s="76"/>
      <c r="AX31" s="75"/>
      <c r="AY31" s="76"/>
      <c r="AZ31" s="77"/>
      <c r="BA31" s="59"/>
      <c r="BB31" s="75"/>
      <c r="BC31" s="76"/>
      <c r="BD31" s="75"/>
      <c r="BE31" s="76"/>
      <c r="BF31" s="75"/>
      <c r="BG31" s="76"/>
      <c r="BH31" s="75"/>
      <c r="BI31" s="76"/>
      <c r="BQ31" s="11"/>
      <c r="BR31" s="11"/>
      <c r="BS31" s="11"/>
      <c r="BT31" s="11"/>
      <c r="BU31" s="11"/>
      <c r="BV31" s="11"/>
      <c r="BW31" s="11"/>
      <c r="BX31" s="11"/>
      <c r="BY31" s="11"/>
      <c r="BZ31" s="11"/>
      <c r="CA31" s="11"/>
      <c r="CB31" s="11"/>
    </row>
    <row r="32" ht="13.5" customHeight="1">
      <c r="B32" s="54">
        <v>4.0</v>
      </c>
      <c r="C32" s="55"/>
      <c r="D32" s="56"/>
      <c r="E32" s="57"/>
      <c r="F32" s="56"/>
      <c r="G32" s="57"/>
      <c r="H32" s="56"/>
      <c r="I32" s="57"/>
      <c r="J32" s="56"/>
      <c r="K32" s="57"/>
      <c r="L32" s="58"/>
      <c r="M32" s="59"/>
      <c r="N32" s="56"/>
      <c r="O32" s="57"/>
      <c r="P32" s="56"/>
      <c r="Q32" s="57"/>
      <c r="R32" s="56"/>
      <c r="S32" s="57"/>
      <c r="T32" s="56"/>
      <c r="U32" s="57"/>
      <c r="V32" s="58"/>
      <c r="W32" s="59"/>
      <c r="X32" s="56"/>
      <c r="Y32" s="57"/>
      <c r="Z32" s="56"/>
      <c r="AA32" s="57"/>
      <c r="AB32" s="56"/>
      <c r="AC32" s="57"/>
      <c r="AD32" s="56"/>
      <c r="AE32" s="57"/>
      <c r="AF32" s="58"/>
      <c r="AG32" s="59"/>
      <c r="AH32" s="56"/>
      <c r="AI32" s="57"/>
      <c r="AJ32" s="56"/>
      <c r="AK32" s="57"/>
      <c r="AL32" s="56"/>
      <c r="AM32" s="57"/>
      <c r="AN32" s="56"/>
      <c r="AO32" s="57"/>
      <c r="AP32" s="58"/>
      <c r="AQ32" s="59"/>
      <c r="AR32" s="56"/>
      <c r="AS32" s="57"/>
      <c r="AT32" s="56"/>
      <c r="AU32" s="57"/>
      <c r="AV32" s="56"/>
      <c r="AW32" s="57"/>
      <c r="AX32" s="56"/>
      <c r="AY32" s="57"/>
      <c r="AZ32" s="58"/>
      <c r="BA32" s="59"/>
      <c r="BB32" s="56"/>
      <c r="BC32" s="57"/>
      <c r="BD32" s="56"/>
      <c r="BE32" s="57"/>
      <c r="BF32" s="56"/>
      <c r="BG32" s="57"/>
      <c r="BH32" s="56"/>
      <c r="BI32" s="57"/>
      <c r="BQ32" s="11"/>
      <c r="BR32" s="11"/>
      <c r="BS32" s="11"/>
      <c r="BT32" s="11"/>
      <c r="BU32" s="11"/>
      <c r="BV32" s="11"/>
      <c r="BW32" s="11"/>
      <c r="BX32" s="11"/>
      <c r="BY32" s="11"/>
      <c r="BZ32" s="11"/>
      <c r="CA32" s="11"/>
      <c r="CB32" s="11"/>
    </row>
    <row r="33" ht="13.5" customHeight="1">
      <c r="B33" s="73"/>
      <c r="C33" s="74"/>
      <c r="D33" s="75"/>
      <c r="E33" s="76"/>
      <c r="F33" s="75"/>
      <c r="G33" s="76"/>
      <c r="H33" s="75"/>
      <c r="I33" s="76"/>
      <c r="J33" s="75"/>
      <c r="K33" s="76"/>
      <c r="L33" s="77"/>
      <c r="M33" s="59"/>
      <c r="N33" s="75"/>
      <c r="O33" s="76"/>
      <c r="P33" s="75"/>
      <c r="Q33" s="76"/>
      <c r="R33" s="75"/>
      <c r="S33" s="76"/>
      <c r="T33" s="75"/>
      <c r="U33" s="76"/>
      <c r="V33" s="77"/>
      <c r="W33" s="59"/>
      <c r="X33" s="75"/>
      <c r="Y33" s="76"/>
      <c r="Z33" s="75"/>
      <c r="AA33" s="76"/>
      <c r="AB33" s="75"/>
      <c r="AC33" s="76"/>
      <c r="AD33" s="75"/>
      <c r="AE33" s="76"/>
      <c r="AF33" s="77"/>
      <c r="AG33" s="59"/>
      <c r="AH33" s="75"/>
      <c r="AI33" s="76"/>
      <c r="AJ33" s="75"/>
      <c r="AK33" s="76"/>
      <c r="AL33" s="75"/>
      <c r="AM33" s="76"/>
      <c r="AN33" s="75"/>
      <c r="AO33" s="76"/>
      <c r="AP33" s="77"/>
      <c r="AQ33" s="59"/>
      <c r="AR33" s="75"/>
      <c r="AS33" s="76"/>
      <c r="AT33" s="75"/>
      <c r="AU33" s="76"/>
      <c r="AV33" s="75"/>
      <c r="AW33" s="76"/>
      <c r="AX33" s="75"/>
      <c r="AY33" s="76"/>
      <c r="AZ33" s="77"/>
      <c r="BA33" s="59"/>
      <c r="BB33" s="75"/>
      <c r="BC33" s="76"/>
      <c r="BD33" s="75"/>
      <c r="BE33" s="76"/>
      <c r="BF33" s="75"/>
      <c r="BG33" s="76"/>
      <c r="BH33" s="75"/>
      <c r="BI33" s="76"/>
      <c r="BQ33" s="11"/>
      <c r="BR33" s="11"/>
      <c r="BS33" s="11"/>
      <c r="BT33" s="11"/>
      <c r="BU33" s="11"/>
      <c r="BV33" s="11"/>
      <c r="BW33" s="11"/>
      <c r="BX33" s="11"/>
      <c r="BY33" s="11"/>
      <c r="BZ33" s="11"/>
      <c r="CA33" s="11"/>
      <c r="CB33" s="11"/>
    </row>
    <row r="34" ht="13.5" customHeight="1">
      <c r="B34" s="54">
        <v>3.0</v>
      </c>
      <c r="C34" s="55"/>
      <c r="D34" s="56"/>
      <c r="E34" s="57"/>
      <c r="F34" s="56"/>
      <c r="G34" s="57"/>
      <c r="H34" s="56"/>
      <c r="I34" s="57"/>
      <c r="J34" s="56"/>
      <c r="K34" s="57"/>
      <c r="L34" s="58"/>
      <c r="M34" s="59"/>
      <c r="N34" s="56"/>
      <c r="O34" s="57"/>
      <c r="P34" s="56"/>
      <c r="Q34" s="57"/>
      <c r="R34" s="56"/>
      <c r="S34" s="57"/>
      <c r="T34" s="56"/>
      <c r="U34" s="57"/>
      <c r="V34" s="58"/>
      <c r="W34" s="59"/>
      <c r="X34" s="56"/>
      <c r="Y34" s="57"/>
      <c r="Z34" s="56"/>
      <c r="AA34" s="57"/>
      <c r="AB34" s="56"/>
      <c r="AC34" s="57"/>
      <c r="AD34" s="56"/>
      <c r="AE34" s="57"/>
      <c r="AF34" s="58"/>
      <c r="AG34" s="59"/>
      <c r="AH34" s="56"/>
      <c r="AI34" s="57"/>
      <c r="AJ34" s="56"/>
      <c r="AK34" s="57"/>
      <c r="AL34" s="56"/>
      <c r="AM34" s="57"/>
      <c r="AN34" s="56"/>
      <c r="AO34" s="57"/>
      <c r="AP34" s="58"/>
      <c r="AQ34" s="59"/>
      <c r="AR34" s="56"/>
      <c r="AS34" s="57"/>
      <c r="AT34" s="56"/>
      <c r="AU34" s="57"/>
      <c r="AV34" s="56"/>
      <c r="AW34" s="57"/>
      <c r="AX34" s="56"/>
      <c r="AY34" s="57"/>
      <c r="AZ34" s="58"/>
      <c r="BA34" s="59"/>
      <c r="BB34" s="56"/>
      <c r="BC34" s="57"/>
      <c r="BD34" s="56"/>
      <c r="BE34" s="57"/>
      <c r="BF34" s="56"/>
      <c r="BG34" s="57"/>
      <c r="BH34" s="56"/>
      <c r="BI34" s="57"/>
      <c r="BQ34" s="11"/>
      <c r="BR34" s="11"/>
      <c r="BS34" s="11"/>
      <c r="BT34" s="11"/>
      <c r="BU34" s="11"/>
      <c r="BV34" s="11"/>
      <c r="BW34" s="11"/>
      <c r="BX34" s="11"/>
      <c r="BY34" s="11"/>
      <c r="BZ34" s="11"/>
      <c r="CA34" s="11"/>
      <c r="CB34" s="11"/>
    </row>
    <row r="35" ht="13.5" customHeight="1">
      <c r="B35" s="73"/>
      <c r="C35" s="74"/>
      <c r="D35" s="75"/>
      <c r="E35" s="76"/>
      <c r="F35" s="75"/>
      <c r="G35" s="76"/>
      <c r="H35" s="75"/>
      <c r="I35" s="76"/>
      <c r="J35" s="75"/>
      <c r="K35" s="76"/>
      <c r="L35" s="77"/>
      <c r="M35" s="59"/>
      <c r="N35" s="75"/>
      <c r="O35" s="76"/>
      <c r="P35" s="75"/>
      <c r="Q35" s="76"/>
      <c r="R35" s="75"/>
      <c r="S35" s="76"/>
      <c r="T35" s="75"/>
      <c r="U35" s="76"/>
      <c r="V35" s="77"/>
      <c r="W35" s="59"/>
      <c r="X35" s="75"/>
      <c r="Y35" s="76"/>
      <c r="Z35" s="75"/>
      <c r="AA35" s="76"/>
      <c r="AB35" s="75"/>
      <c r="AC35" s="76"/>
      <c r="AD35" s="75"/>
      <c r="AE35" s="76"/>
      <c r="AF35" s="77"/>
      <c r="AG35" s="59"/>
      <c r="AH35" s="75"/>
      <c r="AI35" s="76"/>
      <c r="AJ35" s="75"/>
      <c r="AK35" s="76"/>
      <c r="AL35" s="75"/>
      <c r="AM35" s="76"/>
      <c r="AN35" s="75"/>
      <c r="AO35" s="76"/>
      <c r="AP35" s="77"/>
      <c r="AQ35" s="59"/>
      <c r="AR35" s="75"/>
      <c r="AS35" s="76"/>
      <c r="AT35" s="75"/>
      <c r="AU35" s="76"/>
      <c r="AV35" s="75"/>
      <c r="AW35" s="76"/>
      <c r="AX35" s="75"/>
      <c r="AY35" s="76"/>
      <c r="AZ35" s="77"/>
      <c r="BA35" s="59"/>
      <c r="BB35" s="75"/>
      <c r="BC35" s="76"/>
      <c r="BD35" s="75"/>
      <c r="BE35" s="76"/>
      <c r="BF35" s="75"/>
      <c r="BG35" s="76"/>
      <c r="BH35" s="75"/>
      <c r="BI35" s="76"/>
      <c r="BQ35" s="11"/>
      <c r="BR35" s="11"/>
      <c r="BS35" s="11"/>
      <c r="BT35" s="11"/>
      <c r="BU35" s="11"/>
      <c r="BV35" s="11"/>
      <c r="BW35" s="11"/>
      <c r="BX35" s="11"/>
      <c r="BY35" s="11"/>
      <c r="BZ35" s="11"/>
      <c r="CA35" s="11"/>
      <c r="CB35" s="11"/>
    </row>
    <row r="36" ht="13.5" customHeight="1">
      <c r="B36" s="54">
        <v>2.0</v>
      </c>
      <c r="C36" s="55"/>
      <c r="D36" s="56"/>
      <c r="E36" s="57"/>
      <c r="F36" s="56"/>
      <c r="G36" s="57"/>
      <c r="H36" s="56"/>
      <c r="I36" s="57"/>
      <c r="J36" s="56"/>
      <c r="K36" s="57"/>
      <c r="L36" s="58"/>
      <c r="M36" s="59"/>
      <c r="N36" s="56"/>
      <c r="O36" s="57"/>
      <c r="P36" s="56"/>
      <c r="Q36" s="57"/>
      <c r="R36" s="56"/>
      <c r="S36" s="57"/>
      <c r="T36" s="56"/>
      <c r="U36" s="57"/>
      <c r="V36" s="58"/>
      <c r="W36" s="59"/>
      <c r="X36" s="56"/>
      <c r="Y36" s="57"/>
      <c r="Z36" s="56"/>
      <c r="AA36" s="57"/>
      <c r="AB36" s="56"/>
      <c r="AC36" s="57"/>
      <c r="AD36" s="56"/>
      <c r="AE36" s="57"/>
      <c r="AF36" s="58"/>
      <c r="AG36" s="59"/>
      <c r="AH36" s="56"/>
      <c r="AI36" s="57"/>
      <c r="AJ36" s="56"/>
      <c r="AK36" s="57"/>
      <c r="AL36" s="56"/>
      <c r="AM36" s="57"/>
      <c r="AN36" s="56"/>
      <c r="AO36" s="57"/>
      <c r="AP36" s="58"/>
      <c r="AQ36" s="59"/>
      <c r="AR36" s="56"/>
      <c r="AS36" s="57"/>
      <c r="AT36" s="56"/>
      <c r="AU36" s="57"/>
      <c r="AV36" s="56"/>
      <c r="AW36" s="57"/>
      <c r="AX36" s="56"/>
      <c r="AY36" s="57"/>
      <c r="AZ36" s="58"/>
      <c r="BA36" s="59"/>
      <c r="BB36" s="56"/>
      <c r="BC36" s="57"/>
      <c r="BD36" s="56"/>
      <c r="BE36" s="57"/>
      <c r="BF36" s="56"/>
      <c r="BG36" s="57"/>
      <c r="BH36" s="56"/>
      <c r="BI36" s="57"/>
      <c r="BQ36" s="11"/>
      <c r="BR36" s="11"/>
      <c r="BS36" s="11"/>
      <c r="BT36" s="11"/>
      <c r="BU36" s="11"/>
      <c r="BV36" s="11"/>
      <c r="BW36" s="11"/>
      <c r="BX36" s="11"/>
      <c r="BY36" s="11"/>
      <c r="BZ36" s="11"/>
      <c r="CA36" s="11"/>
      <c r="CB36" s="11"/>
    </row>
    <row r="37" ht="13.5" customHeight="1">
      <c r="B37" s="73"/>
      <c r="C37" s="74"/>
      <c r="D37" s="75"/>
      <c r="E37" s="76"/>
      <c r="F37" s="75"/>
      <c r="G37" s="76"/>
      <c r="H37" s="75"/>
      <c r="I37" s="76"/>
      <c r="J37" s="75"/>
      <c r="K37" s="76"/>
      <c r="L37" s="77"/>
      <c r="M37" s="59"/>
      <c r="N37" s="75"/>
      <c r="O37" s="76"/>
      <c r="P37" s="75"/>
      <c r="Q37" s="76"/>
      <c r="R37" s="75"/>
      <c r="S37" s="76"/>
      <c r="T37" s="75"/>
      <c r="U37" s="76"/>
      <c r="V37" s="77"/>
      <c r="W37" s="59"/>
      <c r="X37" s="75"/>
      <c r="Y37" s="76"/>
      <c r="Z37" s="75"/>
      <c r="AA37" s="76"/>
      <c r="AB37" s="75"/>
      <c r="AC37" s="76"/>
      <c r="AD37" s="75"/>
      <c r="AE37" s="76"/>
      <c r="AF37" s="77"/>
      <c r="AG37" s="59"/>
      <c r="AH37" s="75"/>
      <c r="AI37" s="76"/>
      <c r="AJ37" s="75"/>
      <c r="AK37" s="76"/>
      <c r="AL37" s="75"/>
      <c r="AM37" s="76"/>
      <c r="AN37" s="75"/>
      <c r="AO37" s="76"/>
      <c r="AP37" s="77"/>
      <c r="AQ37" s="59"/>
      <c r="AR37" s="75"/>
      <c r="AS37" s="76"/>
      <c r="AT37" s="75"/>
      <c r="AU37" s="76"/>
      <c r="AV37" s="75"/>
      <c r="AW37" s="76"/>
      <c r="AX37" s="75"/>
      <c r="AY37" s="76"/>
      <c r="AZ37" s="77"/>
      <c r="BA37" s="59"/>
      <c r="BB37" s="75"/>
      <c r="BC37" s="76"/>
      <c r="BD37" s="75"/>
      <c r="BE37" s="76"/>
      <c r="BF37" s="75"/>
      <c r="BG37" s="76"/>
      <c r="BH37" s="75"/>
      <c r="BI37" s="76"/>
      <c r="BQ37" s="11"/>
      <c r="BR37" s="11"/>
      <c r="BS37" s="11"/>
      <c r="BT37" s="11"/>
      <c r="BU37" s="11"/>
      <c r="BV37" s="11"/>
      <c r="BW37" s="11"/>
      <c r="BX37" s="11"/>
      <c r="BY37" s="11"/>
      <c r="BZ37" s="11"/>
      <c r="CA37" s="11"/>
      <c r="CB37" s="11"/>
    </row>
    <row r="38" ht="13.5" customHeight="1">
      <c r="B38" s="54">
        <v>1.0</v>
      </c>
      <c r="C38" s="55"/>
      <c r="D38" s="56"/>
      <c r="E38" s="57"/>
      <c r="F38" s="56"/>
      <c r="G38" s="57"/>
      <c r="H38" s="56"/>
      <c r="I38" s="57"/>
      <c r="J38" s="56"/>
      <c r="K38" s="57"/>
      <c r="L38" s="58"/>
      <c r="M38" s="59"/>
      <c r="N38" s="56"/>
      <c r="O38" s="57"/>
      <c r="P38" s="56"/>
      <c r="Q38" s="57"/>
      <c r="R38" s="56"/>
      <c r="S38" s="57"/>
      <c r="T38" s="56"/>
      <c r="U38" s="57"/>
      <c r="V38" s="58"/>
      <c r="W38" s="59"/>
      <c r="X38" s="56"/>
      <c r="Y38" s="57"/>
      <c r="Z38" s="56"/>
      <c r="AA38" s="57"/>
      <c r="AB38" s="56"/>
      <c r="AC38" s="57"/>
      <c r="AD38" s="56"/>
      <c r="AE38" s="57"/>
      <c r="AF38" s="58"/>
      <c r="AG38" s="59"/>
      <c r="AH38" s="56"/>
      <c r="AI38" s="57"/>
      <c r="AJ38" s="56"/>
      <c r="AK38" s="57"/>
      <c r="AL38" s="56"/>
      <c r="AM38" s="57"/>
      <c r="AN38" s="56"/>
      <c r="AO38" s="57"/>
      <c r="AP38" s="58"/>
      <c r="AQ38" s="59"/>
      <c r="AR38" s="56"/>
      <c r="AS38" s="57"/>
      <c r="AT38" s="56"/>
      <c r="AU38" s="57"/>
      <c r="AV38" s="56"/>
      <c r="AW38" s="57"/>
      <c r="AX38" s="56"/>
      <c r="AY38" s="57"/>
      <c r="AZ38" s="58"/>
      <c r="BA38" s="59"/>
      <c r="BB38" s="56"/>
      <c r="BC38" s="57"/>
      <c r="BD38" s="56"/>
      <c r="BE38" s="57"/>
      <c r="BF38" s="56"/>
      <c r="BG38" s="57"/>
      <c r="BH38" s="56"/>
      <c r="BI38" s="57"/>
      <c r="BQ38" s="11"/>
      <c r="BR38" s="11"/>
      <c r="BS38" s="11"/>
      <c r="BT38" s="11"/>
      <c r="BU38" s="11"/>
      <c r="BV38" s="11"/>
      <c r="BW38" s="11"/>
      <c r="BX38" s="11"/>
      <c r="BY38" s="11"/>
      <c r="BZ38" s="11"/>
      <c r="CA38" s="11"/>
      <c r="CB38" s="11"/>
    </row>
    <row r="39" ht="13.5" customHeight="1">
      <c r="B39" s="73"/>
      <c r="C39" s="87"/>
      <c r="D39" s="88"/>
      <c r="E39" s="89"/>
      <c r="F39" s="88"/>
      <c r="G39" s="89"/>
      <c r="H39" s="88"/>
      <c r="I39" s="89"/>
      <c r="J39" s="88"/>
      <c r="K39" s="89"/>
      <c r="L39" s="88"/>
      <c r="M39" s="89"/>
      <c r="N39" s="88"/>
      <c r="O39" s="89"/>
      <c r="P39" s="88"/>
      <c r="Q39" s="89"/>
      <c r="R39" s="88"/>
      <c r="S39" s="89"/>
      <c r="T39" s="88"/>
      <c r="U39" s="89"/>
      <c r="V39" s="88"/>
      <c r="W39" s="89"/>
      <c r="X39" s="88"/>
      <c r="Y39" s="89"/>
      <c r="Z39" s="88"/>
      <c r="AA39" s="89"/>
      <c r="AB39" s="88"/>
      <c r="AC39" s="89"/>
      <c r="AD39" s="88"/>
      <c r="AE39" s="89"/>
      <c r="AF39" s="88"/>
      <c r="AG39" s="89"/>
      <c r="AH39" s="88"/>
      <c r="AI39" s="89"/>
      <c r="AJ39" s="88"/>
      <c r="AK39" s="89"/>
      <c r="AL39" s="88"/>
      <c r="AM39" s="89"/>
      <c r="AN39" s="88"/>
      <c r="AO39" s="89"/>
      <c r="AP39" s="88"/>
      <c r="AQ39" s="89"/>
      <c r="AR39" s="88"/>
      <c r="AS39" s="89"/>
      <c r="AT39" s="88"/>
      <c r="AU39" s="89"/>
      <c r="AV39" s="88"/>
      <c r="AW39" s="89"/>
      <c r="AX39" s="88"/>
      <c r="AY39" s="89"/>
      <c r="AZ39" s="88"/>
      <c r="BA39" s="89"/>
      <c r="BB39" s="88"/>
      <c r="BC39" s="89"/>
      <c r="BD39" s="88"/>
      <c r="BE39" s="89"/>
      <c r="BF39" s="88"/>
      <c r="BG39" s="89"/>
      <c r="BH39" s="88"/>
      <c r="BI39" s="89"/>
      <c r="BQ39" s="11"/>
      <c r="BR39" s="11"/>
      <c r="BS39" s="11"/>
      <c r="BT39" s="11"/>
      <c r="BU39" s="11"/>
      <c r="BV39" s="11"/>
      <c r="BW39" s="11"/>
      <c r="BX39" s="11"/>
      <c r="BY39" s="11"/>
      <c r="BZ39" s="11"/>
      <c r="CA39" s="11"/>
      <c r="CB39" s="11"/>
    </row>
    <row r="40" ht="15.75" customHeight="1">
      <c r="D40" s="90">
        <v>1.0</v>
      </c>
      <c r="E40" s="91"/>
      <c r="F40" s="90">
        <v>2.0</v>
      </c>
      <c r="G40" s="91"/>
      <c r="H40" s="90">
        <v>3.0</v>
      </c>
      <c r="I40" s="91"/>
      <c r="J40" s="90">
        <v>4.0</v>
      </c>
      <c r="K40" s="91"/>
      <c r="N40" s="90">
        <v>1.0</v>
      </c>
      <c r="O40" s="91"/>
      <c r="P40" s="90">
        <v>2.0</v>
      </c>
      <c r="Q40" s="91"/>
      <c r="R40" s="90">
        <v>3.0</v>
      </c>
      <c r="S40" s="91"/>
      <c r="T40" s="90">
        <v>4.0</v>
      </c>
      <c r="U40" s="91"/>
      <c r="X40" s="90">
        <v>1.0</v>
      </c>
      <c r="Y40" s="91"/>
      <c r="Z40" s="90">
        <v>2.0</v>
      </c>
      <c r="AA40" s="91"/>
      <c r="AB40" s="90">
        <v>3.0</v>
      </c>
      <c r="AC40" s="91"/>
      <c r="AD40" s="90">
        <v>4.0</v>
      </c>
      <c r="AE40" s="91"/>
      <c r="AH40" s="90">
        <v>1.0</v>
      </c>
      <c r="AI40" s="91"/>
      <c r="AJ40" s="90">
        <v>2.0</v>
      </c>
      <c r="AK40" s="91"/>
      <c r="AL40" s="90">
        <v>3.0</v>
      </c>
      <c r="AM40" s="91"/>
      <c r="AN40" s="90">
        <v>4.0</v>
      </c>
      <c r="AO40" s="91"/>
      <c r="AR40" s="90">
        <v>1.0</v>
      </c>
      <c r="AS40" s="91"/>
      <c r="AT40" s="90">
        <v>2.0</v>
      </c>
      <c r="AU40" s="91"/>
      <c r="AV40" s="90">
        <v>3.0</v>
      </c>
      <c r="AW40" s="91"/>
      <c r="AX40" s="90">
        <v>4.0</v>
      </c>
      <c r="AY40" s="91"/>
      <c r="BB40" s="90">
        <v>1.0</v>
      </c>
      <c r="BC40" s="91"/>
      <c r="BD40" s="90">
        <v>2.0</v>
      </c>
      <c r="BE40" s="91"/>
      <c r="BF40" s="90">
        <v>3.0</v>
      </c>
      <c r="BG40" s="91"/>
      <c r="BH40" s="90">
        <v>4.0</v>
      </c>
      <c r="BI40" s="91"/>
      <c r="BQ40" s="11"/>
      <c r="BR40" s="11"/>
      <c r="BS40" s="11"/>
      <c r="BT40" s="11"/>
      <c r="BU40" s="11"/>
      <c r="BV40" s="11"/>
      <c r="BW40" s="11"/>
      <c r="BX40" s="11"/>
      <c r="BY40" s="11"/>
      <c r="BZ40" s="11"/>
      <c r="CA40" s="11"/>
      <c r="CB40" s="11"/>
    </row>
    <row r="41" ht="15.75" customHeight="1">
      <c r="BQ41" s="11"/>
      <c r="BR41" s="11"/>
      <c r="BS41" s="11"/>
      <c r="BT41" s="11"/>
      <c r="BU41" s="11"/>
      <c r="BV41" s="11"/>
      <c r="BW41" s="11"/>
      <c r="BX41" s="11"/>
      <c r="BY41" s="11"/>
      <c r="BZ41" s="11"/>
      <c r="CA41" s="11"/>
      <c r="CB41" s="11"/>
    </row>
    <row r="42" ht="15.75" customHeight="1">
      <c r="BQ42" s="11"/>
      <c r="BR42" s="11"/>
      <c r="BS42" s="11"/>
      <c r="BT42" s="11"/>
      <c r="BU42" s="11"/>
      <c r="BV42" s="11"/>
      <c r="BW42" s="11"/>
      <c r="BX42" s="11"/>
      <c r="BY42" s="11"/>
      <c r="BZ42" s="11"/>
      <c r="CA42" s="11"/>
      <c r="CB42" s="11"/>
    </row>
    <row r="43" ht="15.75" customHeight="1">
      <c r="BQ43" s="11"/>
      <c r="BR43" s="11"/>
      <c r="BS43" s="11"/>
      <c r="BT43" s="11"/>
      <c r="BU43" s="11"/>
      <c r="BV43" s="11"/>
      <c r="BW43" s="11"/>
      <c r="BX43" s="11"/>
      <c r="BY43" s="11"/>
      <c r="BZ43" s="11"/>
      <c r="CA43" s="11"/>
      <c r="CB43" s="11"/>
    </row>
    <row r="44" ht="15.75" customHeight="1">
      <c r="BQ44" s="11"/>
      <c r="BR44" s="11"/>
      <c r="BS44" s="11"/>
      <c r="BT44" s="11"/>
      <c r="BU44" s="11"/>
      <c r="BV44" s="11"/>
      <c r="BW44" s="11"/>
      <c r="BX44" s="11"/>
      <c r="BY44" s="11"/>
      <c r="BZ44" s="11"/>
      <c r="CA44" s="11"/>
      <c r="CB44" s="11"/>
    </row>
    <row r="45" ht="15.75" customHeight="1">
      <c r="D45" s="14">
        <f>SUM(D46:E55)</f>
        <v>0</v>
      </c>
      <c r="E45" s="14"/>
      <c r="F45" s="14">
        <f>SUM(F46:G55)/2</f>
        <v>0</v>
      </c>
      <c r="G45" s="14"/>
      <c r="H45" s="14">
        <f>SUM(H46:I55)/3</f>
        <v>0</v>
      </c>
      <c r="I45" s="14"/>
      <c r="J45" s="14">
        <f>SUM(J46:K55)/4</f>
        <v>0</v>
      </c>
      <c r="K45" s="14"/>
      <c r="L45" s="14">
        <f>IF(J45&gt;0,J45,IF(H45&gt;0,H45,IF(F45&gt;0,F45,IF(D45&gt;0,D45,0))))</f>
        <v>0</v>
      </c>
      <c r="M45" s="14"/>
      <c r="N45" s="14">
        <f>SUM(N46:O55)</f>
        <v>0</v>
      </c>
      <c r="O45" s="14"/>
      <c r="P45" s="14">
        <f>SUM(P46:Q55)/2</f>
        <v>0</v>
      </c>
      <c r="Q45" s="14"/>
      <c r="R45" s="14">
        <f>SUM(R46:S55)/3</f>
        <v>0</v>
      </c>
      <c r="S45" s="14"/>
      <c r="T45" s="14">
        <f>SUM(T46:U55)/4</f>
        <v>0</v>
      </c>
      <c r="U45" s="14"/>
      <c r="V45" s="14">
        <f>IF(T45&gt;0,T45,IF(R45&gt;0,R45,IF(P45&gt;0,P45,IF(N45&gt;0,N45,0))))</f>
        <v>0</v>
      </c>
      <c r="W45" s="14"/>
      <c r="X45" s="14">
        <f>SUM(X46:Y55)</f>
        <v>0</v>
      </c>
      <c r="Y45" s="14"/>
      <c r="Z45" s="14">
        <f>SUM(Z46:AA55)/2</f>
        <v>0</v>
      </c>
      <c r="AA45" s="14"/>
      <c r="AB45" s="14">
        <f>SUM(AB46:AC55)/3</f>
        <v>0</v>
      </c>
      <c r="AC45" s="14"/>
      <c r="AD45" s="14">
        <f>SUM(AD46:AE55)/4</f>
        <v>0</v>
      </c>
      <c r="AE45" s="14"/>
      <c r="AF45" s="14">
        <f>IF(AD45&gt;0,AD45,IF(AB45&gt;0,AB45,IF(Z45&gt;0,Z45,IF(X45&gt;0,X45,0))))</f>
        <v>0</v>
      </c>
      <c r="AG45" s="14"/>
      <c r="AH45" s="14">
        <f>SUM(AH46:AI55)</f>
        <v>0</v>
      </c>
      <c r="AI45" s="14"/>
      <c r="AJ45" s="14">
        <f>SUM(AJ46:AK55)/2</f>
        <v>0</v>
      </c>
      <c r="AK45" s="14"/>
      <c r="AL45" s="14">
        <f>SUM(AL46:AM55)/3</f>
        <v>0</v>
      </c>
      <c r="AM45" s="14"/>
      <c r="AN45" s="14">
        <f>SUM(AN46:AO55)/4</f>
        <v>0</v>
      </c>
      <c r="AO45" s="14"/>
      <c r="AP45" s="14">
        <f>IF(AN45&gt;0,AN45,IF(AL45&gt;0,AL45,IF(AJ45&gt;0,AJ45,IF(AH45&gt;0,AH45,0))))</f>
        <v>0</v>
      </c>
      <c r="AQ45" s="14"/>
      <c r="AR45" s="14">
        <f>SUM(AR46:AS55)</f>
        <v>0</v>
      </c>
      <c r="AS45" s="14"/>
      <c r="AT45" s="14">
        <f>SUM(AT46:AU55)/2</f>
        <v>0</v>
      </c>
      <c r="AU45" s="14"/>
      <c r="AV45" s="14">
        <f>SUM(AV46:AW55)/3</f>
        <v>0</v>
      </c>
      <c r="AW45" s="14"/>
      <c r="AX45" s="14">
        <f>SUM(AX46:AY55)/4</f>
        <v>0</v>
      </c>
      <c r="AY45" s="14"/>
      <c r="AZ45" s="14">
        <f>IF(AX45&gt;0,AX45,IF(AV45&gt;0,AV45,IF(AT45&gt;0,AT45,IF(AR45&gt;0,AR45,0))))</f>
        <v>0</v>
      </c>
      <c r="BA45" s="14"/>
      <c r="BB45" s="14">
        <f>SUM(BB46:BC55)</f>
        <v>0</v>
      </c>
      <c r="BC45" s="14"/>
      <c r="BD45" s="14">
        <f>SUM(BD46:BE55)/2</f>
        <v>0</v>
      </c>
      <c r="BE45" s="14"/>
      <c r="BF45" s="14">
        <f>SUM(BF46:BG55)/3</f>
        <v>0</v>
      </c>
      <c r="BG45" s="14"/>
      <c r="BH45" s="14">
        <f>SUM(BH46:BI55)/4</f>
        <v>0</v>
      </c>
      <c r="BI45" s="14"/>
      <c r="BJ45" s="14">
        <f>IF(BH45&gt;0,BH45,IF(BF45&gt;0,BF45,IF(BD45&gt;0,BD45,IF(BB45&gt;0,BB45,0))))</f>
        <v>0</v>
      </c>
      <c r="BQ45" s="11"/>
      <c r="BR45" s="11"/>
      <c r="BS45" s="11"/>
      <c r="BT45" s="11"/>
      <c r="BU45" s="11"/>
      <c r="BV45" s="11"/>
      <c r="BW45" s="11"/>
      <c r="BX45" s="11"/>
      <c r="BY45" s="11"/>
      <c r="BZ45" s="11"/>
      <c r="CA45" s="11"/>
      <c r="CB45" s="11"/>
    </row>
    <row r="46" ht="13.5" customHeight="1">
      <c r="B46" s="54">
        <v>5.0</v>
      </c>
      <c r="C46" s="55"/>
      <c r="D46" s="56"/>
      <c r="E46" s="57"/>
      <c r="F46" s="56"/>
      <c r="G46" s="57"/>
      <c r="H46" s="56"/>
      <c r="I46" s="57"/>
      <c r="J46" s="56"/>
      <c r="K46" s="57"/>
      <c r="L46" s="58"/>
      <c r="M46" s="59"/>
      <c r="N46" s="56"/>
      <c r="O46" s="57"/>
      <c r="P46" s="56"/>
      <c r="Q46" s="57"/>
      <c r="R46" s="56"/>
      <c r="S46" s="57"/>
      <c r="T46" s="56"/>
      <c r="U46" s="57"/>
      <c r="V46" s="58"/>
      <c r="W46" s="59"/>
      <c r="X46" s="56" t="str">
        <f>IF(AND('Milestones Grid'!$BQ$24&gt;0,SUM('Milestones Grid'!$X$15,'Milestones Grid'!$X$32,'Milestones Grid'!$X$49)&gt;=14),1,"")</f>
        <v/>
      </c>
      <c r="Y46" s="57"/>
      <c r="Z46" s="56" t="str">
        <f>IF(AND('Milestones Grid'!$BR$24&gt;0,SUM('Milestones Grid'!$X$15:$Y$15,'Milestones Grid'!$X$32:$Y$32,'Milestones Grid'!$X$49:$Y$49)&gt;=14),2,"")</f>
        <v/>
      </c>
      <c r="AA46" s="57"/>
      <c r="AB46" s="56" t="str">
        <f>IF(AND('Milestones Grid'!$BS$24&gt;0,SUM('Milestones Grid'!$X$15:$Z$15,'Milestones Grid'!$X$32:$Z$32,'Milestones Grid'!$X$49:$Z$49)&gt;=14),3,"")</f>
        <v/>
      </c>
      <c r="AC46" s="57"/>
      <c r="AD46" s="56" t="str">
        <f>IF(AND('Milestones Grid'!$BT$24&gt;0,SUM('Milestones Grid'!$X$15:$AA$15,'Milestones Grid'!$X$32:$AA$32,'Milestones Grid'!$X$49:$AA$49)&gt;=14),4,"")</f>
        <v/>
      </c>
      <c r="AE46" s="57"/>
      <c r="AF46" s="58"/>
      <c r="AG46" s="59"/>
      <c r="AH46" s="56"/>
      <c r="AI46" s="57"/>
      <c r="AJ46" s="56"/>
      <c r="AK46" s="57"/>
      <c r="AL46" s="56"/>
      <c r="AM46" s="57"/>
      <c r="AN46" s="56"/>
      <c r="AO46" s="57"/>
      <c r="AP46" s="58"/>
      <c r="AQ46" s="59"/>
      <c r="AR46" s="56"/>
      <c r="AS46" s="57"/>
      <c r="AT46" s="56"/>
      <c r="AU46" s="57"/>
      <c r="AV46" s="56"/>
      <c r="AW46" s="57"/>
      <c r="AX46" s="56"/>
      <c r="AY46" s="57"/>
      <c r="AZ46" s="58"/>
      <c r="BA46" s="59"/>
      <c r="BB46" s="56"/>
      <c r="BC46" s="57"/>
      <c r="BD46" s="56"/>
      <c r="BE46" s="57"/>
      <c r="BF46" s="56"/>
      <c r="BG46" s="57"/>
      <c r="BH46" s="56"/>
      <c r="BI46" s="57"/>
      <c r="BQ46" s="11"/>
      <c r="BR46" s="11"/>
      <c r="BS46" s="11"/>
      <c r="BT46" s="11"/>
      <c r="BU46" s="11"/>
      <c r="BV46" s="11"/>
      <c r="BW46" s="11"/>
      <c r="BX46" s="11"/>
      <c r="BY46" s="11"/>
      <c r="BZ46" s="11"/>
      <c r="CA46" s="11"/>
      <c r="CB46" s="11"/>
    </row>
    <row r="47" ht="13.5" customHeight="1">
      <c r="B47" s="73"/>
      <c r="C47" s="74"/>
      <c r="D47" s="75"/>
      <c r="E47" s="76"/>
      <c r="F47" s="75"/>
      <c r="G47" s="76"/>
      <c r="H47" s="75"/>
      <c r="I47" s="76"/>
      <c r="J47" s="75"/>
      <c r="K47" s="76"/>
      <c r="L47" s="77"/>
      <c r="M47" s="59"/>
      <c r="N47" s="75"/>
      <c r="O47" s="76"/>
      <c r="P47" s="75"/>
      <c r="Q47" s="76"/>
      <c r="R47" s="75"/>
      <c r="S47" s="76"/>
      <c r="T47" s="75"/>
      <c r="U47" s="76"/>
      <c r="V47" s="77"/>
      <c r="W47" s="59"/>
      <c r="X47" s="75"/>
      <c r="Y47" s="76"/>
      <c r="Z47" s="75"/>
      <c r="AA47" s="76"/>
      <c r="AB47" s="75"/>
      <c r="AC47" s="76"/>
      <c r="AD47" s="75"/>
      <c r="AE47" s="76"/>
      <c r="AF47" s="77"/>
      <c r="AG47" s="59"/>
      <c r="AH47" s="75"/>
      <c r="AI47" s="76"/>
      <c r="AJ47" s="75"/>
      <c r="AK47" s="76"/>
      <c r="AL47" s="75"/>
      <c r="AM47" s="76"/>
      <c r="AN47" s="75"/>
      <c r="AO47" s="76"/>
      <c r="AP47" s="77"/>
      <c r="AQ47" s="59"/>
      <c r="AR47" s="75"/>
      <c r="AS47" s="76"/>
      <c r="AT47" s="75"/>
      <c r="AU47" s="76"/>
      <c r="AV47" s="75"/>
      <c r="AW47" s="76"/>
      <c r="AX47" s="75"/>
      <c r="AY47" s="76"/>
      <c r="AZ47" s="77"/>
      <c r="BA47" s="59"/>
      <c r="BB47" s="75"/>
      <c r="BC47" s="76"/>
      <c r="BD47" s="75"/>
      <c r="BE47" s="76"/>
      <c r="BF47" s="75"/>
      <c r="BG47" s="76"/>
      <c r="BH47" s="75"/>
      <c r="BI47" s="76"/>
      <c r="BQ47" s="11"/>
      <c r="BR47" s="11"/>
      <c r="BS47" s="11"/>
      <c r="BT47" s="11"/>
      <c r="BU47" s="11"/>
      <c r="BV47" s="11"/>
      <c r="BW47" s="11"/>
      <c r="BX47" s="11"/>
      <c r="BY47" s="11"/>
      <c r="BZ47" s="11"/>
      <c r="CA47" s="11"/>
      <c r="CB47" s="11"/>
    </row>
    <row r="48" ht="13.5" customHeight="1">
      <c r="B48" s="54">
        <v>4.0</v>
      </c>
      <c r="C48" s="55"/>
      <c r="D48" s="56"/>
      <c r="E48" s="57"/>
      <c r="F48" s="56"/>
      <c r="G48" s="57"/>
      <c r="H48" s="56"/>
      <c r="I48" s="57"/>
      <c r="J48" s="56"/>
      <c r="K48" s="57"/>
      <c r="L48" s="58"/>
      <c r="M48" s="59"/>
      <c r="N48" s="56"/>
      <c r="O48" s="57"/>
      <c r="P48" s="56"/>
      <c r="Q48" s="57"/>
      <c r="R48" s="56"/>
      <c r="S48" s="57"/>
      <c r="T48" s="56"/>
      <c r="U48" s="57"/>
      <c r="V48" s="58"/>
      <c r="W48" s="59"/>
      <c r="X48" s="56" t="str">
        <f>IF(AND('Milestones Grid'!$BQ$24&gt;0,SUM('Milestones Grid'!$X$15,'Milestones Grid'!$X$32,'Milestones Grid'!$X$49)&gt;=11),1,"")</f>
        <v/>
      </c>
      <c r="Y48" s="57"/>
      <c r="Z48" s="56" t="str">
        <f>IF(AND('Milestones Grid'!$BR$24&gt;0,SUM('Milestones Grid'!$X$15:$Y$15,'Milestones Grid'!$X$32:$Y$32,'Milestones Grid'!$X$49:$Y$49)&gt;=11),2,"")</f>
        <v/>
      </c>
      <c r="AA48" s="57"/>
      <c r="AB48" s="56" t="str">
        <f>IF(AND('Milestones Grid'!$BS$24&gt;0,SUM('Milestones Grid'!$X$15:$Z$15,'Milestones Grid'!$X$32:$Z$32,'Milestones Grid'!$X$49:$Z$49)&gt;=11),3,"")</f>
        <v/>
      </c>
      <c r="AC48" s="57"/>
      <c r="AD48" s="56" t="str">
        <f>IF(AND('Milestones Grid'!$BT$24&gt;0,SUM('Milestones Grid'!$X$15:$AA$15,'Milestones Grid'!$X$32:$AA$32,'Milestones Grid'!$X$49:$AA$49)&gt;=11),4,"")</f>
        <v/>
      </c>
      <c r="AE48" s="57"/>
      <c r="AF48" s="58"/>
      <c r="AG48" s="59"/>
      <c r="AH48" s="56"/>
      <c r="AI48" s="57"/>
      <c r="AJ48" s="56"/>
      <c r="AK48" s="57"/>
      <c r="AL48" s="56"/>
      <c r="AM48" s="57"/>
      <c r="AN48" s="56"/>
      <c r="AO48" s="57"/>
      <c r="AP48" s="58"/>
      <c r="AQ48" s="59"/>
      <c r="AR48" s="56"/>
      <c r="AS48" s="57"/>
      <c r="AT48" s="56"/>
      <c r="AU48" s="57"/>
      <c r="AV48" s="56"/>
      <c r="AW48" s="57"/>
      <c r="AX48" s="56"/>
      <c r="AY48" s="57"/>
      <c r="AZ48" s="58"/>
      <c r="BA48" s="59"/>
      <c r="BB48" s="56"/>
      <c r="BC48" s="57"/>
      <c r="BD48" s="56"/>
      <c r="BE48" s="57"/>
      <c r="BF48" s="56"/>
      <c r="BG48" s="57"/>
      <c r="BH48" s="56"/>
      <c r="BI48" s="57"/>
      <c r="BQ48" s="11"/>
      <c r="BR48" s="11"/>
      <c r="BS48" s="11"/>
      <c r="BT48" s="11"/>
      <c r="BU48" s="11"/>
      <c r="BV48" s="11"/>
      <c r="BW48" s="11"/>
      <c r="BX48" s="11"/>
      <c r="BY48" s="11"/>
      <c r="BZ48" s="11"/>
      <c r="CA48" s="11"/>
      <c r="CB48" s="11"/>
    </row>
    <row r="49" ht="13.5" customHeight="1">
      <c r="B49" s="73"/>
      <c r="C49" s="74"/>
      <c r="D49" s="75"/>
      <c r="E49" s="76"/>
      <c r="F49" s="75"/>
      <c r="G49" s="76"/>
      <c r="H49" s="75"/>
      <c r="I49" s="76"/>
      <c r="J49" s="75"/>
      <c r="K49" s="76"/>
      <c r="L49" s="77"/>
      <c r="M49" s="59"/>
      <c r="N49" s="75"/>
      <c r="O49" s="76"/>
      <c r="P49" s="75"/>
      <c r="Q49" s="76"/>
      <c r="R49" s="75"/>
      <c r="S49" s="76"/>
      <c r="T49" s="75"/>
      <c r="U49" s="76"/>
      <c r="V49" s="77"/>
      <c r="W49" s="59"/>
      <c r="X49" s="75"/>
      <c r="Y49" s="76"/>
      <c r="Z49" s="75"/>
      <c r="AA49" s="76"/>
      <c r="AB49" s="75"/>
      <c r="AC49" s="76"/>
      <c r="AD49" s="75"/>
      <c r="AE49" s="76"/>
      <c r="AF49" s="77"/>
      <c r="AG49" s="59"/>
      <c r="AH49" s="75"/>
      <c r="AI49" s="76"/>
      <c r="AJ49" s="75"/>
      <c r="AK49" s="76"/>
      <c r="AL49" s="75"/>
      <c r="AM49" s="76"/>
      <c r="AN49" s="75"/>
      <c r="AO49" s="76"/>
      <c r="AP49" s="77"/>
      <c r="AQ49" s="59"/>
      <c r="AR49" s="75"/>
      <c r="AS49" s="76"/>
      <c r="AT49" s="75"/>
      <c r="AU49" s="76"/>
      <c r="AV49" s="75"/>
      <c r="AW49" s="76"/>
      <c r="AX49" s="75"/>
      <c r="AY49" s="76"/>
      <c r="AZ49" s="77"/>
      <c r="BA49" s="59"/>
      <c r="BB49" s="75"/>
      <c r="BC49" s="76"/>
      <c r="BD49" s="75"/>
      <c r="BE49" s="76"/>
      <c r="BF49" s="75"/>
      <c r="BG49" s="76"/>
      <c r="BH49" s="75"/>
      <c r="BI49" s="76"/>
      <c r="BQ49" s="11"/>
      <c r="BR49" s="11"/>
      <c r="BS49" s="11"/>
      <c r="BT49" s="11"/>
      <c r="BU49" s="11"/>
      <c r="BV49" s="11"/>
      <c r="BW49" s="11"/>
      <c r="BX49" s="11"/>
      <c r="BY49" s="11"/>
      <c r="BZ49" s="11"/>
      <c r="CA49" s="11"/>
      <c r="CB49" s="11"/>
    </row>
    <row r="50" ht="13.5" customHeight="1">
      <c r="B50" s="54">
        <v>3.0</v>
      </c>
      <c r="C50" s="55"/>
      <c r="D50" s="56"/>
      <c r="E50" s="57"/>
      <c r="F50" s="56"/>
      <c r="G50" s="57"/>
      <c r="H50" s="56"/>
      <c r="I50" s="57"/>
      <c r="J50" s="56"/>
      <c r="K50" s="57"/>
      <c r="L50" s="58"/>
      <c r="M50" s="59"/>
      <c r="N50" s="56"/>
      <c r="O50" s="57"/>
      <c r="P50" s="56"/>
      <c r="Q50" s="57"/>
      <c r="R50" s="56"/>
      <c r="S50" s="57"/>
      <c r="T50" s="56"/>
      <c r="U50" s="57"/>
      <c r="V50" s="58"/>
      <c r="W50" s="59"/>
      <c r="X50" s="56" t="str">
        <f>IF(AND('Milestones Grid'!$BQ$24&gt;0,SUM('Milestones Grid'!$X$15,'Milestones Grid'!$X$32,'Milestones Grid'!$X$49)&gt;=8),1,"")</f>
        <v/>
      </c>
      <c r="Y50" s="57"/>
      <c r="Z50" s="56" t="str">
        <f>IF(AND('Milestones Grid'!$BR$24&gt;0,SUM('Milestones Grid'!$X$15:$Y$15,'Milestones Grid'!$X$32:$Y$32,'Milestones Grid'!$X$49:$Y$49)&gt;=8),2,"")</f>
        <v/>
      </c>
      <c r="AA50" s="57"/>
      <c r="AB50" s="56" t="str">
        <f>IF(AND('Milestones Grid'!$BS$24&gt;0,SUM('Milestones Grid'!$X$15:$Z$15,'Milestones Grid'!$X$32:$Z$32,'Milestones Grid'!$X$49:$Z$49)&gt;=8),3,"")</f>
        <v/>
      </c>
      <c r="AC50" s="57"/>
      <c r="AD50" s="56" t="str">
        <f>IF(AND('Milestones Grid'!$BT$24&gt;0,SUM('Milestones Grid'!$X$15:$AA$15,'Milestones Grid'!$X$32:$AA$32,'Milestones Grid'!$X$49:$AA$49)&gt;=8),4,"")</f>
        <v/>
      </c>
      <c r="AE50" s="57"/>
      <c r="AF50" s="58"/>
      <c r="AG50" s="59"/>
      <c r="AH50" s="56"/>
      <c r="AI50" s="57"/>
      <c r="AJ50" s="56"/>
      <c r="AK50" s="57"/>
      <c r="AL50" s="56"/>
      <c r="AM50" s="57"/>
      <c r="AN50" s="56"/>
      <c r="AO50" s="57"/>
      <c r="AP50" s="58"/>
      <c r="AQ50" s="59"/>
      <c r="AR50" s="56"/>
      <c r="AS50" s="57"/>
      <c r="AT50" s="56"/>
      <c r="AU50" s="57"/>
      <c r="AV50" s="56"/>
      <c r="AW50" s="57"/>
      <c r="AX50" s="56"/>
      <c r="AY50" s="57"/>
      <c r="AZ50" s="58"/>
      <c r="BA50" s="59"/>
      <c r="BB50" s="56"/>
      <c r="BC50" s="57"/>
      <c r="BD50" s="56"/>
      <c r="BE50" s="57"/>
      <c r="BF50" s="56"/>
      <c r="BG50" s="57"/>
      <c r="BH50" s="56"/>
      <c r="BI50" s="57"/>
      <c r="BQ50" s="11"/>
      <c r="BR50" s="11"/>
      <c r="BS50" s="11"/>
      <c r="BT50" s="11"/>
      <c r="BU50" s="11"/>
      <c r="BV50" s="11"/>
      <c r="BW50" s="11"/>
      <c r="BX50" s="11"/>
      <c r="BY50" s="11"/>
      <c r="BZ50" s="11"/>
      <c r="CA50" s="11"/>
      <c r="CB50" s="11"/>
    </row>
    <row r="51" ht="13.5" customHeight="1">
      <c r="B51" s="73"/>
      <c r="C51" s="74"/>
      <c r="D51" s="75"/>
      <c r="E51" s="76"/>
      <c r="F51" s="75"/>
      <c r="G51" s="76"/>
      <c r="H51" s="75"/>
      <c r="I51" s="76"/>
      <c r="J51" s="75"/>
      <c r="K51" s="76"/>
      <c r="L51" s="77"/>
      <c r="M51" s="59"/>
      <c r="N51" s="75"/>
      <c r="O51" s="76"/>
      <c r="P51" s="75"/>
      <c r="Q51" s="76"/>
      <c r="R51" s="75"/>
      <c r="S51" s="76"/>
      <c r="T51" s="75"/>
      <c r="U51" s="76"/>
      <c r="V51" s="77"/>
      <c r="W51" s="59"/>
      <c r="X51" s="75"/>
      <c r="Y51" s="76"/>
      <c r="Z51" s="75"/>
      <c r="AA51" s="76"/>
      <c r="AB51" s="75"/>
      <c r="AC51" s="76"/>
      <c r="AD51" s="75"/>
      <c r="AE51" s="76"/>
      <c r="AF51" s="77"/>
      <c r="AG51" s="59"/>
      <c r="AH51" s="75"/>
      <c r="AI51" s="76"/>
      <c r="AJ51" s="75"/>
      <c r="AK51" s="76"/>
      <c r="AL51" s="75"/>
      <c r="AM51" s="76"/>
      <c r="AN51" s="75"/>
      <c r="AO51" s="76"/>
      <c r="AP51" s="77"/>
      <c r="AQ51" s="59"/>
      <c r="AR51" s="75"/>
      <c r="AS51" s="76"/>
      <c r="AT51" s="75"/>
      <c r="AU51" s="76"/>
      <c r="AV51" s="75"/>
      <c r="AW51" s="76"/>
      <c r="AX51" s="75"/>
      <c r="AY51" s="76"/>
      <c r="AZ51" s="77"/>
      <c r="BA51" s="59"/>
      <c r="BB51" s="75"/>
      <c r="BC51" s="76"/>
      <c r="BD51" s="75"/>
      <c r="BE51" s="76"/>
      <c r="BF51" s="75"/>
      <c r="BG51" s="76"/>
      <c r="BH51" s="75"/>
      <c r="BI51" s="76"/>
      <c r="BQ51" s="11"/>
      <c r="BR51" s="11"/>
      <c r="BS51" s="11"/>
      <c r="BT51" s="11"/>
      <c r="BU51" s="11"/>
      <c r="BV51" s="11"/>
      <c r="BW51" s="11"/>
      <c r="BX51" s="11"/>
      <c r="BY51" s="11"/>
      <c r="BZ51" s="11"/>
      <c r="CA51" s="11"/>
      <c r="CB51" s="11"/>
    </row>
    <row r="52" ht="13.5" customHeight="1">
      <c r="B52" s="54">
        <v>2.0</v>
      </c>
      <c r="C52" s="55"/>
      <c r="D52" s="56"/>
      <c r="E52" s="57"/>
      <c r="F52" s="56"/>
      <c r="G52" s="57"/>
      <c r="H52" s="56"/>
      <c r="I52" s="57"/>
      <c r="J52" s="56"/>
      <c r="K52" s="57"/>
      <c r="L52" s="58"/>
      <c r="M52" s="59"/>
      <c r="N52" s="56"/>
      <c r="O52" s="57"/>
      <c r="P52" s="56"/>
      <c r="Q52" s="57"/>
      <c r="R52" s="56"/>
      <c r="S52" s="57"/>
      <c r="T52" s="56"/>
      <c r="U52" s="57"/>
      <c r="V52" s="58"/>
      <c r="W52" s="59"/>
      <c r="X52" s="56" t="str">
        <f>IF(AND('Milestones Grid'!$BQ$24&gt;0,SUM('Milestones Grid'!$X$15,'Milestones Grid'!$X$32,'Milestones Grid'!$X$49)&gt;=5),1,"")</f>
        <v/>
      </c>
      <c r="Y52" s="57"/>
      <c r="Z52" s="56" t="str">
        <f>IF(AND('Milestones Grid'!$BR$24&gt;0,SUM('Milestones Grid'!$X$15:$Y$15,'Milestones Grid'!$X$32:$Y$32,'Milestones Grid'!$X$49:$Y$49)&gt;=5),2,"")</f>
        <v/>
      </c>
      <c r="AA52" s="57"/>
      <c r="AB52" s="56" t="str">
        <f>IF(AND('Milestones Grid'!$BS$24&gt;0,SUM('Milestones Grid'!$X$15:$Z$15,'Milestones Grid'!$X$32:$Z$32,'Milestones Grid'!$X$49:$Z$49)&gt;=5),3,"")</f>
        <v/>
      </c>
      <c r="AC52" s="57"/>
      <c r="AD52" s="56" t="str">
        <f>IF(AND('Milestones Grid'!$BT$24&gt;0,SUM('Milestones Grid'!$X$15:$AA$15,'Milestones Grid'!$X$32:$AA$32,'Milestones Grid'!$X$49:$AA$49)&gt;=5),4,"")</f>
        <v/>
      </c>
      <c r="AE52" s="57"/>
      <c r="AF52" s="58"/>
      <c r="AG52" s="59"/>
      <c r="AH52" s="56"/>
      <c r="AI52" s="57"/>
      <c r="AJ52" s="56"/>
      <c r="AK52" s="57"/>
      <c r="AL52" s="56"/>
      <c r="AM52" s="57"/>
      <c r="AN52" s="56"/>
      <c r="AO52" s="57"/>
      <c r="AP52" s="58"/>
      <c r="AQ52" s="59"/>
      <c r="AR52" s="56"/>
      <c r="AS52" s="57"/>
      <c r="AT52" s="56"/>
      <c r="AU52" s="57"/>
      <c r="AV52" s="56"/>
      <c r="AW52" s="57"/>
      <c r="AX52" s="56"/>
      <c r="AY52" s="57"/>
      <c r="AZ52" s="58"/>
      <c r="BA52" s="59"/>
      <c r="BB52" s="56"/>
      <c r="BC52" s="57"/>
      <c r="BD52" s="56"/>
      <c r="BE52" s="57"/>
      <c r="BF52" s="56"/>
      <c r="BG52" s="57"/>
      <c r="BH52" s="56"/>
      <c r="BI52" s="57"/>
      <c r="BQ52" s="11"/>
      <c r="BR52" s="11"/>
      <c r="BS52" s="11"/>
      <c r="BT52" s="11"/>
      <c r="BU52" s="11"/>
      <c r="BV52" s="11"/>
      <c r="BW52" s="11"/>
      <c r="BX52" s="11"/>
      <c r="BY52" s="11"/>
      <c r="BZ52" s="11"/>
      <c r="CA52" s="11"/>
      <c r="CB52" s="11"/>
    </row>
    <row r="53" ht="13.5" customHeight="1">
      <c r="B53" s="73"/>
      <c r="C53" s="74"/>
      <c r="D53" s="75"/>
      <c r="E53" s="76"/>
      <c r="F53" s="75"/>
      <c r="G53" s="76"/>
      <c r="H53" s="75"/>
      <c r="I53" s="76"/>
      <c r="J53" s="75"/>
      <c r="K53" s="76"/>
      <c r="L53" s="77"/>
      <c r="M53" s="59"/>
      <c r="N53" s="75"/>
      <c r="O53" s="76"/>
      <c r="P53" s="75"/>
      <c r="Q53" s="76"/>
      <c r="R53" s="75"/>
      <c r="S53" s="76"/>
      <c r="T53" s="75"/>
      <c r="U53" s="76"/>
      <c r="V53" s="77"/>
      <c r="W53" s="59"/>
      <c r="X53" s="75"/>
      <c r="Y53" s="76"/>
      <c r="Z53" s="75"/>
      <c r="AA53" s="76"/>
      <c r="AB53" s="75"/>
      <c r="AC53" s="76"/>
      <c r="AD53" s="75"/>
      <c r="AE53" s="76"/>
      <c r="AF53" s="77"/>
      <c r="AG53" s="59"/>
      <c r="AH53" s="75"/>
      <c r="AI53" s="76"/>
      <c r="AJ53" s="75"/>
      <c r="AK53" s="76"/>
      <c r="AL53" s="75"/>
      <c r="AM53" s="76"/>
      <c r="AN53" s="75"/>
      <c r="AO53" s="76"/>
      <c r="AP53" s="77"/>
      <c r="AQ53" s="59"/>
      <c r="AR53" s="75"/>
      <c r="AS53" s="76"/>
      <c r="AT53" s="75"/>
      <c r="AU53" s="76"/>
      <c r="AV53" s="75"/>
      <c r="AW53" s="76"/>
      <c r="AX53" s="75"/>
      <c r="AY53" s="76"/>
      <c r="AZ53" s="77"/>
      <c r="BA53" s="59"/>
      <c r="BB53" s="75"/>
      <c r="BC53" s="76"/>
      <c r="BD53" s="75"/>
      <c r="BE53" s="76"/>
      <c r="BF53" s="75"/>
      <c r="BG53" s="76"/>
      <c r="BH53" s="75"/>
      <c r="BI53" s="76"/>
      <c r="BQ53" s="11"/>
      <c r="BR53" s="11"/>
      <c r="BS53" s="11"/>
      <c r="BT53" s="11"/>
      <c r="BU53" s="11"/>
      <c r="BV53" s="11"/>
      <c r="BW53" s="11"/>
      <c r="BX53" s="11"/>
      <c r="BY53" s="11"/>
      <c r="BZ53" s="11"/>
      <c r="CA53" s="11"/>
      <c r="CB53" s="11"/>
    </row>
    <row r="54" ht="13.5" customHeight="1">
      <c r="B54" s="54">
        <v>1.0</v>
      </c>
      <c r="C54" s="55"/>
      <c r="D54" s="56"/>
      <c r="E54" s="57"/>
      <c r="F54" s="56"/>
      <c r="G54" s="57"/>
      <c r="H54" s="56"/>
      <c r="I54" s="57"/>
      <c r="J54" s="56"/>
      <c r="K54" s="57"/>
      <c r="L54" s="58"/>
      <c r="M54" s="59"/>
      <c r="N54" s="56"/>
      <c r="O54" s="57"/>
      <c r="P54" s="56"/>
      <c r="Q54" s="57"/>
      <c r="R54" s="56"/>
      <c r="S54" s="57"/>
      <c r="T54" s="56"/>
      <c r="U54" s="57"/>
      <c r="V54" s="58"/>
      <c r="W54" s="59"/>
      <c r="X54" s="56" t="str">
        <f>IF(AND('Milestones Grid'!$BQ$24&gt;0,SUM('Milestones Grid'!$X$15,'Milestones Grid'!$X$32,'Milestones Grid'!$X$49)&gt;=3),1,"")</f>
        <v/>
      </c>
      <c r="Y54" s="57"/>
      <c r="Z54" s="56" t="str">
        <f>IF(AND('Milestones Grid'!$BR$24&gt;0,SUM('Milestones Grid'!$X$15:$Y$15,'Milestones Grid'!$X$32:$Y$32,'Milestones Grid'!$X$49:$Y$49)&gt;=3),2,"")</f>
        <v/>
      </c>
      <c r="AA54" s="57"/>
      <c r="AB54" s="56" t="str">
        <f>IF(AND('Milestones Grid'!$BS$24&gt;0,SUM('Milestones Grid'!$X$15:$Z$15,'Milestones Grid'!$X$32:$Z$32,'Milestones Grid'!$X$49:$Z$49)&gt;=3),3,"")</f>
        <v/>
      </c>
      <c r="AC54" s="57"/>
      <c r="AD54" s="56" t="str">
        <f>IF(AND('Milestones Grid'!$BT$24&gt;0,SUM('Milestones Grid'!$X$15:$AA$15,'Milestones Grid'!$X$32:$AA$32,'Milestones Grid'!$X$49:$AA$49)&gt;=3),4,"")</f>
        <v/>
      </c>
      <c r="AE54" s="57"/>
      <c r="AF54" s="58"/>
      <c r="AG54" s="59"/>
      <c r="AH54" s="56"/>
      <c r="AI54" s="57"/>
      <c r="AJ54" s="56"/>
      <c r="AK54" s="57"/>
      <c r="AL54" s="56"/>
      <c r="AM54" s="57"/>
      <c r="AN54" s="56"/>
      <c r="AO54" s="57"/>
      <c r="AP54" s="58"/>
      <c r="AQ54" s="59"/>
      <c r="AR54" s="56"/>
      <c r="AS54" s="57"/>
      <c r="AT54" s="56"/>
      <c r="AU54" s="57"/>
      <c r="AV54" s="56"/>
      <c r="AW54" s="57"/>
      <c r="AX54" s="56"/>
      <c r="AY54" s="57"/>
      <c r="AZ54" s="58"/>
      <c r="BA54" s="59"/>
      <c r="BB54" s="56"/>
      <c r="BC54" s="57"/>
      <c r="BD54" s="56"/>
      <c r="BE54" s="57"/>
      <c r="BF54" s="56"/>
      <c r="BG54" s="57"/>
      <c r="BH54" s="56"/>
      <c r="BI54" s="57"/>
      <c r="BQ54" s="11"/>
      <c r="BR54" s="11"/>
      <c r="BS54" s="11"/>
      <c r="BT54" s="11"/>
      <c r="BU54" s="11"/>
      <c r="BV54" s="11"/>
      <c r="BW54" s="11"/>
      <c r="BX54" s="11"/>
      <c r="BY54" s="11"/>
      <c r="BZ54" s="11"/>
      <c r="CA54" s="11"/>
      <c r="CB54" s="11"/>
    </row>
    <row r="55" ht="13.5" customHeight="1">
      <c r="B55" s="73"/>
      <c r="C55" s="87"/>
      <c r="D55" s="88"/>
      <c r="E55" s="89"/>
      <c r="F55" s="88"/>
      <c r="G55" s="89"/>
      <c r="H55" s="88"/>
      <c r="I55" s="89"/>
      <c r="J55" s="88"/>
      <c r="K55" s="89"/>
      <c r="L55" s="88"/>
      <c r="M55" s="89"/>
      <c r="N55" s="88"/>
      <c r="O55" s="89"/>
      <c r="P55" s="88"/>
      <c r="Q55" s="89"/>
      <c r="R55" s="88"/>
      <c r="S55" s="89"/>
      <c r="T55" s="88"/>
      <c r="U55" s="89"/>
      <c r="V55" s="88"/>
      <c r="W55" s="89"/>
      <c r="X55" s="88"/>
      <c r="Y55" s="89"/>
      <c r="Z55" s="88"/>
      <c r="AA55" s="89"/>
      <c r="AB55" s="88"/>
      <c r="AC55" s="89"/>
      <c r="AD55" s="88"/>
      <c r="AE55" s="89"/>
      <c r="AF55" s="88"/>
      <c r="AG55" s="89"/>
      <c r="AH55" s="88"/>
      <c r="AI55" s="89"/>
      <c r="AJ55" s="88"/>
      <c r="AK55" s="89"/>
      <c r="AL55" s="88"/>
      <c r="AM55" s="89"/>
      <c r="AN55" s="88"/>
      <c r="AO55" s="89"/>
      <c r="AP55" s="88"/>
      <c r="AQ55" s="89"/>
      <c r="AR55" s="88"/>
      <c r="AS55" s="89"/>
      <c r="AT55" s="88"/>
      <c r="AU55" s="89"/>
      <c r="AV55" s="88"/>
      <c r="AW55" s="89"/>
      <c r="AX55" s="88"/>
      <c r="AY55" s="89"/>
      <c r="AZ55" s="88"/>
      <c r="BA55" s="89"/>
      <c r="BB55" s="88"/>
      <c r="BC55" s="89"/>
      <c r="BD55" s="88"/>
      <c r="BE55" s="89"/>
      <c r="BF55" s="88"/>
      <c r="BG55" s="89"/>
      <c r="BH55" s="88"/>
      <c r="BI55" s="89"/>
      <c r="BQ55" s="11"/>
      <c r="BR55" s="11"/>
      <c r="BS55" s="11"/>
      <c r="BT55" s="11"/>
      <c r="BU55" s="11"/>
      <c r="BV55" s="11"/>
      <c r="BW55" s="11"/>
      <c r="BX55" s="11"/>
      <c r="BY55" s="11"/>
      <c r="BZ55" s="11"/>
      <c r="CA55" s="11"/>
      <c r="CB55" s="11"/>
    </row>
    <row r="56" ht="15.75" customHeight="1">
      <c r="D56" s="90">
        <v>1.0</v>
      </c>
      <c r="E56" s="91"/>
      <c r="F56" s="90">
        <v>2.0</v>
      </c>
      <c r="G56" s="91"/>
      <c r="H56" s="90">
        <v>3.0</v>
      </c>
      <c r="I56" s="91"/>
      <c r="J56" s="90">
        <v>4.0</v>
      </c>
      <c r="K56" s="91"/>
      <c r="N56" s="90">
        <v>1.0</v>
      </c>
      <c r="O56" s="91"/>
      <c r="P56" s="90">
        <v>2.0</v>
      </c>
      <c r="Q56" s="91"/>
      <c r="R56" s="90">
        <v>3.0</v>
      </c>
      <c r="S56" s="91"/>
      <c r="T56" s="90">
        <v>4.0</v>
      </c>
      <c r="U56" s="91"/>
      <c r="V56" s="6"/>
      <c r="W56" s="6"/>
      <c r="X56" s="90">
        <v>1.0</v>
      </c>
      <c r="Y56" s="91"/>
      <c r="Z56" s="90">
        <v>2.0</v>
      </c>
      <c r="AA56" s="91"/>
      <c r="AB56" s="90">
        <v>3.0</v>
      </c>
      <c r="AC56" s="91"/>
      <c r="AD56" s="90">
        <v>4.0</v>
      </c>
      <c r="AE56" s="91"/>
      <c r="AH56" s="90">
        <v>1.0</v>
      </c>
      <c r="AI56" s="91"/>
      <c r="AJ56" s="90">
        <v>2.0</v>
      </c>
      <c r="AK56" s="91"/>
      <c r="AL56" s="90">
        <v>3.0</v>
      </c>
      <c r="AM56" s="91"/>
      <c r="AN56" s="90">
        <v>4.0</v>
      </c>
      <c r="AO56" s="91"/>
      <c r="AR56" s="90">
        <v>1.0</v>
      </c>
      <c r="AS56" s="91"/>
      <c r="AT56" s="90">
        <v>2.0</v>
      </c>
      <c r="AU56" s="91"/>
      <c r="AV56" s="90">
        <v>3.0</v>
      </c>
      <c r="AW56" s="91"/>
      <c r="AX56" s="90">
        <v>4.0</v>
      </c>
      <c r="AY56" s="91"/>
      <c r="BB56" s="90">
        <v>1.0</v>
      </c>
      <c r="BC56" s="91"/>
      <c r="BD56" s="90">
        <v>2.0</v>
      </c>
      <c r="BE56" s="91"/>
      <c r="BF56" s="90">
        <v>3.0</v>
      </c>
      <c r="BG56" s="91"/>
      <c r="BH56" s="90">
        <v>4.0</v>
      </c>
      <c r="BI56" s="91"/>
      <c r="BQ56" s="11"/>
      <c r="BR56" s="11"/>
      <c r="BS56" s="11"/>
      <c r="BT56" s="11"/>
      <c r="BU56" s="11"/>
      <c r="BV56" s="11"/>
      <c r="BW56" s="11"/>
      <c r="BX56" s="11"/>
      <c r="BY56" s="11"/>
      <c r="BZ56" s="11"/>
      <c r="CA56" s="11"/>
      <c r="CB56" s="11"/>
    </row>
    <row r="57" ht="15.75" customHeight="1">
      <c r="V57" s="6"/>
      <c r="W57" s="6"/>
      <c r="BQ57" s="11"/>
      <c r="BR57" s="11"/>
      <c r="BS57" s="11"/>
      <c r="BT57" s="11"/>
      <c r="BU57" s="11"/>
      <c r="BV57" s="11"/>
      <c r="BW57" s="11"/>
      <c r="BX57" s="11"/>
      <c r="BY57" s="11"/>
      <c r="BZ57" s="11"/>
      <c r="CA57" s="11"/>
      <c r="CB57" s="11"/>
    </row>
    <row r="58" ht="15.75" customHeight="1">
      <c r="BQ58" s="11"/>
      <c r="BR58" s="11"/>
      <c r="BS58" s="11"/>
      <c r="BT58" s="11"/>
      <c r="BU58" s="11"/>
      <c r="BV58" s="11"/>
      <c r="BW58" s="11"/>
      <c r="BX58" s="11"/>
      <c r="BY58" s="11"/>
      <c r="BZ58" s="11"/>
      <c r="CA58" s="11"/>
      <c r="CB58" s="11"/>
    </row>
    <row r="59" ht="15.75" customHeight="1">
      <c r="BQ59" s="11"/>
      <c r="BR59" s="11"/>
      <c r="BS59" s="11"/>
      <c r="BT59" s="11"/>
      <c r="BU59" s="11"/>
      <c r="BV59" s="11"/>
      <c r="BW59" s="11"/>
      <c r="BX59" s="11"/>
      <c r="BY59" s="11"/>
      <c r="BZ59" s="11"/>
      <c r="CA59" s="11"/>
      <c r="CB59" s="11"/>
    </row>
    <row r="60" ht="15.75" customHeight="1">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11"/>
      <c r="BR60" s="11"/>
      <c r="BS60" s="11"/>
      <c r="BT60" s="11"/>
      <c r="BU60" s="11"/>
      <c r="BV60" s="11"/>
      <c r="BW60" s="11"/>
      <c r="BX60" s="11"/>
      <c r="BY60" s="11"/>
      <c r="BZ60" s="11"/>
      <c r="CA60" s="11"/>
      <c r="CB60" s="11"/>
    </row>
    <row r="61" ht="15.75" customHeight="1">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11"/>
      <c r="BR61" s="11"/>
      <c r="BS61" s="11"/>
      <c r="BT61" s="11"/>
      <c r="BU61" s="11"/>
      <c r="BV61" s="11"/>
      <c r="BW61" s="11"/>
      <c r="BX61" s="11"/>
      <c r="BY61" s="11"/>
      <c r="BZ61" s="11"/>
      <c r="CA61" s="11"/>
      <c r="CB61" s="11"/>
    </row>
    <row r="62" ht="15.75" customHeight="1">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row>
    <row r="63" ht="15.75" customHeight="1">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row>
    <row r="64" ht="15.75" customHeight="1">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row>
    <row r="65" ht="15.75" customHeight="1">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row>
    <row r="66" ht="15.75" customHeight="1">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row>
    <row r="67" ht="15.75" customHeight="1">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row>
    <row r="68" ht="15.75" customHeight="1">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row>
    <row r="69" ht="15.75" customHeight="1">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row>
    <row r="70" ht="15.75" customHeight="1">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11"/>
      <c r="BR71" s="11"/>
      <c r="BS71" s="11"/>
      <c r="BT71" s="11"/>
      <c r="BU71" s="11"/>
      <c r="BV71" s="11"/>
      <c r="BW71" s="11"/>
      <c r="BX71" s="11"/>
      <c r="BY71" s="11"/>
      <c r="BZ71" s="11"/>
      <c r="CA71" s="11"/>
      <c r="CB71" s="11"/>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11"/>
      <c r="BR72" s="11"/>
      <c r="BS72" s="11"/>
      <c r="BT72" s="11"/>
      <c r="BU72" s="11"/>
      <c r="BV72" s="11"/>
      <c r="BW72" s="11"/>
      <c r="BX72" s="11"/>
      <c r="BY72" s="11"/>
      <c r="BZ72" s="11"/>
      <c r="CA72" s="11"/>
      <c r="CB72" s="11"/>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11"/>
      <c r="BR73" s="11"/>
      <c r="BS73" s="11"/>
      <c r="BT73" s="11"/>
      <c r="BU73" s="11"/>
      <c r="BV73" s="11"/>
      <c r="BW73" s="11"/>
      <c r="BX73" s="11"/>
      <c r="BY73" s="11"/>
      <c r="BZ73" s="11"/>
      <c r="CA73" s="11"/>
      <c r="CB73" s="11"/>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11"/>
      <c r="BR74" s="11"/>
      <c r="BS74" s="11"/>
      <c r="BT74" s="11"/>
      <c r="BU74" s="11"/>
      <c r="BV74" s="11"/>
      <c r="BW74" s="11"/>
      <c r="BX74" s="11"/>
      <c r="BY74" s="11"/>
      <c r="BZ74" s="11"/>
      <c r="CA74" s="11"/>
      <c r="CB74" s="11"/>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11"/>
      <c r="BR75" s="11"/>
      <c r="BS75" s="11"/>
      <c r="BT75" s="11"/>
      <c r="BU75" s="11"/>
      <c r="BV75" s="11"/>
      <c r="BW75" s="11"/>
      <c r="BX75" s="11"/>
      <c r="BY75" s="11"/>
      <c r="BZ75" s="11"/>
      <c r="CA75" s="11"/>
      <c r="CB75" s="11"/>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11"/>
      <c r="BR76" s="11"/>
      <c r="BS76" s="11"/>
      <c r="BT76" s="11"/>
      <c r="BU76" s="11"/>
      <c r="BV76" s="11"/>
      <c r="BW76" s="11"/>
      <c r="BX76" s="11"/>
      <c r="BY76" s="11"/>
      <c r="BZ76" s="11"/>
      <c r="CA76" s="11"/>
      <c r="CB76" s="11"/>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11"/>
      <c r="BR77" s="11"/>
      <c r="BS77" s="11"/>
      <c r="BT77" s="11"/>
      <c r="BU77" s="11"/>
      <c r="BV77" s="11"/>
      <c r="BW77" s="11"/>
      <c r="BX77" s="11"/>
      <c r="BY77" s="11"/>
      <c r="BZ77" s="11"/>
      <c r="CA77" s="11"/>
      <c r="CB77" s="11"/>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11"/>
      <c r="BR78" s="11"/>
      <c r="BS78" s="11"/>
      <c r="BT78" s="11"/>
      <c r="BU78" s="11"/>
      <c r="BV78" s="11"/>
      <c r="BW78" s="11"/>
      <c r="BX78" s="11"/>
      <c r="BY78" s="11"/>
      <c r="BZ78" s="11"/>
      <c r="CA78" s="11"/>
      <c r="CB78" s="11"/>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11"/>
      <c r="BR79" s="11"/>
      <c r="BS79" s="11"/>
      <c r="BT79" s="11"/>
      <c r="BU79" s="11"/>
      <c r="BV79" s="11"/>
      <c r="BW79" s="11"/>
      <c r="BX79" s="11"/>
      <c r="BY79" s="11"/>
      <c r="BZ79" s="11"/>
      <c r="CA79" s="11"/>
      <c r="CB79" s="11"/>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11"/>
      <c r="BR80" s="11"/>
      <c r="BS80" s="11"/>
      <c r="BT80" s="11"/>
      <c r="BU80" s="11"/>
      <c r="BV80" s="11"/>
      <c r="BW80" s="11"/>
      <c r="BX80" s="11"/>
      <c r="BY80" s="11"/>
      <c r="BZ80" s="11"/>
      <c r="CA80" s="11"/>
      <c r="CB80" s="11"/>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11"/>
      <c r="BR81" s="11"/>
      <c r="BS81" s="11"/>
      <c r="BT81" s="11"/>
      <c r="BU81" s="11"/>
      <c r="BV81" s="11"/>
      <c r="BW81" s="11"/>
      <c r="BX81" s="11"/>
      <c r="BY81" s="11"/>
      <c r="BZ81" s="11"/>
      <c r="CA81" s="11"/>
      <c r="CB81" s="11"/>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11"/>
      <c r="BR82" s="11"/>
      <c r="BS82" s="11"/>
      <c r="BT82" s="11"/>
      <c r="BU82" s="11"/>
      <c r="BV82" s="11"/>
      <c r="BW82" s="11"/>
      <c r="BX82" s="11"/>
      <c r="BY82" s="11"/>
      <c r="BZ82" s="11"/>
      <c r="CA82" s="11"/>
      <c r="CB82" s="11"/>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11"/>
      <c r="BR83" s="11"/>
      <c r="BS83" s="11"/>
      <c r="BT83" s="11"/>
      <c r="BU83" s="11"/>
      <c r="BV83" s="11"/>
      <c r="BW83" s="11"/>
      <c r="BX83" s="11"/>
      <c r="BY83" s="11"/>
      <c r="BZ83" s="11"/>
      <c r="CA83" s="11"/>
      <c r="CB83" s="11"/>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11"/>
      <c r="BR84" s="11"/>
      <c r="BS84" s="11"/>
      <c r="BT84" s="11"/>
      <c r="BU84" s="11"/>
      <c r="BV84" s="11"/>
      <c r="BW84" s="11"/>
      <c r="BX84" s="11"/>
      <c r="BY84" s="11"/>
      <c r="BZ84" s="11"/>
      <c r="CA84" s="11"/>
      <c r="CB84" s="11"/>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11"/>
      <c r="BR85" s="11"/>
      <c r="BS85" s="11"/>
      <c r="BT85" s="11"/>
      <c r="BU85" s="11"/>
      <c r="BV85" s="11"/>
      <c r="BW85" s="11"/>
      <c r="BX85" s="11"/>
      <c r="BY85" s="11"/>
      <c r="BZ85" s="11"/>
      <c r="CA85" s="11"/>
      <c r="CB85" s="11"/>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11"/>
      <c r="BR86" s="11"/>
      <c r="BS86" s="11"/>
      <c r="BT86" s="11"/>
      <c r="BU86" s="11"/>
      <c r="BV86" s="11"/>
      <c r="BW86" s="11"/>
      <c r="BX86" s="11"/>
      <c r="BY86" s="11"/>
      <c r="BZ86" s="11"/>
      <c r="CA86" s="11"/>
      <c r="CB86" s="11"/>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11"/>
      <c r="BR87" s="11"/>
      <c r="BS87" s="11"/>
      <c r="BT87" s="11"/>
      <c r="BU87" s="11"/>
      <c r="BV87" s="11"/>
      <c r="BW87" s="11"/>
      <c r="BX87" s="11"/>
      <c r="BY87" s="11"/>
      <c r="BZ87" s="11"/>
      <c r="CA87" s="11"/>
      <c r="CB87" s="11"/>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11"/>
      <c r="BR88" s="11"/>
      <c r="BS88" s="11"/>
      <c r="BT88" s="11"/>
      <c r="BU88" s="11"/>
      <c r="BV88" s="11"/>
      <c r="BW88" s="11"/>
      <c r="BX88" s="11"/>
      <c r="BY88" s="11"/>
      <c r="BZ88" s="11"/>
      <c r="CA88" s="11"/>
      <c r="CB88" s="11"/>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11"/>
      <c r="BR89" s="11"/>
      <c r="BS89" s="11"/>
      <c r="BT89" s="11"/>
      <c r="BU89" s="11"/>
      <c r="BV89" s="11"/>
      <c r="BW89" s="11"/>
      <c r="BX89" s="11"/>
      <c r="BY89" s="11"/>
      <c r="BZ89" s="11"/>
      <c r="CA89" s="11"/>
      <c r="CB89" s="11"/>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11"/>
      <c r="BR90" s="11"/>
      <c r="BS90" s="11"/>
      <c r="BT90" s="11"/>
      <c r="BU90" s="11"/>
      <c r="BV90" s="11"/>
      <c r="BW90" s="11"/>
      <c r="BX90" s="11"/>
      <c r="BY90" s="11"/>
      <c r="BZ90" s="11"/>
      <c r="CA90" s="11"/>
      <c r="CB90" s="11"/>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11"/>
      <c r="BR91" s="11"/>
      <c r="BS91" s="11"/>
      <c r="BT91" s="11"/>
      <c r="BU91" s="11"/>
      <c r="BV91" s="11"/>
      <c r="BW91" s="11"/>
      <c r="BX91" s="11"/>
      <c r="BY91" s="11"/>
      <c r="BZ91" s="11"/>
      <c r="CA91" s="11"/>
      <c r="CB91" s="11"/>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11"/>
      <c r="BR92" s="11"/>
      <c r="BS92" s="11"/>
      <c r="BT92" s="11"/>
      <c r="BU92" s="11"/>
      <c r="BV92" s="11"/>
      <c r="BW92" s="11"/>
      <c r="BX92" s="11"/>
      <c r="BY92" s="11"/>
      <c r="BZ92" s="11"/>
      <c r="CA92" s="11"/>
      <c r="CB92" s="11"/>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11"/>
      <c r="BR93" s="11"/>
      <c r="BS93" s="11"/>
      <c r="BT93" s="11"/>
      <c r="BU93" s="11"/>
      <c r="BV93" s="11"/>
      <c r="BW93" s="11"/>
      <c r="BX93" s="11"/>
      <c r="BY93" s="11"/>
      <c r="BZ93" s="11"/>
      <c r="CA93" s="11"/>
      <c r="CB93" s="11"/>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11"/>
      <c r="BR94" s="11"/>
      <c r="BS94" s="11"/>
      <c r="BT94" s="11"/>
      <c r="BU94" s="11"/>
      <c r="BV94" s="11"/>
      <c r="BW94" s="11"/>
      <c r="BX94" s="11"/>
      <c r="BY94" s="11"/>
      <c r="BZ94" s="11"/>
      <c r="CA94" s="11"/>
      <c r="CB94" s="11"/>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11"/>
      <c r="BR95" s="11"/>
      <c r="BS95" s="11"/>
      <c r="BT95" s="11"/>
      <c r="BU95" s="11"/>
      <c r="BV95" s="11"/>
      <c r="BW95" s="11"/>
      <c r="BX95" s="11"/>
      <c r="BY95" s="11"/>
      <c r="BZ95" s="11"/>
      <c r="CA95" s="11"/>
      <c r="CB95" s="11"/>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11"/>
      <c r="BR96" s="11"/>
      <c r="BS96" s="11"/>
      <c r="BT96" s="11"/>
      <c r="BU96" s="11"/>
      <c r="BV96" s="11"/>
      <c r="BW96" s="11"/>
      <c r="BX96" s="11"/>
      <c r="BY96" s="11"/>
      <c r="BZ96" s="11"/>
      <c r="CA96" s="11"/>
      <c r="CB96" s="11"/>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11"/>
      <c r="BR97" s="11"/>
      <c r="BS97" s="11"/>
      <c r="BT97" s="11"/>
      <c r="BU97" s="11"/>
      <c r="BV97" s="11"/>
      <c r="BW97" s="11"/>
      <c r="BX97" s="11"/>
      <c r="BY97" s="11"/>
      <c r="BZ97" s="11"/>
      <c r="CA97" s="11"/>
      <c r="CB97" s="11"/>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11"/>
      <c r="BR98" s="11"/>
      <c r="BS98" s="11"/>
      <c r="BT98" s="11"/>
      <c r="BU98" s="11"/>
      <c r="BV98" s="11"/>
      <c r="BW98" s="11"/>
      <c r="BX98" s="11"/>
      <c r="BY98" s="11"/>
      <c r="BZ98" s="11"/>
      <c r="CA98" s="11"/>
      <c r="CB98" s="11"/>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11"/>
      <c r="BR99" s="11"/>
      <c r="BS99" s="11"/>
      <c r="BT99" s="11"/>
      <c r="BU99" s="11"/>
      <c r="BV99" s="11"/>
      <c r="BW99" s="11"/>
      <c r="BX99" s="11"/>
      <c r="BY99" s="11"/>
      <c r="BZ99" s="11"/>
      <c r="CA99" s="11"/>
      <c r="CB99" s="11"/>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11"/>
      <c r="BR100" s="11"/>
      <c r="BS100" s="11"/>
      <c r="BT100" s="11"/>
      <c r="BU100" s="11"/>
      <c r="BV100" s="11"/>
      <c r="BW100" s="11"/>
      <c r="BX100" s="11"/>
      <c r="BY100" s="11"/>
      <c r="BZ100" s="11"/>
      <c r="CA100" s="11"/>
      <c r="CB100" s="11"/>
    </row>
    <row r="101" ht="15.75" customHeight="1">
      <c r="BQ101" s="11"/>
      <c r="BR101" s="11"/>
      <c r="BS101" s="11"/>
      <c r="BT101" s="11"/>
      <c r="BU101" s="11"/>
      <c r="BV101" s="11"/>
      <c r="BW101" s="11"/>
      <c r="BX101" s="11"/>
      <c r="BY101" s="11"/>
      <c r="BZ101" s="11"/>
      <c r="CA101" s="11"/>
      <c r="CB101" s="11"/>
    </row>
    <row r="102" ht="15.75" customHeight="1">
      <c r="BQ102" s="11"/>
      <c r="BR102" s="11"/>
      <c r="BS102" s="11"/>
      <c r="BT102" s="11"/>
      <c r="BU102" s="11"/>
      <c r="BV102" s="11"/>
      <c r="BW102" s="11"/>
      <c r="BX102" s="11"/>
      <c r="BY102" s="11"/>
      <c r="BZ102" s="11"/>
      <c r="CA102" s="11"/>
      <c r="CB102" s="11"/>
    </row>
    <row r="103" ht="15.75" customHeight="1">
      <c r="BQ103" s="11"/>
      <c r="BR103" s="11"/>
      <c r="BS103" s="11"/>
      <c r="BT103" s="11"/>
      <c r="BU103" s="11"/>
      <c r="BV103" s="11"/>
      <c r="BW103" s="11"/>
      <c r="BX103" s="11"/>
      <c r="BY103" s="11"/>
      <c r="BZ103" s="11"/>
      <c r="CA103" s="11"/>
      <c r="CB103" s="11"/>
    </row>
    <row r="104" ht="15.75" customHeight="1">
      <c r="BQ104" s="11"/>
      <c r="BR104" s="11"/>
      <c r="BS104" s="11"/>
      <c r="BT104" s="11"/>
      <c r="BU104" s="11"/>
      <c r="BV104" s="11"/>
      <c r="BW104" s="11"/>
      <c r="BX104" s="11"/>
      <c r="BY104" s="11"/>
      <c r="BZ104" s="11"/>
      <c r="CA104" s="11"/>
      <c r="CB104" s="11"/>
    </row>
    <row r="105" ht="15.75" customHeight="1">
      <c r="BQ105" s="11"/>
      <c r="BR105" s="11"/>
      <c r="BS105" s="11"/>
      <c r="BT105" s="11"/>
      <c r="BU105" s="11"/>
      <c r="BV105" s="11"/>
      <c r="BW105" s="11"/>
      <c r="BX105" s="11"/>
      <c r="BY105" s="11"/>
      <c r="BZ105" s="11"/>
      <c r="CA105" s="11"/>
      <c r="CB105" s="11"/>
    </row>
    <row r="106" ht="15.75" customHeight="1">
      <c r="BQ106" s="11"/>
      <c r="BR106" s="11"/>
      <c r="BS106" s="11"/>
      <c r="BT106" s="11"/>
      <c r="BU106" s="11"/>
      <c r="BV106" s="11"/>
      <c r="BW106" s="11"/>
      <c r="BX106" s="11"/>
      <c r="BY106" s="11"/>
      <c r="BZ106" s="11"/>
      <c r="CA106" s="11"/>
      <c r="CB106" s="11"/>
    </row>
    <row r="107" ht="15.75" customHeight="1">
      <c r="BQ107" s="11"/>
      <c r="BR107" s="11"/>
      <c r="BS107" s="11"/>
      <c r="BT107" s="11"/>
      <c r="BU107" s="11"/>
      <c r="BV107" s="11"/>
      <c r="BW107" s="11"/>
      <c r="BX107" s="11"/>
      <c r="BY107" s="11"/>
      <c r="BZ107" s="11"/>
      <c r="CA107" s="11"/>
      <c r="CB107" s="11"/>
    </row>
    <row r="108" ht="15.75" customHeight="1">
      <c r="BQ108" s="11"/>
      <c r="BR108" s="11"/>
      <c r="BS108" s="11"/>
      <c r="BT108" s="11"/>
      <c r="BU108" s="11"/>
      <c r="BV108" s="11"/>
      <c r="BW108" s="11"/>
      <c r="BX108" s="11"/>
      <c r="BY108" s="11"/>
      <c r="BZ108" s="11"/>
      <c r="CA108" s="11"/>
      <c r="CB108" s="11"/>
    </row>
    <row r="109" ht="15.75" customHeight="1">
      <c r="BQ109" s="11"/>
      <c r="BR109" s="11"/>
      <c r="BS109" s="11"/>
      <c r="BT109" s="11"/>
      <c r="BU109" s="11"/>
      <c r="BV109" s="11"/>
      <c r="BW109" s="11"/>
      <c r="BX109" s="11"/>
      <c r="BY109" s="11"/>
      <c r="BZ109" s="11"/>
      <c r="CA109" s="11"/>
      <c r="CB109" s="11"/>
    </row>
    <row r="110" ht="15.75" customHeight="1">
      <c r="BQ110" s="11"/>
      <c r="BR110" s="11"/>
      <c r="BS110" s="11"/>
      <c r="BT110" s="11"/>
      <c r="BU110" s="11"/>
      <c r="BV110" s="11"/>
      <c r="BW110" s="11"/>
      <c r="BX110" s="11"/>
      <c r="BY110" s="11"/>
      <c r="BZ110" s="11"/>
      <c r="CA110" s="11"/>
      <c r="CB110" s="11"/>
    </row>
    <row r="111" ht="15.75" customHeight="1">
      <c r="BQ111" s="11"/>
      <c r="BR111" s="11"/>
      <c r="BS111" s="11"/>
      <c r="BT111" s="11"/>
      <c r="BU111" s="11"/>
      <c r="BV111" s="11"/>
      <c r="BW111" s="11"/>
      <c r="BX111" s="11"/>
      <c r="BY111" s="11"/>
      <c r="BZ111" s="11"/>
      <c r="CA111" s="11"/>
      <c r="CB111" s="11"/>
    </row>
    <row r="112" ht="15.75" customHeight="1">
      <c r="BQ112" s="11"/>
      <c r="BR112" s="11"/>
      <c r="BS112" s="11"/>
      <c r="BT112" s="11"/>
      <c r="BU112" s="11"/>
      <c r="BV112" s="11"/>
      <c r="BW112" s="11"/>
      <c r="BX112" s="11"/>
      <c r="BY112" s="11"/>
      <c r="BZ112" s="11"/>
      <c r="CA112" s="11"/>
      <c r="CB112" s="11"/>
    </row>
    <row r="113" ht="15.75" customHeight="1">
      <c r="BQ113" s="11"/>
      <c r="BR113" s="11"/>
      <c r="BS113" s="11"/>
      <c r="BT113" s="11"/>
      <c r="BU113" s="11"/>
      <c r="BV113" s="11"/>
      <c r="BW113" s="11"/>
      <c r="BX113" s="11"/>
      <c r="BY113" s="11"/>
      <c r="BZ113" s="11"/>
      <c r="CA113" s="11"/>
      <c r="CB113" s="11"/>
    </row>
    <row r="114" ht="15.75" customHeight="1">
      <c r="BQ114" s="11"/>
      <c r="BR114" s="11"/>
      <c r="BS114" s="11"/>
      <c r="BT114" s="11"/>
      <c r="BU114" s="11"/>
      <c r="BV114" s="11"/>
      <c r="BW114" s="11"/>
      <c r="BX114" s="11"/>
      <c r="BY114" s="11"/>
      <c r="BZ114" s="11"/>
      <c r="CA114" s="11"/>
      <c r="CB114" s="11"/>
    </row>
    <row r="115" ht="15.75" customHeight="1">
      <c r="BQ115" s="11"/>
      <c r="BR115" s="11"/>
      <c r="BS115" s="11"/>
      <c r="BT115" s="11"/>
      <c r="BU115" s="11"/>
      <c r="BV115" s="11"/>
      <c r="BW115" s="11"/>
      <c r="BX115" s="11"/>
      <c r="BY115" s="11"/>
      <c r="BZ115" s="11"/>
      <c r="CA115" s="11"/>
      <c r="CB115" s="11"/>
    </row>
    <row r="116" ht="15.75" customHeight="1">
      <c r="BQ116" s="11"/>
      <c r="BR116" s="11"/>
      <c r="BS116" s="11"/>
      <c r="BT116" s="11"/>
      <c r="BU116" s="11"/>
      <c r="BV116" s="11"/>
      <c r="BW116" s="11"/>
      <c r="BX116" s="11"/>
      <c r="BY116" s="11"/>
      <c r="BZ116" s="11"/>
      <c r="CA116" s="11"/>
      <c r="CB116" s="11"/>
    </row>
    <row r="117" ht="15.75" customHeight="1">
      <c r="BQ117" s="11"/>
      <c r="BR117" s="11"/>
      <c r="BS117" s="11"/>
      <c r="BT117" s="11"/>
      <c r="BU117" s="11"/>
      <c r="BV117" s="11"/>
      <c r="BW117" s="11"/>
      <c r="BX117" s="11"/>
      <c r="BY117" s="11"/>
      <c r="BZ117" s="11"/>
      <c r="CA117" s="11"/>
      <c r="CB117" s="11"/>
    </row>
    <row r="118" ht="15.75" customHeight="1">
      <c r="BQ118" s="11"/>
      <c r="BR118" s="11"/>
      <c r="BS118" s="11"/>
      <c r="BT118" s="11"/>
      <c r="BU118" s="11"/>
      <c r="BV118" s="11"/>
      <c r="BW118" s="11"/>
      <c r="BX118" s="11"/>
      <c r="BY118" s="11"/>
      <c r="BZ118" s="11"/>
      <c r="CA118" s="11"/>
      <c r="CB118" s="11"/>
    </row>
    <row r="119" ht="15.75" customHeight="1">
      <c r="BQ119" s="11"/>
      <c r="BR119" s="11"/>
      <c r="BS119" s="11"/>
      <c r="BT119" s="11"/>
      <c r="BU119" s="11"/>
      <c r="BV119" s="11"/>
      <c r="BW119" s="11"/>
      <c r="BX119" s="11"/>
      <c r="BY119" s="11"/>
      <c r="BZ119" s="11"/>
      <c r="CA119" s="11"/>
      <c r="CB119" s="11"/>
    </row>
    <row r="120" ht="15.75" customHeight="1">
      <c r="BQ120" s="11"/>
      <c r="BR120" s="11"/>
      <c r="BS120" s="11"/>
      <c r="BT120" s="11"/>
      <c r="BU120" s="11"/>
      <c r="BV120" s="11"/>
      <c r="BW120" s="11"/>
      <c r="BX120" s="11"/>
      <c r="BY120" s="11"/>
      <c r="BZ120" s="11"/>
      <c r="CA120" s="11"/>
      <c r="CB120" s="11"/>
    </row>
    <row r="121" ht="15.75" customHeight="1">
      <c r="BQ121" s="11"/>
      <c r="BR121" s="11"/>
      <c r="BS121" s="11"/>
      <c r="BT121" s="11"/>
      <c r="BU121" s="11"/>
      <c r="BV121" s="11"/>
      <c r="BW121" s="11"/>
      <c r="BX121" s="11"/>
      <c r="BY121" s="11"/>
      <c r="BZ121" s="11"/>
      <c r="CA121" s="11"/>
      <c r="CB121" s="11"/>
    </row>
    <row r="122" ht="15.75" customHeight="1">
      <c r="BQ122" s="11"/>
      <c r="BR122" s="11"/>
      <c r="BS122" s="11"/>
      <c r="BT122" s="11"/>
      <c r="BU122" s="11"/>
      <c r="BV122" s="11"/>
      <c r="BW122" s="11"/>
      <c r="BX122" s="11"/>
      <c r="BY122" s="11"/>
      <c r="BZ122" s="11"/>
      <c r="CA122" s="11"/>
      <c r="CB122" s="11"/>
    </row>
    <row r="123" ht="15.75" customHeight="1">
      <c r="BQ123" s="11"/>
      <c r="BR123" s="11"/>
      <c r="BS123" s="11"/>
      <c r="BT123" s="11"/>
      <c r="BU123" s="11"/>
      <c r="BV123" s="11"/>
      <c r="BW123" s="11"/>
      <c r="BX123" s="11"/>
      <c r="BY123" s="11"/>
      <c r="BZ123" s="11"/>
      <c r="CA123" s="11"/>
      <c r="CB123" s="11"/>
    </row>
    <row r="124" ht="15.75" customHeight="1">
      <c r="BQ124" s="11"/>
      <c r="BR124" s="11"/>
      <c r="BS124" s="11"/>
      <c r="BT124" s="11"/>
      <c r="BU124" s="11"/>
      <c r="BV124" s="11"/>
      <c r="BW124" s="11"/>
      <c r="BX124" s="11"/>
      <c r="BY124" s="11"/>
      <c r="BZ124" s="11"/>
      <c r="CA124" s="11"/>
      <c r="CB124" s="11"/>
    </row>
    <row r="125" ht="15.75" customHeight="1">
      <c r="BQ125" s="11"/>
      <c r="BR125" s="11"/>
      <c r="BS125" s="11"/>
      <c r="BT125" s="11"/>
      <c r="BU125" s="11"/>
      <c r="BV125" s="11"/>
      <c r="BW125" s="11"/>
      <c r="BX125" s="11"/>
      <c r="BY125" s="11"/>
      <c r="BZ125" s="11"/>
      <c r="CA125" s="11"/>
      <c r="CB125" s="11"/>
    </row>
    <row r="126" ht="15.75" customHeight="1">
      <c r="BQ126" s="11"/>
      <c r="BR126" s="11"/>
      <c r="BS126" s="11"/>
      <c r="BT126" s="11"/>
      <c r="BU126" s="11"/>
      <c r="BV126" s="11"/>
      <c r="BW126" s="11"/>
      <c r="BX126" s="11"/>
      <c r="BY126" s="11"/>
      <c r="BZ126" s="11"/>
      <c r="CA126" s="11"/>
      <c r="CB126" s="11"/>
    </row>
    <row r="127" ht="15.75" customHeight="1">
      <c r="BQ127" s="11"/>
      <c r="BR127" s="11"/>
      <c r="BS127" s="11"/>
      <c r="BT127" s="11"/>
      <c r="BU127" s="11"/>
      <c r="BV127" s="11"/>
      <c r="BW127" s="11"/>
      <c r="BX127" s="11"/>
      <c r="BY127" s="11"/>
      <c r="BZ127" s="11"/>
      <c r="CA127" s="11"/>
      <c r="CB127" s="11"/>
    </row>
    <row r="128" ht="15.75" customHeight="1">
      <c r="BQ128" s="11"/>
      <c r="BR128" s="11"/>
      <c r="BS128" s="11"/>
      <c r="BT128" s="11"/>
      <c r="BU128" s="11"/>
      <c r="BV128" s="11"/>
      <c r="BW128" s="11"/>
      <c r="BX128" s="11"/>
      <c r="BY128" s="11"/>
      <c r="BZ128" s="11"/>
      <c r="CA128" s="11"/>
      <c r="CB128" s="11"/>
    </row>
    <row r="129" ht="15.75" customHeight="1">
      <c r="BQ129" s="11"/>
      <c r="BR129" s="11"/>
      <c r="BS129" s="11"/>
      <c r="BT129" s="11"/>
      <c r="BU129" s="11"/>
      <c r="BV129" s="11"/>
      <c r="BW129" s="11"/>
      <c r="BX129" s="11"/>
      <c r="BY129" s="11"/>
      <c r="BZ129" s="11"/>
      <c r="CA129" s="11"/>
      <c r="CB129" s="11"/>
    </row>
    <row r="130" ht="15.75" customHeight="1">
      <c r="BQ130" s="11"/>
      <c r="BR130" s="11"/>
      <c r="BS130" s="11"/>
      <c r="BT130" s="11"/>
      <c r="BU130" s="11"/>
      <c r="BV130" s="11"/>
      <c r="BW130" s="11"/>
      <c r="BX130" s="11"/>
      <c r="BY130" s="11"/>
      <c r="BZ130" s="11"/>
      <c r="CA130" s="11"/>
      <c r="CB130" s="11"/>
    </row>
    <row r="131" ht="15.75" customHeight="1">
      <c r="BQ131" s="11"/>
      <c r="BR131" s="11"/>
      <c r="BS131" s="11"/>
      <c r="BT131" s="11"/>
      <c r="BU131" s="11"/>
      <c r="BV131" s="11"/>
      <c r="BW131" s="11"/>
      <c r="BX131" s="11"/>
      <c r="BY131" s="11"/>
      <c r="BZ131" s="11"/>
      <c r="CA131" s="11"/>
      <c r="CB131" s="11"/>
    </row>
    <row r="132" ht="15.75" customHeight="1">
      <c r="BQ132" s="11"/>
      <c r="BR132" s="11"/>
      <c r="BS132" s="11"/>
      <c r="BT132" s="11"/>
      <c r="BU132" s="11"/>
      <c r="BV132" s="11"/>
      <c r="BW132" s="11"/>
      <c r="BX132" s="11"/>
      <c r="BY132" s="11"/>
      <c r="BZ132" s="11"/>
      <c r="CA132" s="11"/>
      <c r="CB132" s="11"/>
    </row>
    <row r="133" ht="15.75" customHeight="1">
      <c r="BQ133" s="11"/>
      <c r="BR133" s="11"/>
      <c r="BS133" s="11"/>
      <c r="BT133" s="11"/>
      <c r="BU133" s="11"/>
      <c r="BV133" s="11"/>
      <c r="BW133" s="11"/>
      <c r="BX133" s="11"/>
      <c r="BY133" s="11"/>
      <c r="BZ133" s="11"/>
      <c r="CA133" s="11"/>
      <c r="CB133" s="11"/>
    </row>
    <row r="134" ht="15.75" customHeight="1">
      <c r="BQ134" s="11"/>
      <c r="BR134" s="11"/>
      <c r="BS134" s="11"/>
      <c r="BT134" s="11"/>
      <c r="BU134" s="11"/>
      <c r="BV134" s="11"/>
      <c r="BW134" s="11"/>
      <c r="BX134" s="11"/>
      <c r="BY134" s="11"/>
      <c r="BZ134" s="11"/>
      <c r="CA134" s="11"/>
      <c r="CB134" s="11"/>
    </row>
    <row r="135" ht="15.75" customHeight="1">
      <c r="BQ135" s="11"/>
      <c r="BR135" s="11"/>
      <c r="BS135" s="11"/>
      <c r="BT135" s="11"/>
      <c r="BU135" s="11"/>
      <c r="BV135" s="11"/>
      <c r="BW135" s="11"/>
      <c r="BX135" s="11"/>
      <c r="BY135" s="11"/>
      <c r="BZ135" s="11"/>
      <c r="CA135" s="11"/>
      <c r="CB135" s="11"/>
    </row>
    <row r="136" ht="15.75" customHeight="1">
      <c r="BQ136" s="11"/>
      <c r="BR136" s="11"/>
      <c r="BS136" s="11"/>
      <c r="BT136" s="11"/>
      <c r="BU136" s="11"/>
      <c r="BV136" s="11"/>
      <c r="BW136" s="11"/>
      <c r="BX136" s="11"/>
      <c r="BY136" s="11"/>
      <c r="BZ136" s="11"/>
      <c r="CA136" s="11"/>
      <c r="CB136" s="11"/>
    </row>
    <row r="137" ht="15.75" customHeight="1">
      <c r="BQ137" s="11"/>
      <c r="BR137" s="11"/>
      <c r="BS137" s="11"/>
      <c r="BT137" s="11"/>
      <c r="BU137" s="11"/>
      <c r="BV137" s="11"/>
      <c r="BW137" s="11"/>
      <c r="BX137" s="11"/>
      <c r="BY137" s="11"/>
      <c r="BZ137" s="11"/>
      <c r="CA137" s="11"/>
      <c r="CB137" s="11"/>
    </row>
    <row r="138" ht="15.75" customHeight="1">
      <c r="BQ138" s="11"/>
      <c r="BR138" s="11"/>
      <c r="BS138" s="11"/>
      <c r="BT138" s="11"/>
      <c r="BU138" s="11"/>
      <c r="BV138" s="11"/>
      <c r="BW138" s="11"/>
      <c r="BX138" s="11"/>
      <c r="BY138" s="11"/>
      <c r="BZ138" s="11"/>
      <c r="CA138" s="11"/>
      <c r="CB138" s="11"/>
    </row>
    <row r="139" ht="15.75" customHeight="1">
      <c r="BQ139" s="11"/>
      <c r="BR139" s="11"/>
      <c r="BS139" s="11"/>
      <c r="BT139" s="11"/>
      <c r="BU139" s="11"/>
      <c r="BV139" s="11"/>
      <c r="BW139" s="11"/>
      <c r="BX139" s="11"/>
      <c r="BY139" s="11"/>
      <c r="BZ139" s="11"/>
      <c r="CA139" s="11"/>
      <c r="CB139" s="11"/>
    </row>
    <row r="140" ht="15.75" customHeight="1">
      <c r="BQ140" s="11"/>
      <c r="BR140" s="11"/>
      <c r="BS140" s="11"/>
      <c r="BT140" s="11"/>
      <c r="BU140" s="11"/>
      <c r="BV140" s="11"/>
      <c r="BW140" s="11"/>
      <c r="BX140" s="11"/>
      <c r="BY140" s="11"/>
      <c r="BZ140" s="11"/>
      <c r="CA140" s="11"/>
      <c r="CB140" s="11"/>
    </row>
    <row r="141" ht="15.75" customHeight="1">
      <c r="BQ141" s="11"/>
      <c r="BR141" s="11"/>
      <c r="BS141" s="11"/>
      <c r="BT141" s="11"/>
      <c r="BU141" s="11"/>
      <c r="BV141" s="11"/>
      <c r="BW141" s="11"/>
      <c r="BX141" s="11"/>
      <c r="BY141" s="11"/>
      <c r="BZ141" s="11"/>
      <c r="CA141" s="11"/>
      <c r="CB141" s="11"/>
    </row>
    <row r="142" ht="15.75" customHeight="1">
      <c r="BQ142" s="11"/>
      <c r="BR142" s="11"/>
      <c r="BS142" s="11"/>
      <c r="BT142" s="11"/>
      <c r="BU142" s="11"/>
      <c r="BV142" s="11"/>
      <c r="BW142" s="11"/>
      <c r="BX142" s="11"/>
      <c r="BY142" s="11"/>
      <c r="BZ142" s="11"/>
      <c r="CA142" s="11"/>
      <c r="CB142" s="11"/>
    </row>
    <row r="143" ht="15.75" customHeight="1">
      <c r="BQ143" s="11"/>
      <c r="BR143" s="11"/>
      <c r="BS143" s="11"/>
      <c r="BT143" s="11"/>
      <c r="BU143" s="11"/>
      <c r="BV143" s="11"/>
      <c r="BW143" s="11"/>
      <c r="BX143" s="11"/>
      <c r="BY143" s="11"/>
      <c r="BZ143" s="11"/>
      <c r="CA143" s="11"/>
      <c r="CB143" s="11"/>
    </row>
    <row r="144" ht="15.75" customHeight="1">
      <c r="BQ144" s="11"/>
      <c r="BR144" s="11"/>
      <c r="BS144" s="11"/>
      <c r="BT144" s="11"/>
      <c r="BU144" s="11"/>
      <c r="BV144" s="11"/>
      <c r="BW144" s="11"/>
      <c r="BX144" s="11"/>
      <c r="BY144" s="11"/>
      <c r="BZ144" s="11"/>
      <c r="CA144" s="11"/>
      <c r="CB144" s="11"/>
    </row>
    <row r="145" ht="15.75" customHeight="1">
      <c r="BQ145" s="11"/>
      <c r="BR145" s="11"/>
      <c r="BS145" s="11"/>
      <c r="BT145" s="11"/>
      <c r="BU145" s="11"/>
      <c r="BV145" s="11"/>
      <c r="BW145" s="11"/>
      <c r="BX145" s="11"/>
      <c r="BY145" s="11"/>
      <c r="BZ145" s="11"/>
      <c r="CA145" s="11"/>
      <c r="CB145" s="11"/>
    </row>
    <row r="146" ht="15.75" customHeight="1">
      <c r="BQ146" s="11"/>
      <c r="BR146" s="11"/>
      <c r="BS146" s="11"/>
      <c r="BT146" s="11"/>
      <c r="BU146" s="11"/>
      <c r="BV146" s="11"/>
      <c r="BW146" s="11"/>
      <c r="BX146" s="11"/>
      <c r="BY146" s="11"/>
      <c r="BZ146" s="11"/>
      <c r="CA146" s="11"/>
      <c r="CB146" s="11"/>
    </row>
    <row r="147" ht="15.75" customHeight="1">
      <c r="BQ147" s="11"/>
      <c r="BR147" s="11"/>
      <c r="BS147" s="11"/>
      <c r="BT147" s="11"/>
      <c r="BU147" s="11"/>
      <c r="BV147" s="11"/>
      <c r="BW147" s="11"/>
      <c r="BX147" s="11"/>
      <c r="BY147" s="11"/>
      <c r="BZ147" s="11"/>
      <c r="CA147" s="11"/>
      <c r="CB147" s="11"/>
    </row>
    <row r="148" ht="15.75" customHeight="1">
      <c r="BQ148" s="11"/>
      <c r="BR148" s="11"/>
      <c r="BS148" s="11"/>
      <c r="BT148" s="11"/>
      <c r="BU148" s="11"/>
      <c r="BV148" s="11"/>
      <c r="BW148" s="11"/>
      <c r="BX148" s="11"/>
      <c r="BY148" s="11"/>
      <c r="BZ148" s="11"/>
      <c r="CA148" s="11"/>
      <c r="CB148" s="11"/>
    </row>
    <row r="149" ht="15.75" customHeight="1">
      <c r="BQ149" s="11"/>
      <c r="BR149" s="11"/>
      <c r="BS149" s="11"/>
      <c r="BT149" s="11"/>
      <c r="BU149" s="11"/>
      <c r="BV149" s="11"/>
      <c r="BW149" s="11"/>
      <c r="BX149" s="11"/>
      <c r="BY149" s="11"/>
      <c r="BZ149" s="11"/>
      <c r="CA149" s="11"/>
      <c r="CB149" s="11"/>
    </row>
    <row r="150" ht="15.75" customHeight="1">
      <c r="BQ150" s="11"/>
      <c r="BR150" s="11"/>
      <c r="BS150" s="11"/>
      <c r="BT150" s="11"/>
      <c r="BU150" s="11"/>
      <c r="BV150" s="11"/>
      <c r="BW150" s="11"/>
      <c r="BX150" s="11"/>
      <c r="BY150" s="11"/>
      <c r="BZ150" s="11"/>
      <c r="CA150" s="11"/>
      <c r="CB150" s="11"/>
    </row>
    <row r="151" ht="15.75" customHeight="1">
      <c r="BQ151" s="11"/>
      <c r="BR151" s="11"/>
      <c r="BS151" s="11"/>
      <c r="BT151" s="11"/>
      <c r="BU151" s="11"/>
      <c r="BV151" s="11"/>
      <c r="BW151" s="11"/>
      <c r="BX151" s="11"/>
      <c r="BY151" s="11"/>
      <c r="BZ151" s="11"/>
      <c r="CA151" s="11"/>
      <c r="CB151" s="11"/>
    </row>
    <row r="152" ht="15.75" customHeight="1">
      <c r="BQ152" s="11"/>
      <c r="BR152" s="11"/>
      <c r="BS152" s="11"/>
      <c r="BT152" s="11"/>
      <c r="BU152" s="11"/>
      <c r="BV152" s="11"/>
      <c r="BW152" s="11"/>
      <c r="BX152" s="11"/>
      <c r="BY152" s="11"/>
      <c r="BZ152" s="11"/>
      <c r="CA152" s="11"/>
      <c r="CB152" s="11"/>
    </row>
    <row r="153" ht="15.75" customHeight="1">
      <c r="BQ153" s="11"/>
      <c r="BR153" s="11"/>
      <c r="BS153" s="11"/>
      <c r="BT153" s="11"/>
      <c r="BU153" s="11"/>
      <c r="BV153" s="11"/>
      <c r="BW153" s="11"/>
      <c r="BX153" s="11"/>
      <c r="BY153" s="11"/>
      <c r="BZ153" s="11"/>
      <c r="CA153" s="11"/>
      <c r="CB153" s="11"/>
    </row>
    <row r="154" ht="15.75" customHeight="1">
      <c r="BQ154" s="11"/>
      <c r="BR154" s="11"/>
      <c r="BS154" s="11"/>
      <c r="BT154" s="11"/>
      <c r="BU154" s="11"/>
      <c r="BV154" s="11"/>
      <c r="BW154" s="11"/>
      <c r="BX154" s="11"/>
      <c r="BY154" s="11"/>
      <c r="BZ154" s="11"/>
      <c r="CA154" s="11"/>
      <c r="CB154" s="11"/>
    </row>
    <row r="155" ht="15.75" customHeight="1">
      <c r="BQ155" s="11"/>
      <c r="BR155" s="11"/>
      <c r="BS155" s="11"/>
      <c r="BT155" s="11"/>
      <c r="BU155" s="11"/>
      <c r="BV155" s="11"/>
      <c r="BW155" s="11"/>
      <c r="BX155" s="11"/>
      <c r="BY155" s="11"/>
      <c r="BZ155" s="11"/>
      <c r="CA155" s="11"/>
      <c r="CB155" s="11"/>
    </row>
    <row r="156" ht="15.75" customHeight="1">
      <c r="BQ156" s="11"/>
      <c r="BR156" s="11"/>
      <c r="BS156" s="11"/>
      <c r="BT156" s="11"/>
      <c r="BU156" s="11"/>
      <c r="BV156" s="11"/>
      <c r="BW156" s="11"/>
      <c r="BX156" s="11"/>
      <c r="BY156" s="11"/>
      <c r="BZ156" s="11"/>
      <c r="CA156" s="11"/>
      <c r="CB156" s="11"/>
    </row>
    <row r="157" ht="15.75" customHeight="1">
      <c r="BQ157" s="11"/>
      <c r="BR157" s="11"/>
      <c r="BS157" s="11"/>
      <c r="BT157" s="11"/>
      <c r="BU157" s="11"/>
      <c r="BV157" s="11"/>
      <c r="BW157" s="11"/>
      <c r="BX157" s="11"/>
      <c r="BY157" s="11"/>
      <c r="BZ157" s="11"/>
      <c r="CA157" s="11"/>
      <c r="CB157" s="11"/>
    </row>
    <row r="158" ht="15.75" customHeight="1">
      <c r="BQ158" s="11"/>
      <c r="BR158" s="11"/>
      <c r="BS158" s="11"/>
      <c r="BT158" s="11"/>
      <c r="BU158" s="11"/>
      <c r="BV158" s="11"/>
      <c r="BW158" s="11"/>
      <c r="BX158" s="11"/>
      <c r="BY158" s="11"/>
      <c r="BZ158" s="11"/>
      <c r="CA158" s="11"/>
      <c r="CB158" s="11"/>
    </row>
    <row r="159" ht="15.75" customHeight="1">
      <c r="BQ159" s="11"/>
      <c r="BR159" s="11"/>
      <c r="BS159" s="11"/>
      <c r="BT159" s="11"/>
      <c r="BU159" s="11"/>
      <c r="BV159" s="11"/>
      <c r="BW159" s="11"/>
      <c r="BX159" s="11"/>
      <c r="BY159" s="11"/>
      <c r="BZ159" s="11"/>
      <c r="CA159" s="11"/>
      <c r="CB159" s="11"/>
    </row>
    <row r="160" ht="15.75" customHeight="1">
      <c r="BQ160" s="11"/>
      <c r="BR160" s="11"/>
      <c r="BS160" s="11"/>
      <c r="BT160" s="11"/>
      <c r="BU160" s="11"/>
      <c r="BV160" s="11"/>
      <c r="BW160" s="11"/>
      <c r="BX160" s="11"/>
      <c r="BY160" s="11"/>
      <c r="BZ160" s="11"/>
      <c r="CA160" s="11"/>
      <c r="CB160" s="11"/>
    </row>
    <row r="161" ht="15.75" customHeight="1">
      <c r="BQ161" s="11"/>
      <c r="BR161" s="11"/>
      <c r="BS161" s="11"/>
      <c r="BT161" s="11"/>
      <c r="BU161" s="11"/>
      <c r="BV161" s="11"/>
      <c r="BW161" s="11"/>
      <c r="BX161" s="11"/>
      <c r="BY161" s="11"/>
      <c r="BZ161" s="11"/>
      <c r="CA161" s="11"/>
      <c r="CB161" s="11"/>
    </row>
    <row r="162" ht="15.75" customHeight="1">
      <c r="BQ162" s="11"/>
      <c r="BR162" s="11"/>
      <c r="BS162" s="11"/>
      <c r="BT162" s="11"/>
      <c r="BU162" s="11"/>
      <c r="BV162" s="11"/>
      <c r="BW162" s="11"/>
      <c r="BX162" s="11"/>
      <c r="BY162" s="11"/>
      <c r="BZ162" s="11"/>
      <c r="CA162" s="11"/>
      <c r="CB162" s="11"/>
    </row>
    <row r="163" ht="15.75" customHeight="1">
      <c r="BQ163" s="11"/>
      <c r="BR163" s="11"/>
      <c r="BS163" s="11"/>
      <c r="BT163" s="11"/>
      <c r="BU163" s="11"/>
      <c r="BV163" s="11"/>
      <c r="BW163" s="11"/>
      <c r="BX163" s="11"/>
      <c r="BY163" s="11"/>
      <c r="BZ163" s="11"/>
      <c r="CA163" s="11"/>
      <c r="CB163" s="11"/>
    </row>
    <row r="164" ht="15.75" customHeight="1">
      <c r="BQ164" s="11"/>
      <c r="BR164" s="11"/>
      <c r="BS164" s="11"/>
      <c r="BT164" s="11"/>
      <c r="BU164" s="11"/>
      <c r="BV164" s="11"/>
      <c r="BW164" s="11"/>
      <c r="BX164" s="11"/>
      <c r="BY164" s="11"/>
      <c r="BZ164" s="11"/>
      <c r="CA164" s="11"/>
      <c r="CB164" s="11"/>
    </row>
    <row r="165" ht="15.75" customHeight="1">
      <c r="BQ165" s="11"/>
      <c r="BR165" s="11"/>
      <c r="BS165" s="11"/>
      <c r="BT165" s="11"/>
      <c r="BU165" s="11"/>
      <c r="BV165" s="11"/>
      <c r="BW165" s="11"/>
      <c r="BX165" s="11"/>
      <c r="BY165" s="11"/>
      <c r="BZ165" s="11"/>
      <c r="CA165" s="11"/>
      <c r="CB165" s="11"/>
    </row>
    <row r="166" ht="15.75" customHeight="1">
      <c r="BQ166" s="11"/>
      <c r="BR166" s="11"/>
      <c r="BS166" s="11"/>
      <c r="BT166" s="11"/>
      <c r="BU166" s="11"/>
      <c r="BV166" s="11"/>
      <c r="BW166" s="11"/>
      <c r="BX166" s="11"/>
      <c r="BY166" s="11"/>
      <c r="BZ166" s="11"/>
      <c r="CA166" s="11"/>
      <c r="CB166" s="11"/>
    </row>
    <row r="167" ht="15.75" customHeight="1">
      <c r="BQ167" s="11"/>
      <c r="BR167" s="11"/>
      <c r="BS167" s="11"/>
      <c r="BT167" s="11"/>
      <c r="BU167" s="11"/>
      <c r="BV167" s="11"/>
      <c r="BW167" s="11"/>
      <c r="BX167" s="11"/>
      <c r="BY167" s="11"/>
      <c r="BZ167" s="11"/>
      <c r="CA167" s="11"/>
      <c r="CB167" s="11"/>
    </row>
    <row r="168" ht="15.75" customHeight="1">
      <c r="BQ168" s="11"/>
      <c r="BR168" s="11"/>
      <c r="BS168" s="11"/>
      <c r="BT168" s="11"/>
      <c r="BU168" s="11"/>
      <c r="BV168" s="11"/>
      <c r="BW168" s="11"/>
      <c r="BX168" s="11"/>
      <c r="BY168" s="11"/>
      <c r="BZ168" s="11"/>
      <c r="CA168" s="11"/>
      <c r="CB168" s="11"/>
    </row>
    <row r="169" ht="15.75" customHeight="1">
      <c r="BQ169" s="11"/>
      <c r="BR169" s="11"/>
      <c r="BS169" s="11"/>
      <c r="BT169" s="11"/>
      <c r="BU169" s="11"/>
      <c r="BV169" s="11"/>
      <c r="BW169" s="11"/>
      <c r="BX169" s="11"/>
      <c r="BY169" s="11"/>
      <c r="BZ169" s="11"/>
      <c r="CA169" s="11"/>
      <c r="CB169" s="11"/>
    </row>
    <row r="170" ht="15.75" customHeight="1">
      <c r="BQ170" s="11"/>
      <c r="BR170" s="11"/>
      <c r="BS170" s="11"/>
      <c r="BT170" s="11"/>
      <c r="BU170" s="11"/>
      <c r="BV170" s="11"/>
      <c r="BW170" s="11"/>
      <c r="BX170" s="11"/>
      <c r="BY170" s="11"/>
      <c r="BZ170" s="11"/>
      <c r="CA170" s="11"/>
      <c r="CB170" s="11"/>
    </row>
    <row r="171" ht="15.75" customHeight="1">
      <c r="BQ171" s="11"/>
      <c r="BR171" s="11"/>
      <c r="BS171" s="11"/>
      <c r="BT171" s="11"/>
      <c r="BU171" s="11"/>
      <c r="BV171" s="11"/>
      <c r="BW171" s="11"/>
      <c r="BX171" s="11"/>
      <c r="BY171" s="11"/>
      <c r="BZ171" s="11"/>
      <c r="CA171" s="11"/>
      <c r="CB171" s="11"/>
    </row>
    <row r="172" ht="15.75" customHeight="1">
      <c r="BQ172" s="11"/>
      <c r="BR172" s="11"/>
      <c r="BS172" s="11"/>
      <c r="BT172" s="11"/>
      <c r="BU172" s="11"/>
      <c r="BV172" s="11"/>
      <c r="BW172" s="11"/>
      <c r="BX172" s="11"/>
      <c r="BY172" s="11"/>
      <c r="BZ172" s="11"/>
      <c r="CA172" s="11"/>
      <c r="CB172" s="11"/>
    </row>
    <row r="173" ht="15.75" customHeight="1">
      <c r="BQ173" s="11"/>
      <c r="BR173" s="11"/>
      <c r="BS173" s="11"/>
      <c r="BT173" s="11"/>
      <c r="BU173" s="11"/>
      <c r="BV173" s="11"/>
      <c r="BW173" s="11"/>
      <c r="BX173" s="11"/>
      <c r="BY173" s="11"/>
      <c r="BZ173" s="11"/>
      <c r="CA173" s="11"/>
      <c r="CB173" s="11"/>
    </row>
    <row r="174" ht="15.75" customHeight="1">
      <c r="BQ174" s="11"/>
      <c r="BR174" s="11"/>
      <c r="BS174" s="11"/>
      <c r="BT174" s="11"/>
      <c r="BU174" s="11"/>
      <c r="BV174" s="11"/>
      <c r="BW174" s="11"/>
      <c r="BX174" s="11"/>
      <c r="BY174" s="11"/>
      <c r="BZ174" s="11"/>
      <c r="CA174" s="11"/>
      <c r="CB174" s="11"/>
    </row>
    <row r="175" ht="15.75" customHeight="1">
      <c r="BQ175" s="11"/>
      <c r="BR175" s="11"/>
      <c r="BS175" s="11"/>
      <c r="BT175" s="11"/>
      <c r="BU175" s="11"/>
      <c r="BV175" s="11"/>
      <c r="BW175" s="11"/>
      <c r="BX175" s="11"/>
      <c r="BY175" s="11"/>
      <c r="BZ175" s="11"/>
      <c r="CA175" s="11"/>
      <c r="CB175" s="11"/>
    </row>
    <row r="176" ht="15.75" customHeight="1">
      <c r="BQ176" s="11"/>
      <c r="BR176" s="11"/>
      <c r="BS176" s="11"/>
      <c r="BT176" s="11"/>
      <c r="BU176" s="11"/>
      <c r="BV176" s="11"/>
      <c r="BW176" s="11"/>
      <c r="BX176" s="11"/>
      <c r="BY176" s="11"/>
      <c r="BZ176" s="11"/>
      <c r="CA176" s="11"/>
      <c r="CB176" s="11"/>
    </row>
    <row r="177" ht="15.75" customHeight="1">
      <c r="BQ177" s="11"/>
      <c r="BR177" s="11"/>
      <c r="BS177" s="11"/>
      <c r="BT177" s="11"/>
      <c r="BU177" s="11"/>
      <c r="BV177" s="11"/>
      <c r="BW177" s="11"/>
      <c r="BX177" s="11"/>
      <c r="BY177" s="11"/>
      <c r="BZ177" s="11"/>
      <c r="CA177" s="11"/>
      <c r="CB177" s="11"/>
    </row>
    <row r="178" ht="15.75" customHeight="1">
      <c r="BQ178" s="11"/>
      <c r="BR178" s="11"/>
      <c r="BS178" s="11"/>
      <c r="BT178" s="11"/>
      <c r="BU178" s="11"/>
      <c r="BV178" s="11"/>
      <c r="BW178" s="11"/>
      <c r="BX178" s="11"/>
      <c r="BY178" s="11"/>
      <c r="BZ178" s="11"/>
      <c r="CA178" s="11"/>
      <c r="CB178" s="11"/>
    </row>
    <row r="179" ht="15.75" customHeight="1">
      <c r="BQ179" s="11"/>
      <c r="BR179" s="11"/>
      <c r="BS179" s="11"/>
      <c r="BT179" s="11"/>
      <c r="BU179" s="11"/>
      <c r="BV179" s="11"/>
      <c r="BW179" s="11"/>
      <c r="BX179" s="11"/>
      <c r="BY179" s="11"/>
      <c r="BZ179" s="11"/>
      <c r="CA179" s="11"/>
      <c r="CB179" s="11"/>
    </row>
    <row r="180" ht="15.75" customHeight="1">
      <c r="BQ180" s="11"/>
      <c r="BR180" s="11"/>
      <c r="BS180" s="11"/>
      <c r="BT180" s="11"/>
      <c r="BU180" s="11"/>
      <c r="BV180" s="11"/>
      <c r="BW180" s="11"/>
      <c r="BX180" s="11"/>
      <c r="BY180" s="11"/>
      <c r="BZ180" s="11"/>
      <c r="CA180" s="11"/>
      <c r="CB180" s="11"/>
    </row>
    <row r="181" ht="15.75" customHeight="1">
      <c r="BQ181" s="11"/>
      <c r="BR181" s="11"/>
      <c r="BS181" s="11"/>
      <c r="BT181" s="11"/>
      <c r="BU181" s="11"/>
      <c r="BV181" s="11"/>
      <c r="BW181" s="11"/>
      <c r="BX181" s="11"/>
      <c r="BY181" s="11"/>
      <c r="BZ181" s="11"/>
      <c r="CA181" s="11"/>
      <c r="CB181" s="11"/>
    </row>
    <row r="182" ht="15.75" customHeight="1">
      <c r="BQ182" s="11"/>
      <c r="BR182" s="11"/>
      <c r="BS182" s="11"/>
      <c r="BT182" s="11"/>
      <c r="BU182" s="11"/>
      <c r="BV182" s="11"/>
      <c r="BW182" s="11"/>
      <c r="BX182" s="11"/>
      <c r="BY182" s="11"/>
      <c r="BZ182" s="11"/>
      <c r="CA182" s="11"/>
      <c r="CB182" s="11"/>
    </row>
    <row r="183" ht="15.75" customHeight="1">
      <c r="BQ183" s="11"/>
      <c r="BR183" s="11"/>
      <c r="BS183" s="11"/>
      <c r="BT183" s="11"/>
      <c r="BU183" s="11"/>
      <c r="BV183" s="11"/>
      <c r="BW183" s="11"/>
      <c r="BX183" s="11"/>
      <c r="BY183" s="11"/>
      <c r="BZ183" s="11"/>
      <c r="CA183" s="11"/>
      <c r="CB183" s="11"/>
    </row>
    <row r="184" ht="15.75" customHeight="1">
      <c r="BQ184" s="11"/>
      <c r="BR184" s="11"/>
      <c r="BS184" s="11"/>
      <c r="BT184" s="11"/>
      <c r="BU184" s="11"/>
      <c r="BV184" s="11"/>
      <c r="BW184" s="11"/>
      <c r="BX184" s="11"/>
      <c r="BY184" s="11"/>
      <c r="BZ184" s="11"/>
      <c r="CA184" s="11"/>
      <c r="CB184" s="11"/>
    </row>
    <row r="185" ht="15.75" customHeight="1">
      <c r="BQ185" s="11"/>
      <c r="BR185" s="11"/>
      <c r="BS185" s="11"/>
      <c r="BT185" s="11"/>
      <c r="BU185" s="11"/>
      <c r="BV185" s="11"/>
      <c r="BW185" s="11"/>
      <c r="BX185" s="11"/>
      <c r="BY185" s="11"/>
      <c r="BZ185" s="11"/>
      <c r="CA185" s="11"/>
      <c r="CB185" s="11"/>
    </row>
    <row r="186" ht="15.75" customHeight="1">
      <c r="BQ186" s="11"/>
      <c r="BR186" s="11"/>
      <c r="BS186" s="11"/>
      <c r="BT186" s="11"/>
      <c r="BU186" s="11"/>
      <c r="BV186" s="11"/>
      <c r="BW186" s="11"/>
      <c r="BX186" s="11"/>
      <c r="BY186" s="11"/>
      <c r="BZ186" s="11"/>
      <c r="CA186" s="11"/>
      <c r="CB186" s="11"/>
    </row>
    <row r="187" ht="15.75" customHeight="1">
      <c r="BQ187" s="11"/>
      <c r="BR187" s="11"/>
      <c r="BS187" s="11"/>
      <c r="BT187" s="11"/>
      <c r="BU187" s="11"/>
      <c r="BV187" s="11"/>
      <c r="BW187" s="11"/>
      <c r="BX187" s="11"/>
      <c r="BY187" s="11"/>
      <c r="BZ187" s="11"/>
      <c r="CA187" s="11"/>
      <c r="CB187" s="11"/>
    </row>
    <row r="188" ht="15.75" customHeight="1">
      <c r="BQ188" s="11"/>
      <c r="BR188" s="11"/>
      <c r="BS188" s="11"/>
      <c r="BT188" s="11"/>
      <c r="BU188" s="11"/>
      <c r="BV188" s="11"/>
      <c r="BW188" s="11"/>
      <c r="BX188" s="11"/>
      <c r="BY188" s="11"/>
      <c r="BZ188" s="11"/>
      <c r="CA188" s="11"/>
      <c r="CB188" s="11"/>
    </row>
    <row r="189" ht="15.75" customHeight="1">
      <c r="BQ189" s="11"/>
      <c r="BR189" s="11"/>
      <c r="BS189" s="11"/>
      <c r="BT189" s="11"/>
      <c r="BU189" s="11"/>
      <c r="BV189" s="11"/>
      <c r="BW189" s="11"/>
      <c r="BX189" s="11"/>
      <c r="BY189" s="11"/>
      <c r="BZ189" s="11"/>
      <c r="CA189" s="11"/>
      <c r="CB189" s="11"/>
    </row>
    <row r="190" ht="15.75" customHeight="1">
      <c r="BQ190" s="11"/>
      <c r="BR190" s="11"/>
      <c r="BS190" s="11"/>
      <c r="BT190" s="11"/>
      <c r="BU190" s="11"/>
      <c r="BV190" s="11"/>
      <c r="BW190" s="11"/>
      <c r="BX190" s="11"/>
      <c r="BY190" s="11"/>
      <c r="BZ190" s="11"/>
      <c r="CA190" s="11"/>
      <c r="CB190" s="11"/>
    </row>
    <row r="191" ht="15.75" customHeight="1">
      <c r="BQ191" s="11"/>
      <c r="BR191" s="11"/>
      <c r="BS191" s="11"/>
      <c r="BT191" s="11"/>
      <c r="BU191" s="11"/>
      <c r="BV191" s="11"/>
      <c r="BW191" s="11"/>
      <c r="BX191" s="11"/>
      <c r="BY191" s="11"/>
      <c r="BZ191" s="11"/>
      <c r="CA191" s="11"/>
      <c r="CB191" s="11"/>
    </row>
    <row r="192" ht="15.75" customHeight="1">
      <c r="BQ192" s="11"/>
      <c r="BR192" s="11"/>
      <c r="BS192" s="11"/>
      <c r="BT192" s="11"/>
      <c r="BU192" s="11"/>
      <c r="BV192" s="11"/>
      <c r="BW192" s="11"/>
      <c r="BX192" s="11"/>
      <c r="BY192" s="11"/>
      <c r="BZ192" s="11"/>
      <c r="CA192" s="11"/>
      <c r="CB192" s="11"/>
    </row>
    <row r="193" ht="15.75" customHeight="1">
      <c r="BQ193" s="11"/>
      <c r="BR193" s="11"/>
      <c r="BS193" s="11"/>
      <c r="BT193" s="11"/>
      <c r="BU193" s="11"/>
      <c r="BV193" s="11"/>
      <c r="BW193" s="11"/>
      <c r="BX193" s="11"/>
      <c r="BY193" s="11"/>
      <c r="BZ193" s="11"/>
      <c r="CA193" s="11"/>
      <c r="CB193" s="11"/>
    </row>
    <row r="194" ht="15.75" customHeight="1">
      <c r="BQ194" s="11"/>
      <c r="BR194" s="11"/>
      <c r="BS194" s="11"/>
      <c r="BT194" s="11"/>
      <c r="BU194" s="11"/>
      <c r="BV194" s="11"/>
      <c r="BW194" s="11"/>
      <c r="BX194" s="11"/>
      <c r="BY194" s="11"/>
      <c r="BZ194" s="11"/>
      <c r="CA194" s="11"/>
      <c r="CB194" s="11"/>
    </row>
    <row r="195" ht="15.75" customHeight="1">
      <c r="BQ195" s="11"/>
      <c r="BR195" s="11"/>
      <c r="BS195" s="11"/>
      <c r="BT195" s="11"/>
      <c r="BU195" s="11"/>
      <c r="BV195" s="11"/>
      <c r="BW195" s="11"/>
      <c r="BX195" s="11"/>
      <c r="BY195" s="11"/>
      <c r="BZ195" s="11"/>
      <c r="CA195" s="11"/>
      <c r="CB195" s="11"/>
    </row>
    <row r="196" ht="15.75" customHeight="1">
      <c r="BQ196" s="11"/>
      <c r="BR196" s="11"/>
      <c r="BS196" s="11"/>
      <c r="BT196" s="11"/>
      <c r="BU196" s="11"/>
      <c r="BV196" s="11"/>
      <c r="BW196" s="11"/>
      <c r="BX196" s="11"/>
      <c r="BY196" s="11"/>
      <c r="BZ196" s="11"/>
      <c r="CA196" s="11"/>
      <c r="CB196" s="11"/>
    </row>
    <row r="197" ht="15.75" customHeight="1">
      <c r="BQ197" s="11"/>
      <c r="BR197" s="11"/>
      <c r="BS197" s="11"/>
      <c r="BT197" s="11"/>
      <c r="BU197" s="11"/>
      <c r="BV197" s="11"/>
      <c r="BW197" s="11"/>
      <c r="BX197" s="11"/>
      <c r="BY197" s="11"/>
      <c r="BZ197" s="11"/>
      <c r="CA197" s="11"/>
      <c r="CB197" s="11"/>
    </row>
    <row r="198" ht="15.75" customHeight="1">
      <c r="BQ198" s="11"/>
      <c r="BR198" s="11"/>
      <c r="BS198" s="11"/>
      <c r="BT198" s="11"/>
      <c r="BU198" s="11"/>
      <c r="BV198" s="11"/>
      <c r="BW198" s="11"/>
      <c r="BX198" s="11"/>
      <c r="BY198" s="11"/>
      <c r="BZ198" s="11"/>
      <c r="CA198" s="11"/>
      <c r="CB198" s="11"/>
    </row>
    <row r="199" ht="15.75" customHeight="1">
      <c r="BQ199" s="11"/>
      <c r="BR199" s="11"/>
      <c r="BS199" s="11"/>
      <c r="BT199" s="11"/>
      <c r="BU199" s="11"/>
      <c r="BV199" s="11"/>
      <c r="BW199" s="11"/>
      <c r="BX199" s="11"/>
      <c r="BY199" s="11"/>
      <c r="BZ199" s="11"/>
      <c r="CA199" s="11"/>
      <c r="CB199" s="11"/>
    </row>
    <row r="200" ht="15.75" customHeight="1">
      <c r="BQ200" s="11"/>
      <c r="BR200" s="11"/>
      <c r="BS200" s="11"/>
      <c r="BT200" s="11"/>
      <c r="BU200" s="11"/>
      <c r="BV200" s="11"/>
      <c r="BW200" s="11"/>
      <c r="BX200" s="11"/>
      <c r="BY200" s="11"/>
      <c r="BZ200" s="11"/>
      <c r="CA200" s="11"/>
      <c r="CB200" s="11"/>
    </row>
    <row r="201" ht="15.75" customHeight="1">
      <c r="BQ201" s="11"/>
      <c r="BR201" s="11"/>
      <c r="BS201" s="11"/>
      <c r="BT201" s="11"/>
      <c r="BU201" s="11"/>
      <c r="BV201" s="11"/>
      <c r="BW201" s="11"/>
      <c r="BX201" s="11"/>
      <c r="BY201" s="11"/>
      <c r="BZ201" s="11"/>
      <c r="CA201" s="11"/>
      <c r="CB201" s="11"/>
    </row>
    <row r="202" ht="15.75" customHeight="1">
      <c r="BQ202" s="11"/>
      <c r="BR202" s="11"/>
      <c r="BS202" s="11"/>
      <c r="BT202" s="11"/>
      <c r="BU202" s="11"/>
      <c r="BV202" s="11"/>
      <c r="BW202" s="11"/>
      <c r="BX202" s="11"/>
      <c r="BY202" s="11"/>
      <c r="BZ202" s="11"/>
      <c r="CA202" s="11"/>
      <c r="CB202" s="11"/>
    </row>
    <row r="203" ht="15.75" customHeight="1">
      <c r="BQ203" s="11"/>
      <c r="BR203" s="11"/>
      <c r="BS203" s="11"/>
      <c r="BT203" s="11"/>
      <c r="BU203" s="11"/>
      <c r="BV203" s="11"/>
      <c r="BW203" s="11"/>
      <c r="BX203" s="11"/>
      <c r="BY203" s="11"/>
      <c r="BZ203" s="11"/>
      <c r="CA203" s="11"/>
      <c r="CB203" s="11"/>
    </row>
    <row r="204" ht="15.75" customHeight="1">
      <c r="BQ204" s="11"/>
      <c r="BR204" s="11"/>
      <c r="BS204" s="11"/>
      <c r="BT204" s="11"/>
      <c r="BU204" s="11"/>
      <c r="BV204" s="11"/>
      <c r="BW204" s="11"/>
      <c r="BX204" s="11"/>
      <c r="BY204" s="11"/>
      <c r="BZ204" s="11"/>
      <c r="CA204" s="11"/>
      <c r="CB204" s="11"/>
    </row>
    <row r="205" ht="15.75" customHeight="1">
      <c r="BQ205" s="11"/>
      <c r="BR205" s="11"/>
      <c r="BS205" s="11"/>
      <c r="BT205" s="11"/>
      <c r="BU205" s="11"/>
      <c r="BV205" s="11"/>
      <c r="BW205" s="11"/>
      <c r="BX205" s="11"/>
      <c r="BY205" s="11"/>
      <c r="BZ205" s="11"/>
      <c r="CA205" s="11"/>
      <c r="CB205" s="11"/>
    </row>
    <row r="206" ht="15.75" customHeight="1">
      <c r="BQ206" s="11"/>
      <c r="BR206" s="11"/>
      <c r="BS206" s="11"/>
      <c r="BT206" s="11"/>
      <c r="BU206" s="11"/>
      <c r="BV206" s="11"/>
      <c r="BW206" s="11"/>
      <c r="BX206" s="11"/>
      <c r="BY206" s="11"/>
      <c r="BZ206" s="11"/>
      <c r="CA206" s="11"/>
      <c r="CB206" s="11"/>
    </row>
    <row r="207" ht="15.75" customHeight="1">
      <c r="BQ207" s="11"/>
      <c r="BR207" s="11"/>
      <c r="BS207" s="11"/>
      <c r="BT207" s="11"/>
      <c r="BU207" s="11"/>
      <c r="BV207" s="11"/>
      <c r="BW207" s="11"/>
      <c r="BX207" s="11"/>
      <c r="BY207" s="11"/>
      <c r="BZ207" s="11"/>
      <c r="CA207" s="11"/>
      <c r="CB207" s="11"/>
    </row>
    <row r="208" ht="15.75" customHeight="1">
      <c r="BQ208" s="11"/>
      <c r="BR208" s="11"/>
      <c r="BS208" s="11"/>
      <c r="BT208" s="11"/>
      <c r="BU208" s="11"/>
      <c r="BV208" s="11"/>
      <c r="BW208" s="11"/>
      <c r="BX208" s="11"/>
      <c r="BY208" s="11"/>
      <c r="BZ208" s="11"/>
      <c r="CA208" s="11"/>
      <c r="CB208" s="11"/>
    </row>
    <row r="209" ht="15.75" customHeight="1">
      <c r="BQ209" s="11"/>
      <c r="BR209" s="11"/>
      <c r="BS209" s="11"/>
      <c r="BT209" s="11"/>
      <c r="BU209" s="11"/>
      <c r="BV209" s="11"/>
      <c r="BW209" s="11"/>
      <c r="BX209" s="11"/>
      <c r="BY209" s="11"/>
      <c r="BZ209" s="11"/>
      <c r="CA209" s="11"/>
      <c r="CB209" s="11"/>
    </row>
    <row r="210" ht="15.75" customHeight="1">
      <c r="BQ210" s="11"/>
      <c r="BR210" s="11"/>
      <c r="BS210" s="11"/>
      <c r="BT210" s="11"/>
      <c r="BU210" s="11"/>
      <c r="BV210" s="11"/>
      <c r="BW210" s="11"/>
      <c r="BX210" s="11"/>
      <c r="BY210" s="11"/>
      <c r="BZ210" s="11"/>
      <c r="CA210" s="11"/>
      <c r="CB210" s="11"/>
    </row>
    <row r="211" ht="15.75" customHeight="1">
      <c r="BQ211" s="11"/>
      <c r="BR211" s="11"/>
      <c r="BS211" s="11"/>
      <c r="BT211" s="11"/>
      <c r="BU211" s="11"/>
      <c r="BV211" s="11"/>
      <c r="BW211" s="11"/>
      <c r="BX211" s="11"/>
      <c r="BY211" s="11"/>
      <c r="BZ211" s="11"/>
      <c r="CA211" s="11"/>
      <c r="CB211" s="11"/>
    </row>
    <row r="212" ht="15.75" customHeight="1">
      <c r="BQ212" s="11"/>
      <c r="BR212" s="11"/>
      <c r="BS212" s="11"/>
      <c r="BT212" s="11"/>
      <c r="BU212" s="11"/>
      <c r="BV212" s="11"/>
      <c r="BW212" s="11"/>
      <c r="BX212" s="11"/>
      <c r="BY212" s="11"/>
      <c r="BZ212" s="11"/>
      <c r="CA212" s="11"/>
      <c r="CB212" s="11"/>
    </row>
    <row r="213" ht="15.75" customHeight="1">
      <c r="BQ213" s="11"/>
      <c r="BR213" s="11"/>
      <c r="BS213" s="11"/>
      <c r="BT213" s="11"/>
      <c r="BU213" s="11"/>
      <c r="BV213" s="11"/>
      <c r="BW213" s="11"/>
      <c r="BX213" s="11"/>
      <c r="BY213" s="11"/>
      <c r="BZ213" s="11"/>
      <c r="CA213" s="11"/>
      <c r="CB213" s="11"/>
    </row>
    <row r="214" ht="15.75" customHeight="1">
      <c r="BQ214" s="11"/>
      <c r="BR214" s="11"/>
      <c r="BS214" s="11"/>
      <c r="BT214" s="11"/>
      <c r="BU214" s="11"/>
      <c r="BV214" s="11"/>
      <c r="BW214" s="11"/>
      <c r="BX214" s="11"/>
      <c r="BY214" s="11"/>
      <c r="BZ214" s="11"/>
      <c r="CA214" s="11"/>
      <c r="CB214" s="11"/>
    </row>
    <row r="215" ht="15.75" customHeight="1">
      <c r="BQ215" s="11"/>
      <c r="BR215" s="11"/>
      <c r="BS215" s="11"/>
      <c r="BT215" s="11"/>
      <c r="BU215" s="11"/>
      <c r="BV215" s="11"/>
      <c r="BW215" s="11"/>
      <c r="BX215" s="11"/>
      <c r="BY215" s="11"/>
      <c r="BZ215" s="11"/>
      <c r="CA215" s="11"/>
      <c r="CB215" s="11"/>
    </row>
    <row r="216" ht="15.75" customHeight="1">
      <c r="BQ216" s="11"/>
      <c r="BR216" s="11"/>
      <c r="BS216" s="11"/>
      <c r="BT216" s="11"/>
      <c r="BU216" s="11"/>
      <c r="BV216" s="11"/>
      <c r="BW216" s="11"/>
      <c r="BX216" s="11"/>
      <c r="BY216" s="11"/>
      <c r="BZ216" s="11"/>
      <c r="CA216" s="11"/>
      <c r="CB216" s="11"/>
    </row>
    <row r="217" ht="15.75" customHeight="1">
      <c r="BQ217" s="11"/>
      <c r="BR217" s="11"/>
      <c r="BS217" s="11"/>
      <c r="BT217" s="11"/>
      <c r="BU217" s="11"/>
      <c r="BV217" s="11"/>
      <c r="BW217" s="11"/>
      <c r="BX217" s="11"/>
      <c r="BY217" s="11"/>
      <c r="BZ217" s="11"/>
      <c r="CA217" s="11"/>
      <c r="CB217" s="11"/>
    </row>
    <row r="218" ht="15.75" customHeight="1">
      <c r="BQ218" s="11"/>
      <c r="BR218" s="11"/>
      <c r="BS218" s="11"/>
      <c r="BT218" s="11"/>
      <c r="BU218" s="11"/>
      <c r="BV218" s="11"/>
      <c r="BW218" s="11"/>
      <c r="BX218" s="11"/>
      <c r="BY218" s="11"/>
      <c r="BZ218" s="11"/>
      <c r="CA218" s="11"/>
      <c r="CB218" s="11"/>
    </row>
    <row r="219" ht="15.75" customHeight="1">
      <c r="BQ219" s="11"/>
      <c r="BR219" s="11"/>
      <c r="BS219" s="11"/>
      <c r="BT219" s="11"/>
      <c r="BU219" s="11"/>
      <c r="BV219" s="11"/>
      <c r="BW219" s="11"/>
      <c r="BX219" s="11"/>
      <c r="BY219" s="11"/>
      <c r="BZ219" s="11"/>
      <c r="CA219" s="11"/>
      <c r="CB219" s="11"/>
    </row>
    <row r="220" ht="15.75" customHeight="1">
      <c r="BQ220" s="11"/>
      <c r="BR220" s="11"/>
      <c r="BS220" s="11"/>
      <c r="BT220" s="11"/>
      <c r="BU220" s="11"/>
      <c r="BV220" s="11"/>
      <c r="BW220" s="11"/>
      <c r="BX220" s="11"/>
      <c r="BY220" s="11"/>
      <c r="BZ220" s="11"/>
      <c r="CA220" s="11"/>
      <c r="CB220" s="11"/>
    </row>
    <row r="221" ht="15.75" customHeight="1">
      <c r="BQ221" s="11"/>
      <c r="BR221" s="11"/>
      <c r="BS221" s="11"/>
      <c r="BT221" s="11"/>
      <c r="BU221" s="11"/>
      <c r="BV221" s="11"/>
      <c r="BW221" s="11"/>
      <c r="BX221" s="11"/>
      <c r="BY221" s="11"/>
      <c r="BZ221" s="11"/>
      <c r="CA221" s="11"/>
      <c r="CB221" s="11"/>
    </row>
    <row r="222" ht="15.75" customHeight="1">
      <c r="BQ222" s="11"/>
      <c r="BR222" s="11"/>
      <c r="BS222" s="11"/>
      <c r="BT222" s="11"/>
      <c r="BU222" s="11"/>
      <c r="BV222" s="11"/>
      <c r="BW222" s="11"/>
      <c r="BX222" s="11"/>
      <c r="BY222" s="11"/>
      <c r="BZ222" s="11"/>
      <c r="CA222" s="11"/>
      <c r="CB222" s="11"/>
    </row>
    <row r="223" ht="15.75" customHeight="1">
      <c r="BQ223" s="11"/>
      <c r="BR223" s="11"/>
      <c r="BS223" s="11"/>
      <c r="BT223" s="11"/>
      <c r="BU223" s="11"/>
      <c r="BV223" s="11"/>
      <c r="BW223" s="11"/>
      <c r="BX223" s="11"/>
      <c r="BY223" s="11"/>
      <c r="BZ223" s="11"/>
      <c r="CA223" s="11"/>
      <c r="CB223" s="11"/>
    </row>
    <row r="224" ht="15.75" customHeight="1">
      <c r="BQ224" s="11"/>
      <c r="BR224" s="11"/>
      <c r="BS224" s="11"/>
      <c r="BT224" s="11"/>
      <c r="BU224" s="11"/>
      <c r="BV224" s="11"/>
      <c r="BW224" s="11"/>
      <c r="BX224" s="11"/>
      <c r="BY224" s="11"/>
      <c r="BZ224" s="11"/>
      <c r="CA224" s="11"/>
      <c r="CB224" s="11"/>
    </row>
    <row r="225" ht="15.75" customHeight="1">
      <c r="BQ225" s="11"/>
      <c r="BR225" s="11"/>
      <c r="BS225" s="11"/>
      <c r="BT225" s="11"/>
      <c r="BU225" s="11"/>
      <c r="BV225" s="11"/>
      <c r="BW225" s="11"/>
      <c r="BX225" s="11"/>
      <c r="BY225" s="11"/>
      <c r="BZ225" s="11"/>
      <c r="CA225" s="11"/>
      <c r="CB225" s="11"/>
    </row>
    <row r="226" ht="15.75" customHeight="1">
      <c r="BQ226" s="11"/>
      <c r="BR226" s="11"/>
      <c r="BS226" s="11"/>
      <c r="BT226" s="11"/>
      <c r="BU226" s="11"/>
      <c r="BV226" s="11"/>
      <c r="BW226" s="11"/>
      <c r="BX226" s="11"/>
      <c r="BY226" s="11"/>
      <c r="BZ226" s="11"/>
      <c r="CA226" s="11"/>
      <c r="CB226" s="11"/>
    </row>
    <row r="227" ht="15.75" customHeight="1">
      <c r="BQ227" s="11"/>
      <c r="BR227" s="11"/>
      <c r="BS227" s="11"/>
      <c r="BT227" s="11"/>
      <c r="BU227" s="11"/>
      <c r="BV227" s="11"/>
      <c r="BW227" s="11"/>
      <c r="BX227" s="11"/>
      <c r="BY227" s="11"/>
      <c r="BZ227" s="11"/>
      <c r="CA227" s="11"/>
      <c r="CB227" s="11"/>
    </row>
    <row r="228" ht="15.75" customHeight="1">
      <c r="BQ228" s="11"/>
      <c r="BR228" s="11"/>
      <c r="BS228" s="11"/>
      <c r="BT228" s="11"/>
      <c r="BU228" s="11"/>
      <c r="BV228" s="11"/>
      <c r="BW228" s="11"/>
      <c r="BX228" s="11"/>
      <c r="BY228" s="11"/>
      <c r="BZ228" s="11"/>
      <c r="CA228" s="11"/>
      <c r="CB228" s="11"/>
    </row>
    <row r="229" ht="15.75" customHeight="1">
      <c r="BQ229" s="11"/>
      <c r="BR229" s="11"/>
      <c r="BS229" s="11"/>
      <c r="BT229" s="11"/>
      <c r="BU229" s="11"/>
      <c r="BV229" s="11"/>
      <c r="BW229" s="11"/>
      <c r="BX229" s="11"/>
      <c r="BY229" s="11"/>
      <c r="BZ229" s="11"/>
      <c r="CA229" s="11"/>
      <c r="CB229" s="11"/>
    </row>
    <row r="230" ht="15.75" customHeight="1">
      <c r="BQ230" s="11"/>
      <c r="BR230" s="11"/>
      <c r="BS230" s="11"/>
      <c r="BT230" s="11"/>
      <c r="BU230" s="11"/>
      <c r="BV230" s="11"/>
      <c r="BW230" s="11"/>
      <c r="BX230" s="11"/>
      <c r="BY230" s="11"/>
      <c r="BZ230" s="11"/>
      <c r="CA230" s="11"/>
      <c r="CB230" s="11"/>
    </row>
    <row r="231" ht="15.75" customHeight="1">
      <c r="BQ231" s="11"/>
      <c r="BR231" s="11"/>
      <c r="BS231" s="11"/>
      <c r="BT231" s="11"/>
      <c r="BU231" s="11"/>
      <c r="BV231" s="11"/>
      <c r="BW231" s="11"/>
      <c r="BX231" s="11"/>
      <c r="BY231" s="11"/>
      <c r="BZ231" s="11"/>
      <c r="CA231" s="11"/>
      <c r="CB231" s="11"/>
    </row>
    <row r="232" ht="15.75" customHeight="1">
      <c r="BQ232" s="11"/>
      <c r="BR232" s="11"/>
      <c r="BS232" s="11"/>
      <c r="BT232" s="11"/>
      <c r="BU232" s="11"/>
      <c r="BV232" s="11"/>
      <c r="BW232" s="11"/>
      <c r="BX232" s="11"/>
      <c r="BY232" s="11"/>
      <c r="BZ232" s="11"/>
      <c r="CA232" s="11"/>
      <c r="CB232" s="11"/>
    </row>
    <row r="233" ht="15.75" customHeight="1">
      <c r="BQ233" s="11"/>
      <c r="BR233" s="11"/>
      <c r="BS233" s="11"/>
      <c r="BT233" s="11"/>
      <c r="BU233" s="11"/>
      <c r="BV233" s="11"/>
      <c r="BW233" s="11"/>
      <c r="BX233" s="11"/>
      <c r="BY233" s="11"/>
      <c r="BZ233" s="11"/>
      <c r="CA233" s="11"/>
      <c r="CB233" s="11"/>
    </row>
    <row r="234" ht="15.75" customHeight="1">
      <c r="BQ234" s="11"/>
      <c r="BR234" s="11"/>
      <c r="BS234" s="11"/>
      <c r="BT234" s="11"/>
      <c r="BU234" s="11"/>
      <c r="BV234" s="11"/>
      <c r="BW234" s="11"/>
      <c r="BX234" s="11"/>
      <c r="BY234" s="11"/>
      <c r="BZ234" s="11"/>
      <c r="CA234" s="11"/>
      <c r="CB234" s="11"/>
    </row>
    <row r="235" ht="15.75" customHeight="1">
      <c r="BQ235" s="11"/>
      <c r="BR235" s="11"/>
      <c r="BS235" s="11"/>
      <c r="BT235" s="11"/>
      <c r="BU235" s="11"/>
      <c r="BV235" s="11"/>
      <c r="BW235" s="11"/>
      <c r="BX235" s="11"/>
      <c r="BY235" s="11"/>
      <c r="BZ235" s="11"/>
      <c r="CA235" s="11"/>
      <c r="CB235" s="11"/>
    </row>
    <row r="236" ht="15.75" customHeight="1">
      <c r="BQ236" s="11"/>
      <c r="BR236" s="11"/>
      <c r="BS236" s="11"/>
      <c r="BT236" s="11"/>
      <c r="BU236" s="11"/>
      <c r="BV236" s="11"/>
      <c r="BW236" s="11"/>
      <c r="BX236" s="11"/>
      <c r="BY236" s="11"/>
      <c r="BZ236" s="11"/>
      <c r="CA236" s="11"/>
      <c r="CB236" s="11"/>
    </row>
    <row r="237" ht="15.75" customHeight="1">
      <c r="BQ237" s="11"/>
      <c r="BR237" s="11"/>
      <c r="BS237" s="11"/>
      <c r="BT237" s="11"/>
      <c r="BU237" s="11"/>
      <c r="BV237" s="11"/>
      <c r="BW237" s="11"/>
      <c r="BX237" s="11"/>
      <c r="BY237" s="11"/>
      <c r="BZ237" s="11"/>
      <c r="CA237" s="11"/>
      <c r="CB237" s="11"/>
    </row>
    <row r="238" ht="15.75" customHeight="1">
      <c r="BQ238" s="11"/>
      <c r="BR238" s="11"/>
      <c r="BS238" s="11"/>
      <c r="BT238" s="11"/>
      <c r="BU238" s="11"/>
      <c r="BV238" s="11"/>
      <c r="BW238" s="11"/>
      <c r="BX238" s="11"/>
      <c r="BY238" s="11"/>
      <c r="BZ238" s="11"/>
      <c r="CA238" s="11"/>
      <c r="CB238" s="11"/>
    </row>
    <row r="239" ht="15.75" customHeight="1">
      <c r="BQ239" s="11"/>
      <c r="BR239" s="11"/>
      <c r="BS239" s="11"/>
      <c r="BT239" s="11"/>
      <c r="BU239" s="11"/>
      <c r="BV239" s="11"/>
      <c r="BW239" s="11"/>
      <c r="BX239" s="11"/>
      <c r="BY239" s="11"/>
      <c r="BZ239" s="11"/>
      <c r="CA239" s="11"/>
      <c r="CB239" s="11"/>
    </row>
    <row r="240" ht="15.75" customHeight="1">
      <c r="BQ240" s="11"/>
      <c r="BR240" s="11"/>
      <c r="BS240" s="11"/>
      <c r="BT240" s="11"/>
      <c r="BU240" s="11"/>
      <c r="BV240" s="11"/>
      <c r="BW240" s="11"/>
      <c r="BX240" s="11"/>
      <c r="BY240" s="11"/>
      <c r="BZ240" s="11"/>
      <c r="CA240" s="11"/>
      <c r="CB240" s="11"/>
    </row>
    <row r="241" ht="15.75" customHeight="1">
      <c r="BQ241" s="11"/>
      <c r="BR241" s="11"/>
      <c r="BS241" s="11"/>
      <c r="BT241" s="11"/>
      <c r="BU241" s="11"/>
      <c r="BV241" s="11"/>
      <c r="BW241" s="11"/>
      <c r="BX241" s="11"/>
      <c r="BY241" s="11"/>
      <c r="BZ241" s="11"/>
      <c r="CA241" s="11"/>
      <c r="CB241" s="11"/>
    </row>
    <row r="242" ht="15.75" customHeight="1">
      <c r="BQ242" s="11"/>
      <c r="BR242" s="11"/>
      <c r="BS242" s="11"/>
      <c r="BT242" s="11"/>
      <c r="BU242" s="11"/>
      <c r="BV242" s="11"/>
      <c r="BW242" s="11"/>
      <c r="BX242" s="11"/>
      <c r="BY242" s="11"/>
      <c r="BZ242" s="11"/>
      <c r="CA242" s="11"/>
      <c r="CB242" s="11"/>
    </row>
    <row r="243" ht="15.75" customHeight="1">
      <c r="BQ243" s="11"/>
      <c r="BR243" s="11"/>
      <c r="BS243" s="11"/>
      <c r="BT243" s="11"/>
      <c r="BU243" s="11"/>
      <c r="BV243" s="11"/>
      <c r="BW243" s="11"/>
      <c r="BX243" s="11"/>
      <c r="BY243" s="11"/>
      <c r="BZ243" s="11"/>
      <c r="CA243" s="11"/>
      <c r="CB243" s="11"/>
    </row>
    <row r="244" ht="15.75" customHeight="1">
      <c r="BQ244" s="11"/>
      <c r="BR244" s="11"/>
      <c r="BS244" s="11"/>
      <c r="BT244" s="11"/>
      <c r="BU244" s="11"/>
      <c r="BV244" s="11"/>
      <c r="BW244" s="11"/>
      <c r="BX244" s="11"/>
      <c r="BY244" s="11"/>
      <c r="BZ244" s="11"/>
      <c r="CA244" s="11"/>
      <c r="CB244" s="11"/>
    </row>
    <row r="245" ht="15.75" customHeight="1">
      <c r="BQ245" s="11"/>
      <c r="BR245" s="11"/>
      <c r="BS245" s="11"/>
      <c r="BT245" s="11"/>
      <c r="BU245" s="11"/>
      <c r="BV245" s="11"/>
      <c r="BW245" s="11"/>
      <c r="BX245" s="11"/>
      <c r="BY245" s="11"/>
      <c r="BZ245" s="11"/>
      <c r="CA245" s="11"/>
      <c r="CB245" s="11"/>
    </row>
    <row r="246" ht="15.75" customHeight="1">
      <c r="BQ246" s="11"/>
      <c r="BR246" s="11"/>
      <c r="BS246" s="11"/>
      <c r="BT246" s="11"/>
      <c r="BU246" s="11"/>
      <c r="BV246" s="11"/>
      <c r="BW246" s="11"/>
      <c r="BX246" s="11"/>
      <c r="BY246" s="11"/>
      <c r="BZ246" s="11"/>
      <c r="CA246" s="11"/>
      <c r="CB246" s="11"/>
    </row>
    <row r="247" ht="15.75" customHeight="1">
      <c r="BQ247" s="11"/>
      <c r="BR247" s="11"/>
      <c r="BS247" s="11"/>
      <c r="BT247" s="11"/>
      <c r="BU247" s="11"/>
      <c r="BV247" s="11"/>
      <c r="BW247" s="11"/>
      <c r="BX247" s="11"/>
      <c r="BY247" s="11"/>
      <c r="BZ247" s="11"/>
      <c r="CA247" s="11"/>
      <c r="CB247" s="11"/>
    </row>
    <row r="248" ht="15.75" customHeight="1">
      <c r="BQ248" s="11"/>
      <c r="BR248" s="11"/>
      <c r="BS248" s="11"/>
      <c r="BT248" s="11"/>
      <c r="BU248" s="11"/>
      <c r="BV248" s="11"/>
      <c r="BW248" s="11"/>
      <c r="BX248" s="11"/>
      <c r="BY248" s="11"/>
      <c r="BZ248" s="11"/>
      <c r="CA248" s="11"/>
      <c r="CB248" s="11"/>
    </row>
    <row r="249" ht="15.75" customHeight="1">
      <c r="BQ249" s="11"/>
      <c r="BR249" s="11"/>
      <c r="BS249" s="11"/>
      <c r="BT249" s="11"/>
      <c r="BU249" s="11"/>
      <c r="BV249" s="11"/>
      <c r="BW249" s="11"/>
      <c r="BX249" s="11"/>
      <c r="BY249" s="11"/>
      <c r="BZ249" s="11"/>
      <c r="CA249" s="11"/>
      <c r="CB249" s="11"/>
    </row>
    <row r="250" ht="15.75" customHeight="1">
      <c r="BQ250" s="11"/>
      <c r="BR250" s="11"/>
      <c r="BS250" s="11"/>
      <c r="BT250" s="11"/>
      <c r="BU250" s="11"/>
      <c r="BV250" s="11"/>
      <c r="BW250" s="11"/>
      <c r="BX250" s="11"/>
      <c r="BY250" s="11"/>
      <c r="BZ250" s="11"/>
      <c r="CA250" s="11"/>
      <c r="CB250" s="11"/>
    </row>
    <row r="251" ht="15.75" customHeight="1">
      <c r="BQ251" s="11"/>
      <c r="BR251" s="11"/>
      <c r="BS251" s="11"/>
      <c r="BT251" s="11"/>
      <c r="BU251" s="11"/>
      <c r="BV251" s="11"/>
      <c r="BW251" s="11"/>
      <c r="BX251" s="11"/>
      <c r="BY251" s="11"/>
      <c r="BZ251" s="11"/>
      <c r="CA251" s="11"/>
      <c r="CB251" s="11"/>
    </row>
    <row r="252" ht="15.75" customHeight="1">
      <c r="BQ252" s="11"/>
      <c r="BR252" s="11"/>
      <c r="BS252" s="11"/>
      <c r="BT252" s="11"/>
      <c r="BU252" s="11"/>
      <c r="BV252" s="11"/>
      <c r="BW252" s="11"/>
      <c r="BX252" s="11"/>
      <c r="BY252" s="11"/>
      <c r="BZ252" s="11"/>
      <c r="CA252" s="11"/>
      <c r="CB252" s="11"/>
    </row>
    <row r="253" ht="15.75" customHeight="1">
      <c r="BQ253" s="11"/>
      <c r="BR253" s="11"/>
      <c r="BS253" s="11"/>
      <c r="BT253" s="11"/>
      <c r="BU253" s="11"/>
      <c r="BV253" s="11"/>
      <c r="BW253" s="11"/>
      <c r="BX253" s="11"/>
      <c r="BY253" s="11"/>
      <c r="BZ253" s="11"/>
      <c r="CA253" s="11"/>
      <c r="CB253" s="11"/>
    </row>
    <row r="254" ht="15.75" customHeight="1">
      <c r="BQ254" s="11"/>
      <c r="BR254" s="11"/>
      <c r="BS254" s="11"/>
      <c r="BT254" s="11"/>
      <c r="BU254" s="11"/>
      <c r="BV254" s="11"/>
      <c r="BW254" s="11"/>
      <c r="BX254" s="11"/>
      <c r="BY254" s="11"/>
      <c r="BZ254" s="11"/>
      <c r="CA254" s="11"/>
      <c r="CB254" s="11"/>
    </row>
    <row r="255" ht="15.75" customHeight="1">
      <c r="BQ255" s="11"/>
      <c r="BR255" s="11"/>
      <c r="BS255" s="11"/>
      <c r="BT255" s="11"/>
      <c r="BU255" s="11"/>
      <c r="BV255" s="11"/>
      <c r="BW255" s="11"/>
      <c r="BX255" s="11"/>
      <c r="BY255" s="11"/>
      <c r="BZ255" s="11"/>
      <c r="CA255" s="11"/>
      <c r="CB255" s="11"/>
    </row>
    <row r="256" ht="15.75" customHeight="1">
      <c r="BQ256" s="11"/>
      <c r="BR256" s="11"/>
      <c r="BS256" s="11"/>
      <c r="BT256" s="11"/>
      <c r="BU256" s="11"/>
      <c r="BV256" s="11"/>
      <c r="BW256" s="11"/>
      <c r="BX256" s="11"/>
      <c r="BY256" s="11"/>
      <c r="BZ256" s="11"/>
      <c r="CA256" s="11"/>
      <c r="CB256" s="11"/>
    </row>
    <row r="257" ht="15.75" customHeight="1">
      <c r="BQ257" s="11"/>
      <c r="BR257" s="11"/>
      <c r="BS257" s="11"/>
      <c r="BT257" s="11"/>
      <c r="BU257" s="11"/>
      <c r="BV257" s="11"/>
      <c r="BW257" s="11"/>
      <c r="BX257" s="11"/>
      <c r="BY257" s="11"/>
      <c r="BZ257" s="11"/>
      <c r="CA257" s="11"/>
      <c r="CB257" s="11"/>
    </row>
    <row r="258" ht="15.75" customHeight="1">
      <c r="BQ258" s="11"/>
      <c r="BR258" s="11"/>
      <c r="BS258" s="11"/>
      <c r="BT258" s="11"/>
      <c r="BU258" s="11"/>
      <c r="BV258" s="11"/>
      <c r="BW258" s="11"/>
      <c r="BX258" s="11"/>
      <c r="BY258" s="11"/>
      <c r="BZ258" s="11"/>
      <c r="CA258" s="11"/>
      <c r="CB258" s="11"/>
    </row>
    <row r="259" ht="15.75" customHeight="1">
      <c r="BQ259" s="11"/>
      <c r="BR259" s="11"/>
      <c r="BS259" s="11"/>
      <c r="BT259" s="11"/>
      <c r="BU259" s="11"/>
      <c r="BV259" s="11"/>
      <c r="BW259" s="11"/>
      <c r="BX259" s="11"/>
      <c r="BY259" s="11"/>
      <c r="BZ259" s="11"/>
      <c r="CA259" s="11"/>
      <c r="CB259" s="11"/>
    </row>
    <row r="260" ht="15.75" customHeight="1">
      <c r="BQ260" s="11"/>
      <c r="BR260" s="11"/>
      <c r="BS260" s="11"/>
      <c r="BT260" s="11"/>
      <c r="BU260" s="11"/>
      <c r="BV260" s="11"/>
      <c r="BW260" s="11"/>
      <c r="BX260" s="11"/>
      <c r="BY260" s="11"/>
      <c r="BZ260" s="11"/>
      <c r="CA260" s="11"/>
      <c r="CB260" s="11"/>
    </row>
    <row r="261" ht="15.75" customHeight="1">
      <c r="BQ261" s="11"/>
      <c r="BR261" s="11"/>
      <c r="BS261" s="11"/>
      <c r="BT261" s="11"/>
      <c r="BU261" s="11"/>
      <c r="BV261" s="11"/>
      <c r="BW261" s="11"/>
      <c r="BX261" s="11"/>
      <c r="BY261" s="11"/>
      <c r="BZ261" s="11"/>
      <c r="CA261" s="11"/>
      <c r="CB261" s="11"/>
    </row>
    <row r="262" ht="15.75" customHeight="1">
      <c r="BQ262" s="11"/>
      <c r="BR262" s="11"/>
      <c r="BS262" s="11"/>
      <c r="BT262" s="11"/>
      <c r="BU262" s="11"/>
      <c r="BV262" s="11"/>
      <c r="BW262" s="11"/>
      <c r="BX262" s="11"/>
      <c r="BY262" s="11"/>
      <c r="BZ262" s="11"/>
      <c r="CA262" s="11"/>
      <c r="CB262" s="11"/>
    </row>
    <row r="263" ht="15.75" customHeight="1">
      <c r="BQ263" s="11"/>
      <c r="BR263" s="11"/>
      <c r="BS263" s="11"/>
      <c r="BT263" s="11"/>
      <c r="BU263" s="11"/>
      <c r="BV263" s="11"/>
      <c r="BW263" s="11"/>
      <c r="BX263" s="11"/>
      <c r="BY263" s="11"/>
      <c r="BZ263" s="11"/>
      <c r="CA263" s="11"/>
      <c r="CB263" s="11"/>
    </row>
    <row r="264" ht="15.75" customHeight="1">
      <c r="BQ264" s="11"/>
      <c r="BR264" s="11"/>
      <c r="BS264" s="11"/>
      <c r="BT264" s="11"/>
      <c r="BU264" s="11"/>
      <c r="BV264" s="11"/>
      <c r="BW264" s="11"/>
      <c r="BX264" s="11"/>
      <c r="BY264" s="11"/>
      <c r="BZ264" s="11"/>
      <c r="CA264" s="11"/>
      <c r="CB264" s="11"/>
    </row>
    <row r="265" ht="15.75" customHeight="1">
      <c r="BQ265" s="11"/>
      <c r="BR265" s="11"/>
      <c r="BS265" s="11"/>
      <c r="BT265" s="11"/>
      <c r="BU265" s="11"/>
      <c r="BV265" s="11"/>
      <c r="BW265" s="11"/>
      <c r="BX265" s="11"/>
      <c r="BY265" s="11"/>
      <c r="BZ265" s="11"/>
      <c r="CA265" s="11"/>
      <c r="CB265" s="11"/>
    </row>
    <row r="266" ht="15.75" customHeight="1">
      <c r="BQ266" s="11"/>
      <c r="BR266" s="11"/>
      <c r="BS266" s="11"/>
      <c r="BT266" s="11"/>
      <c r="BU266" s="11"/>
      <c r="BV266" s="11"/>
      <c r="BW266" s="11"/>
      <c r="BX266" s="11"/>
      <c r="BY266" s="11"/>
      <c r="BZ266" s="11"/>
      <c r="CA266" s="11"/>
      <c r="CB266" s="11"/>
    </row>
    <row r="267" ht="15.75" customHeight="1">
      <c r="BQ267" s="11"/>
      <c r="BR267" s="11"/>
      <c r="BS267" s="11"/>
      <c r="BT267" s="11"/>
      <c r="BU267" s="11"/>
      <c r="BV267" s="11"/>
      <c r="BW267" s="11"/>
      <c r="BX267" s="11"/>
      <c r="BY267" s="11"/>
      <c r="BZ267" s="11"/>
      <c r="CA267" s="11"/>
      <c r="CB267" s="11"/>
    </row>
    <row r="268" ht="15.75" customHeight="1">
      <c r="BQ268" s="11"/>
      <c r="BR268" s="11"/>
      <c r="BS268" s="11"/>
      <c r="BT268" s="11"/>
      <c r="BU268" s="11"/>
      <c r="BV268" s="11"/>
      <c r="BW268" s="11"/>
      <c r="BX268" s="11"/>
      <c r="BY268" s="11"/>
      <c r="BZ268" s="11"/>
      <c r="CA268" s="11"/>
      <c r="CB268" s="11"/>
    </row>
    <row r="269" ht="15.75" customHeight="1">
      <c r="BQ269" s="11"/>
      <c r="BR269" s="11"/>
      <c r="BS269" s="11"/>
      <c r="BT269" s="11"/>
      <c r="BU269" s="11"/>
      <c r="BV269" s="11"/>
      <c r="BW269" s="11"/>
      <c r="BX269" s="11"/>
      <c r="BY269" s="11"/>
      <c r="BZ269" s="11"/>
      <c r="CA269" s="11"/>
      <c r="CB269" s="11"/>
    </row>
    <row r="270" ht="15.75" customHeight="1">
      <c r="BQ270" s="11"/>
      <c r="BR270" s="11"/>
      <c r="BS270" s="11"/>
      <c r="BT270" s="11"/>
      <c r="BU270" s="11"/>
      <c r="BV270" s="11"/>
      <c r="BW270" s="11"/>
      <c r="BX270" s="11"/>
      <c r="BY270" s="11"/>
      <c r="BZ270" s="11"/>
      <c r="CA270" s="11"/>
      <c r="CB270" s="11"/>
    </row>
    <row r="271" ht="15.75" customHeight="1">
      <c r="BQ271" s="11"/>
      <c r="BR271" s="11"/>
      <c r="BS271" s="11"/>
      <c r="BT271" s="11"/>
      <c r="BU271" s="11"/>
      <c r="BV271" s="11"/>
      <c r="BW271" s="11"/>
      <c r="BX271" s="11"/>
      <c r="BY271" s="11"/>
      <c r="BZ271" s="11"/>
      <c r="CA271" s="11"/>
      <c r="CB271" s="11"/>
    </row>
    <row r="272" ht="15.75" customHeight="1">
      <c r="BQ272" s="11"/>
      <c r="BR272" s="11"/>
      <c r="BS272" s="11"/>
      <c r="BT272" s="11"/>
      <c r="BU272" s="11"/>
      <c r="BV272" s="11"/>
      <c r="BW272" s="11"/>
      <c r="BX272" s="11"/>
      <c r="BY272" s="11"/>
      <c r="BZ272" s="11"/>
      <c r="CA272" s="11"/>
      <c r="CB272" s="11"/>
    </row>
    <row r="273" ht="15.75" customHeight="1">
      <c r="BQ273" s="11"/>
      <c r="BR273" s="11"/>
      <c r="BS273" s="11"/>
      <c r="BT273" s="11"/>
      <c r="BU273" s="11"/>
      <c r="BV273" s="11"/>
      <c r="BW273" s="11"/>
      <c r="BX273" s="11"/>
      <c r="BY273" s="11"/>
      <c r="BZ273" s="11"/>
      <c r="CA273" s="11"/>
      <c r="CB273" s="11"/>
    </row>
    <row r="274" ht="15.75" customHeight="1">
      <c r="BQ274" s="11"/>
      <c r="BR274" s="11"/>
      <c r="BS274" s="11"/>
      <c r="BT274" s="11"/>
      <c r="BU274" s="11"/>
      <c r="BV274" s="11"/>
      <c r="BW274" s="11"/>
      <c r="BX274" s="11"/>
      <c r="BY274" s="11"/>
      <c r="BZ274" s="11"/>
      <c r="CA274" s="11"/>
      <c r="CB274" s="11"/>
    </row>
    <row r="275" ht="15.75" customHeight="1">
      <c r="BQ275" s="11"/>
      <c r="BR275" s="11"/>
      <c r="BS275" s="11"/>
      <c r="BT275" s="11"/>
      <c r="BU275" s="11"/>
      <c r="BV275" s="11"/>
      <c r="BW275" s="11"/>
      <c r="BX275" s="11"/>
      <c r="BY275" s="11"/>
      <c r="BZ275" s="11"/>
      <c r="CA275" s="11"/>
      <c r="CB275" s="11"/>
    </row>
    <row r="276" ht="15.75" customHeight="1">
      <c r="BQ276" s="11"/>
      <c r="BR276" s="11"/>
      <c r="BS276" s="11"/>
      <c r="BT276" s="11"/>
      <c r="BU276" s="11"/>
      <c r="BV276" s="11"/>
      <c r="BW276" s="11"/>
      <c r="BX276" s="11"/>
      <c r="BY276" s="11"/>
      <c r="BZ276" s="11"/>
      <c r="CA276" s="11"/>
      <c r="CB276" s="11"/>
    </row>
    <row r="277" ht="15.75" customHeight="1">
      <c r="BQ277" s="11"/>
      <c r="BR277" s="11"/>
      <c r="BS277" s="11"/>
      <c r="BT277" s="11"/>
      <c r="BU277" s="11"/>
      <c r="BV277" s="11"/>
      <c r="BW277" s="11"/>
      <c r="BX277" s="11"/>
      <c r="BY277" s="11"/>
      <c r="BZ277" s="11"/>
      <c r="CA277" s="11"/>
      <c r="CB277" s="11"/>
    </row>
    <row r="278" ht="15.75" customHeight="1">
      <c r="BQ278" s="11"/>
      <c r="BR278" s="11"/>
      <c r="BS278" s="11"/>
      <c r="BT278" s="11"/>
      <c r="BU278" s="11"/>
      <c r="BV278" s="11"/>
      <c r="BW278" s="11"/>
      <c r="BX278" s="11"/>
      <c r="BY278" s="11"/>
      <c r="BZ278" s="11"/>
      <c r="CA278" s="11"/>
      <c r="CB278" s="11"/>
    </row>
    <row r="279" ht="15.75" customHeight="1">
      <c r="BQ279" s="11"/>
      <c r="BR279" s="11"/>
      <c r="BS279" s="11"/>
      <c r="BT279" s="11"/>
      <c r="BU279" s="11"/>
      <c r="BV279" s="11"/>
      <c r="BW279" s="11"/>
      <c r="BX279" s="11"/>
      <c r="BY279" s="11"/>
      <c r="BZ279" s="11"/>
      <c r="CA279" s="11"/>
      <c r="CB279" s="11"/>
    </row>
    <row r="280" ht="15.75" customHeight="1">
      <c r="BQ280" s="11"/>
      <c r="BR280" s="11"/>
      <c r="BS280" s="11"/>
      <c r="BT280" s="11"/>
      <c r="BU280" s="11"/>
      <c r="BV280" s="11"/>
      <c r="BW280" s="11"/>
      <c r="BX280" s="11"/>
      <c r="BY280" s="11"/>
      <c r="BZ280" s="11"/>
      <c r="CA280" s="11"/>
      <c r="CB280" s="11"/>
    </row>
    <row r="281" ht="15.75" customHeight="1">
      <c r="BQ281" s="11"/>
      <c r="BR281" s="11"/>
      <c r="BS281" s="11"/>
      <c r="BT281" s="11"/>
      <c r="BU281" s="11"/>
      <c r="BV281" s="11"/>
      <c r="BW281" s="11"/>
      <c r="BX281" s="11"/>
      <c r="BY281" s="11"/>
      <c r="BZ281" s="11"/>
      <c r="CA281" s="11"/>
      <c r="CB281" s="11"/>
    </row>
    <row r="282" ht="15.75" customHeight="1">
      <c r="BQ282" s="11"/>
      <c r="BR282" s="11"/>
      <c r="BS282" s="11"/>
      <c r="BT282" s="11"/>
      <c r="BU282" s="11"/>
      <c r="BV282" s="11"/>
      <c r="BW282" s="11"/>
      <c r="BX282" s="11"/>
      <c r="BY282" s="11"/>
      <c r="BZ282" s="11"/>
      <c r="CA282" s="11"/>
      <c r="CB282" s="11"/>
    </row>
    <row r="283" ht="15.75" customHeight="1">
      <c r="BQ283" s="11"/>
      <c r="BR283" s="11"/>
      <c r="BS283" s="11"/>
      <c r="BT283" s="11"/>
      <c r="BU283" s="11"/>
      <c r="BV283" s="11"/>
      <c r="BW283" s="11"/>
      <c r="BX283" s="11"/>
      <c r="BY283" s="11"/>
      <c r="BZ283" s="11"/>
      <c r="CA283" s="11"/>
      <c r="CB283" s="11"/>
    </row>
    <row r="284" ht="15.75" customHeight="1">
      <c r="BQ284" s="11"/>
      <c r="BR284" s="11"/>
      <c r="BS284" s="11"/>
      <c r="BT284" s="11"/>
      <c r="BU284" s="11"/>
      <c r="BV284" s="11"/>
      <c r="BW284" s="11"/>
      <c r="BX284" s="11"/>
      <c r="BY284" s="11"/>
      <c r="BZ284" s="11"/>
      <c r="CA284" s="11"/>
      <c r="CB284" s="11"/>
    </row>
    <row r="285" ht="15.75" customHeight="1">
      <c r="BQ285" s="11"/>
      <c r="BR285" s="11"/>
      <c r="BS285" s="11"/>
      <c r="BT285" s="11"/>
      <c r="BU285" s="11"/>
      <c r="BV285" s="11"/>
      <c r="BW285" s="11"/>
      <c r="BX285" s="11"/>
      <c r="BY285" s="11"/>
      <c r="BZ285" s="11"/>
      <c r="CA285" s="11"/>
      <c r="CB285" s="11"/>
    </row>
    <row r="286" ht="15.75" customHeight="1">
      <c r="BQ286" s="11"/>
      <c r="BR286" s="11"/>
      <c r="BS286" s="11"/>
      <c r="BT286" s="11"/>
      <c r="BU286" s="11"/>
      <c r="BV286" s="11"/>
      <c r="BW286" s="11"/>
      <c r="BX286" s="11"/>
      <c r="BY286" s="11"/>
      <c r="BZ286" s="11"/>
      <c r="CA286" s="11"/>
      <c r="CB286" s="11"/>
    </row>
    <row r="287" ht="15.75" customHeight="1">
      <c r="BQ287" s="11"/>
      <c r="BR287" s="11"/>
      <c r="BS287" s="11"/>
      <c r="BT287" s="11"/>
      <c r="BU287" s="11"/>
      <c r="BV287" s="11"/>
      <c r="BW287" s="11"/>
      <c r="BX287" s="11"/>
      <c r="BY287" s="11"/>
      <c r="BZ287" s="11"/>
      <c r="CA287" s="11"/>
      <c r="CB287" s="11"/>
    </row>
    <row r="288" ht="15.75" customHeight="1">
      <c r="BQ288" s="11"/>
      <c r="BR288" s="11"/>
      <c r="BS288" s="11"/>
      <c r="BT288" s="11"/>
      <c r="BU288" s="11"/>
      <c r="BV288" s="11"/>
      <c r="BW288" s="11"/>
      <c r="BX288" s="11"/>
      <c r="BY288" s="11"/>
      <c r="BZ288" s="11"/>
      <c r="CA288" s="11"/>
      <c r="CB288" s="11"/>
    </row>
    <row r="289" ht="15.75" customHeight="1">
      <c r="BQ289" s="11"/>
      <c r="BR289" s="11"/>
      <c r="BS289" s="11"/>
      <c r="BT289" s="11"/>
      <c r="BU289" s="11"/>
      <c r="BV289" s="11"/>
      <c r="BW289" s="11"/>
      <c r="BX289" s="11"/>
      <c r="BY289" s="11"/>
      <c r="BZ289" s="11"/>
      <c r="CA289" s="11"/>
      <c r="CB289" s="11"/>
    </row>
    <row r="290" ht="15.75" customHeight="1">
      <c r="BQ290" s="11"/>
      <c r="BR290" s="11"/>
      <c r="BS290" s="11"/>
      <c r="BT290" s="11"/>
      <c r="BU290" s="11"/>
      <c r="BV290" s="11"/>
      <c r="BW290" s="11"/>
      <c r="BX290" s="11"/>
      <c r="BY290" s="11"/>
      <c r="BZ290" s="11"/>
      <c r="CA290" s="11"/>
      <c r="CB290" s="11"/>
    </row>
    <row r="291" ht="15.75" customHeight="1">
      <c r="BQ291" s="11"/>
      <c r="BR291" s="11"/>
      <c r="BS291" s="11"/>
      <c r="BT291" s="11"/>
      <c r="BU291" s="11"/>
      <c r="BV291" s="11"/>
      <c r="BW291" s="11"/>
      <c r="BX291" s="11"/>
      <c r="BY291" s="11"/>
      <c r="BZ291" s="11"/>
      <c r="CA291" s="11"/>
      <c r="CB291" s="11"/>
    </row>
    <row r="292" ht="15.75" customHeight="1">
      <c r="BQ292" s="11"/>
      <c r="BR292" s="11"/>
      <c r="BS292" s="11"/>
      <c r="BT292" s="11"/>
      <c r="BU292" s="11"/>
      <c r="BV292" s="11"/>
      <c r="BW292" s="11"/>
      <c r="BX292" s="11"/>
      <c r="BY292" s="11"/>
      <c r="BZ292" s="11"/>
      <c r="CA292" s="11"/>
      <c r="CB292" s="11"/>
    </row>
    <row r="293" ht="15.75" customHeight="1">
      <c r="BQ293" s="11"/>
      <c r="BR293" s="11"/>
      <c r="BS293" s="11"/>
      <c r="BT293" s="11"/>
      <c r="BU293" s="11"/>
      <c r="BV293" s="11"/>
      <c r="BW293" s="11"/>
      <c r="BX293" s="11"/>
      <c r="BY293" s="11"/>
      <c r="BZ293" s="11"/>
      <c r="CA293" s="11"/>
      <c r="CB293" s="11"/>
    </row>
    <row r="294" ht="15.75" customHeight="1">
      <c r="BQ294" s="11"/>
      <c r="BR294" s="11"/>
      <c r="BS294" s="11"/>
      <c r="BT294" s="11"/>
      <c r="BU294" s="11"/>
      <c r="BV294" s="11"/>
      <c r="BW294" s="11"/>
      <c r="BX294" s="11"/>
      <c r="BY294" s="11"/>
      <c r="BZ294" s="11"/>
      <c r="CA294" s="11"/>
      <c r="CB294" s="11"/>
    </row>
    <row r="295" ht="15.75" customHeight="1">
      <c r="BQ295" s="11"/>
      <c r="BR295" s="11"/>
      <c r="BS295" s="11"/>
      <c r="BT295" s="11"/>
      <c r="BU295" s="11"/>
      <c r="BV295" s="11"/>
      <c r="BW295" s="11"/>
      <c r="BX295" s="11"/>
      <c r="BY295" s="11"/>
      <c r="BZ295" s="11"/>
      <c r="CA295" s="11"/>
      <c r="CB295" s="11"/>
    </row>
    <row r="296" ht="15.75" customHeight="1">
      <c r="BQ296" s="11"/>
      <c r="BR296" s="11"/>
      <c r="BS296" s="11"/>
      <c r="BT296" s="11"/>
      <c r="BU296" s="11"/>
      <c r="BV296" s="11"/>
      <c r="BW296" s="11"/>
      <c r="BX296" s="11"/>
      <c r="BY296" s="11"/>
      <c r="BZ296" s="11"/>
      <c r="CA296" s="11"/>
      <c r="CB296" s="11"/>
    </row>
    <row r="297" ht="15.75" customHeight="1">
      <c r="BQ297" s="11"/>
      <c r="BR297" s="11"/>
      <c r="BS297" s="11"/>
      <c r="BT297" s="11"/>
      <c r="BU297" s="11"/>
      <c r="BV297" s="11"/>
      <c r="BW297" s="11"/>
      <c r="BX297" s="11"/>
      <c r="BY297" s="11"/>
      <c r="BZ297" s="11"/>
      <c r="CA297" s="11"/>
      <c r="CB297" s="11"/>
    </row>
    <row r="298" ht="15.75" customHeight="1">
      <c r="BQ298" s="11"/>
      <c r="BR298" s="11"/>
      <c r="BS298" s="11"/>
      <c r="BT298" s="11"/>
      <c r="BU298" s="11"/>
      <c r="BV298" s="11"/>
      <c r="BW298" s="11"/>
      <c r="BX298" s="11"/>
      <c r="BY298" s="11"/>
      <c r="BZ298" s="11"/>
      <c r="CA298" s="11"/>
      <c r="CB298" s="11"/>
    </row>
    <row r="299" ht="15.75" customHeight="1">
      <c r="BQ299" s="11"/>
      <c r="BR299" s="11"/>
      <c r="BS299" s="11"/>
      <c r="BT299" s="11"/>
      <c r="BU299" s="11"/>
      <c r="BV299" s="11"/>
      <c r="BW299" s="11"/>
      <c r="BX299" s="11"/>
      <c r="BY299" s="11"/>
      <c r="BZ299" s="11"/>
      <c r="CA299" s="11"/>
      <c r="CB299" s="11"/>
    </row>
    <row r="300" ht="15.75" customHeight="1">
      <c r="BQ300" s="11"/>
      <c r="BR300" s="11"/>
      <c r="BS300" s="11"/>
      <c r="BT300" s="11"/>
      <c r="BU300" s="11"/>
      <c r="BV300" s="11"/>
      <c r="BW300" s="11"/>
      <c r="BX300" s="11"/>
      <c r="BY300" s="11"/>
      <c r="BZ300" s="11"/>
      <c r="CA300" s="11"/>
      <c r="CB300" s="11"/>
    </row>
    <row r="301" ht="15.75" customHeight="1">
      <c r="BQ301" s="11"/>
      <c r="BR301" s="11"/>
      <c r="BS301" s="11"/>
      <c r="BT301" s="11"/>
      <c r="BU301" s="11"/>
      <c r="BV301" s="11"/>
      <c r="BW301" s="11"/>
      <c r="BX301" s="11"/>
      <c r="BY301" s="11"/>
      <c r="BZ301" s="11"/>
      <c r="CA301" s="11"/>
      <c r="CB301" s="11"/>
    </row>
    <row r="302" ht="15.75" customHeight="1">
      <c r="BQ302" s="11"/>
      <c r="BR302" s="11"/>
      <c r="BS302" s="11"/>
      <c r="BT302" s="11"/>
      <c r="BU302" s="11"/>
      <c r="BV302" s="11"/>
      <c r="BW302" s="11"/>
      <c r="BX302" s="11"/>
      <c r="BY302" s="11"/>
      <c r="BZ302" s="11"/>
      <c r="CA302" s="11"/>
      <c r="CB302" s="11"/>
    </row>
    <row r="303" ht="15.75" customHeight="1">
      <c r="BQ303" s="11"/>
      <c r="BR303" s="11"/>
      <c r="BS303" s="11"/>
      <c r="BT303" s="11"/>
      <c r="BU303" s="11"/>
      <c r="BV303" s="11"/>
      <c r="BW303" s="11"/>
      <c r="BX303" s="11"/>
      <c r="BY303" s="11"/>
      <c r="BZ303" s="11"/>
      <c r="CA303" s="11"/>
      <c r="CB303" s="11"/>
    </row>
    <row r="304" ht="15.75" customHeight="1">
      <c r="BQ304" s="11"/>
      <c r="BR304" s="11"/>
      <c r="BS304" s="11"/>
      <c r="BT304" s="11"/>
      <c r="BU304" s="11"/>
      <c r="BV304" s="11"/>
      <c r="BW304" s="11"/>
      <c r="BX304" s="11"/>
      <c r="BY304" s="11"/>
      <c r="BZ304" s="11"/>
      <c r="CA304" s="11"/>
      <c r="CB304" s="11"/>
    </row>
    <row r="305" ht="15.75" customHeight="1">
      <c r="BQ305" s="11"/>
      <c r="BR305" s="11"/>
      <c r="BS305" s="11"/>
      <c r="BT305" s="11"/>
      <c r="BU305" s="11"/>
      <c r="BV305" s="11"/>
      <c r="BW305" s="11"/>
      <c r="BX305" s="11"/>
      <c r="BY305" s="11"/>
      <c r="BZ305" s="11"/>
      <c r="CA305" s="11"/>
      <c r="CB305" s="11"/>
    </row>
    <row r="306" ht="15.75" customHeight="1">
      <c r="BQ306" s="11"/>
      <c r="BR306" s="11"/>
      <c r="BS306" s="11"/>
      <c r="BT306" s="11"/>
      <c r="BU306" s="11"/>
      <c r="BV306" s="11"/>
      <c r="BW306" s="11"/>
      <c r="BX306" s="11"/>
      <c r="BY306" s="11"/>
      <c r="BZ306" s="11"/>
      <c r="CA306" s="11"/>
      <c r="CB306" s="11"/>
    </row>
    <row r="307" ht="15.75" customHeight="1">
      <c r="BQ307" s="11"/>
      <c r="BR307" s="11"/>
      <c r="BS307" s="11"/>
      <c r="BT307" s="11"/>
      <c r="BU307" s="11"/>
      <c r="BV307" s="11"/>
      <c r="BW307" s="11"/>
      <c r="BX307" s="11"/>
      <c r="BY307" s="11"/>
      <c r="BZ307" s="11"/>
      <c r="CA307" s="11"/>
      <c r="CB307" s="11"/>
    </row>
    <row r="308" ht="15.75" customHeight="1">
      <c r="BQ308" s="11"/>
      <c r="BR308" s="11"/>
      <c r="BS308" s="11"/>
      <c r="BT308" s="11"/>
      <c r="BU308" s="11"/>
      <c r="BV308" s="11"/>
      <c r="BW308" s="11"/>
      <c r="BX308" s="11"/>
      <c r="BY308" s="11"/>
      <c r="BZ308" s="11"/>
      <c r="CA308" s="11"/>
      <c r="CB308" s="11"/>
    </row>
    <row r="309" ht="15.75" customHeight="1">
      <c r="BQ309" s="11"/>
      <c r="BR309" s="11"/>
      <c r="BS309" s="11"/>
      <c r="BT309" s="11"/>
      <c r="BU309" s="11"/>
      <c r="BV309" s="11"/>
      <c r="BW309" s="11"/>
      <c r="BX309" s="11"/>
      <c r="BY309" s="11"/>
      <c r="BZ309" s="11"/>
      <c r="CA309" s="11"/>
      <c r="CB309" s="11"/>
    </row>
    <row r="310" ht="15.75" customHeight="1">
      <c r="BQ310" s="11"/>
      <c r="BR310" s="11"/>
      <c r="BS310" s="11"/>
      <c r="BT310" s="11"/>
      <c r="BU310" s="11"/>
      <c r="BV310" s="11"/>
      <c r="BW310" s="11"/>
      <c r="BX310" s="11"/>
      <c r="BY310" s="11"/>
      <c r="BZ310" s="11"/>
      <c r="CA310" s="11"/>
      <c r="CB310" s="11"/>
    </row>
    <row r="311" ht="15.75" customHeight="1">
      <c r="BQ311" s="11"/>
      <c r="BR311" s="11"/>
      <c r="BS311" s="11"/>
      <c r="BT311" s="11"/>
      <c r="BU311" s="11"/>
      <c r="BV311" s="11"/>
      <c r="BW311" s="11"/>
      <c r="BX311" s="11"/>
      <c r="BY311" s="11"/>
      <c r="BZ311" s="11"/>
      <c r="CA311" s="11"/>
      <c r="CB311" s="11"/>
    </row>
    <row r="312" ht="15.75" customHeight="1">
      <c r="BQ312" s="11"/>
      <c r="BR312" s="11"/>
      <c r="BS312" s="11"/>
      <c r="BT312" s="11"/>
      <c r="BU312" s="11"/>
      <c r="BV312" s="11"/>
      <c r="BW312" s="11"/>
      <c r="BX312" s="11"/>
      <c r="BY312" s="11"/>
      <c r="BZ312" s="11"/>
      <c r="CA312" s="11"/>
      <c r="CB312" s="11"/>
    </row>
    <row r="313" ht="15.75" customHeight="1">
      <c r="BQ313" s="11"/>
      <c r="BR313" s="11"/>
      <c r="BS313" s="11"/>
      <c r="BT313" s="11"/>
      <c r="BU313" s="11"/>
      <c r="BV313" s="11"/>
      <c r="BW313" s="11"/>
      <c r="BX313" s="11"/>
      <c r="BY313" s="11"/>
      <c r="BZ313" s="11"/>
      <c r="CA313" s="11"/>
      <c r="CB313" s="11"/>
    </row>
    <row r="314" ht="15.75" customHeight="1">
      <c r="BQ314" s="11"/>
      <c r="BR314" s="11"/>
      <c r="BS314" s="11"/>
      <c r="BT314" s="11"/>
      <c r="BU314" s="11"/>
      <c r="BV314" s="11"/>
      <c r="BW314" s="11"/>
      <c r="BX314" s="11"/>
      <c r="BY314" s="11"/>
      <c r="BZ314" s="11"/>
      <c r="CA314" s="11"/>
      <c r="CB314" s="11"/>
    </row>
    <row r="315" ht="15.75" customHeight="1">
      <c r="BQ315" s="11"/>
      <c r="BR315" s="11"/>
      <c r="BS315" s="11"/>
      <c r="BT315" s="11"/>
      <c r="BU315" s="11"/>
      <c r="BV315" s="11"/>
      <c r="BW315" s="11"/>
      <c r="BX315" s="11"/>
      <c r="BY315" s="11"/>
      <c r="BZ315" s="11"/>
      <c r="CA315" s="11"/>
      <c r="CB315" s="11"/>
    </row>
    <row r="316" ht="15.75" customHeight="1">
      <c r="BQ316" s="11"/>
      <c r="BR316" s="11"/>
      <c r="BS316" s="11"/>
      <c r="BT316" s="11"/>
      <c r="BU316" s="11"/>
      <c r="BV316" s="11"/>
      <c r="BW316" s="11"/>
      <c r="BX316" s="11"/>
      <c r="BY316" s="11"/>
      <c r="BZ316" s="11"/>
      <c r="CA316" s="11"/>
      <c r="CB316" s="11"/>
    </row>
    <row r="317" ht="15.75" customHeight="1">
      <c r="BQ317" s="11"/>
      <c r="BR317" s="11"/>
      <c r="BS317" s="11"/>
      <c r="BT317" s="11"/>
      <c r="BU317" s="11"/>
      <c r="BV317" s="11"/>
      <c r="BW317" s="11"/>
      <c r="BX317" s="11"/>
      <c r="BY317" s="11"/>
      <c r="BZ317" s="11"/>
      <c r="CA317" s="11"/>
      <c r="CB317" s="11"/>
    </row>
    <row r="318" ht="15.75" customHeight="1">
      <c r="BQ318" s="11"/>
      <c r="BR318" s="11"/>
      <c r="BS318" s="11"/>
      <c r="BT318" s="11"/>
      <c r="BU318" s="11"/>
      <c r="BV318" s="11"/>
      <c r="BW318" s="11"/>
      <c r="BX318" s="11"/>
      <c r="BY318" s="11"/>
      <c r="BZ318" s="11"/>
      <c r="CA318" s="11"/>
      <c r="CB318" s="11"/>
    </row>
    <row r="319" ht="15.75" customHeight="1">
      <c r="BQ319" s="11"/>
      <c r="BR319" s="11"/>
      <c r="BS319" s="11"/>
      <c r="BT319" s="11"/>
      <c r="BU319" s="11"/>
      <c r="BV319" s="11"/>
      <c r="BW319" s="11"/>
      <c r="BX319" s="11"/>
      <c r="BY319" s="11"/>
      <c r="BZ319" s="11"/>
      <c r="CA319" s="11"/>
      <c r="CB319" s="11"/>
    </row>
    <row r="320" ht="15.75" customHeight="1">
      <c r="BQ320" s="11"/>
      <c r="BR320" s="11"/>
      <c r="BS320" s="11"/>
      <c r="BT320" s="11"/>
      <c r="BU320" s="11"/>
      <c r="BV320" s="11"/>
      <c r="BW320" s="11"/>
      <c r="BX320" s="11"/>
      <c r="BY320" s="11"/>
      <c r="BZ320" s="11"/>
      <c r="CA320" s="11"/>
      <c r="CB320" s="11"/>
    </row>
    <row r="321" ht="15.75" customHeight="1">
      <c r="BQ321" s="11"/>
      <c r="BR321" s="11"/>
      <c r="BS321" s="11"/>
      <c r="BT321" s="11"/>
      <c r="BU321" s="11"/>
      <c r="BV321" s="11"/>
      <c r="BW321" s="11"/>
      <c r="BX321" s="11"/>
      <c r="BY321" s="11"/>
      <c r="BZ321" s="11"/>
      <c r="CA321" s="11"/>
      <c r="CB321" s="11"/>
    </row>
    <row r="322" ht="15.75" customHeight="1">
      <c r="BQ322" s="11"/>
      <c r="BR322" s="11"/>
      <c r="BS322" s="11"/>
      <c r="BT322" s="11"/>
      <c r="BU322" s="11"/>
      <c r="BV322" s="11"/>
      <c r="BW322" s="11"/>
      <c r="BX322" s="11"/>
      <c r="BY322" s="11"/>
      <c r="BZ322" s="11"/>
      <c r="CA322" s="11"/>
      <c r="CB322" s="11"/>
    </row>
    <row r="323" ht="15.75" customHeight="1">
      <c r="BQ323" s="11"/>
      <c r="BR323" s="11"/>
      <c r="BS323" s="11"/>
      <c r="BT323" s="11"/>
      <c r="BU323" s="11"/>
      <c r="BV323" s="11"/>
      <c r="BW323" s="11"/>
      <c r="BX323" s="11"/>
      <c r="BY323" s="11"/>
      <c r="BZ323" s="11"/>
      <c r="CA323" s="11"/>
      <c r="CB323" s="11"/>
    </row>
    <row r="324" ht="15.75" customHeight="1">
      <c r="BQ324" s="11"/>
      <c r="BR324" s="11"/>
      <c r="BS324" s="11"/>
      <c r="BT324" s="11"/>
      <c r="BU324" s="11"/>
      <c r="BV324" s="11"/>
      <c r="BW324" s="11"/>
      <c r="BX324" s="11"/>
      <c r="BY324" s="11"/>
      <c r="BZ324" s="11"/>
      <c r="CA324" s="11"/>
      <c r="CB324" s="11"/>
    </row>
    <row r="325" ht="15.75" customHeight="1">
      <c r="BQ325" s="11"/>
      <c r="BR325" s="11"/>
      <c r="BS325" s="11"/>
      <c r="BT325" s="11"/>
      <c r="BU325" s="11"/>
      <c r="BV325" s="11"/>
      <c r="BW325" s="11"/>
      <c r="BX325" s="11"/>
      <c r="BY325" s="11"/>
      <c r="BZ325" s="11"/>
      <c r="CA325" s="11"/>
      <c r="CB325" s="11"/>
    </row>
    <row r="326" ht="15.75" customHeight="1">
      <c r="BQ326" s="11"/>
      <c r="BR326" s="11"/>
      <c r="BS326" s="11"/>
      <c r="BT326" s="11"/>
      <c r="BU326" s="11"/>
      <c r="BV326" s="11"/>
      <c r="BW326" s="11"/>
      <c r="BX326" s="11"/>
      <c r="BY326" s="11"/>
      <c r="BZ326" s="11"/>
      <c r="CA326" s="11"/>
      <c r="CB326" s="11"/>
    </row>
    <row r="327" ht="15.75" customHeight="1">
      <c r="BQ327" s="11"/>
      <c r="BR327" s="11"/>
      <c r="BS327" s="11"/>
      <c r="BT327" s="11"/>
      <c r="BU327" s="11"/>
      <c r="BV327" s="11"/>
      <c r="BW327" s="11"/>
      <c r="BX327" s="11"/>
      <c r="BY327" s="11"/>
      <c r="BZ327" s="11"/>
      <c r="CA327" s="11"/>
      <c r="CB327" s="11"/>
    </row>
    <row r="328" ht="15.75" customHeight="1">
      <c r="BQ328" s="11"/>
      <c r="BR328" s="11"/>
      <c r="BS328" s="11"/>
      <c r="BT328" s="11"/>
      <c r="BU328" s="11"/>
      <c r="BV328" s="11"/>
      <c r="BW328" s="11"/>
      <c r="BX328" s="11"/>
      <c r="BY328" s="11"/>
      <c r="BZ328" s="11"/>
      <c r="CA328" s="11"/>
      <c r="CB328" s="11"/>
    </row>
    <row r="329" ht="15.75" customHeight="1">
      <c r="BQ329" s="11"/>
      <c r="BR329" s="11"/>
      <c r="BS329" s="11"/>
      <c r="BT329" s="11"/>
      <c r="BU329" s="11"/>
      <c r="BV329" s="11"/>
      <c r="BW329" s="11"/>
      <c r="BX329" s="11"/>
      <c r="BY329" s="11"/>
      <c r="BZ329" s="11"/>
      <c r="CA329" s="11"/>
      <c r="CB329" s="11"/>
    </row>
    <row r="330" ht="15.75" customHeight="1">
      <c r="BQ330" s="11"/>
      <c r="BR330" s="11"/>
      <c r="BS330" s="11"/>
      <c r="BT330" s="11"/>
      <c r="BU330" s="11"/>
      <c r="BV330" s="11"/>
      <c r="BW330" s="11"/>
      <c r="BX330" s="11"/>
      <c r="BY330" s="11"/>
      <c r="BZ330" s="11"/>
      <c r="CA330" s="11"/>
      <c r="CB330" s="11"/>
    </row>
    <row r="331" ht="15.75" customHeight="1">
      <c r="BQ331" s="11"/>
      <c r="BR331" s="11"/>
      <c r="BS331" s="11"/>
      <c r="BT331" s="11"/>
      <c r="BU331" s="11"/>
      <c r="BV331" s="11"/>
      <c r="BW331" s="11"/>
      <c r="BX331" s="11"/>
      <c r="BY331" s="11"/>
      <c r="BZ331" s="11"/>
      <c r="CA331" s="11"/>
      <c r="CB331" s="11"/>
    </row>
    <row r="332" ht="15.75" customHeight="1">
      <c r="BQ332" s="11"/>
      <c r="BR332" s="11"/>
      <c r="BS332" s="11"/>
      <c r="BT332" s="11"/>
      <c r="BU332" s="11"/>
      <c r="BV332" s="11"/>
      <c r="BW332" s="11"/>
      <c r="BX332" s="11"/>
      <c r="BY332" s="11"/>
      <c r="BZ332" s="11"/>
      <c r="CA332" s="11"/>
      <c r="CB332" s="11"/>
    </row>
    <row r="333" ht="15.75" customHeight="1">
      <c r="BQ333" s="11"/>
      <c r="BR333" s="11"/>
      <c r="BS333" s="11"/>
      <c r="BT333" s="11"/>
      <c r="BU333" s="11"/>
      <c r="BV333" s="11"/>
      <c r="BW333" s="11"/>
      <c r="BX333" s="11"/>
      <c r="BY333" s="11"/>
      <c r="BZ333" s="11"/>
      <c r="CA333" s="11"/>
      <c r="CB333" s="11"/>
    </row>
    <row r="334" ht="15.75" customHeight="1">
      <c r="BQ334" s="11"/>
      <c r="BR334" s="11"/>
      <c r="BS334" s="11"/>
      <c r="BT334" s="11"/>
      <c r="BU334" s="11"/>
      <c r="BV334" s="11"/>
      <c r="BW334" s="11"/>
      <c r="BX334" s="11"/>
      <c r="BY334" s="11"/>
      <c r="BZ334" s="11"/>
      <c r="CA334" s="11"/>
      <c r="CB334" s="11"/>
    </row>
    <row r="335" ht="15.75" customHeight="1">
      <c r="BQ335" s="11"/>
      <c r="BR335" s="11"/>
      <c r="BS335" s="11"/>
      <c r="BT335" s="11"/>
      <c r="BU335" s="11"/>
      <c r="BV335" s="11"/>
      <c r="BW335" s="11"/>
      <c r="BX335" s="11"/>
      <c r="BY335" s="11"/>
      <c r="BZ335" s="11"/>
      <c r="CA335" s="11"/>
      <c r="CB335" s="11"/>
    </row>
    <row r="336" ht="15.75" customHeight="1">
      <c r="BQ336" s="11"/>
      <c r="BR336" s="11"/>
      <c r="BS336" s="11"/>
      <c r="BT336" s="11"/>
      <c r="BU336" s="11"/>
      <c r="BV336" s="11"/>
      <c r="BW336" s="11"/>
      <c r="BX336" s="11"/>
      <c r="BY336" s="11"/>
      <c r="BZ336" s="11"/>
      <c r="CA336" s="11"/>
      <c r="CB336" s="11"/>
    </row>
    <row r="337" ht="15.75" customHeight="1">
      <c r="BQ337" s="11"/>
      <c r="BR337" s="11"/>
      <c r="BS337" s="11"/>
      <c r="BT337" s="11"/>
      <c r="BU337" s="11"/>
      <c r="BV337" s="11"/>
      <c r="BW337" s="11"/>
      <c r="BX337" s="11"/>
      <c r="BY337" s="11"/>
      <c r="BZ337" s="11"/>
      <c r="CA337" s="11"/>
      <c r="CB337" s="11"/>
    </row>
    <row r="338" ht="15.75" customHeight="1">
      <c r="BQ338" s="11"/>
      <c r="BR338" s="11"/>
      <c r="BS338" s="11"/>
      <c r="BT338" s="11"/>
      <c r="BU338" s="11"/>
      <c r="BV338" s="11"/>
      <c r="BW338" s="11"/>
      <c r="BX338" s="11"/>
      <c r="BY338" s="11"/>
      <c r="BZ338" s="11"/>
      <c r="CA338" s="11"/>
      <c r="CB338" s="11"/>
    </row>
    <row r="339" ht="15.75" customHeight="1">
      <c r="BQ339" s="11"/>
      <c r="BR339" s="11"/>
      <c r="BS339" s="11"/>
      <c r="BT339" s="11"/>
      <c r="BU339" s="11"/>
      <c r="BV339" s="11"/>
      <c r="BW339" s="11"/>
      <c r="BX339" s="11"/>
      <c r="BY339" s="11"/>
      <c r="BZ339" s="11"/>
      <c r="CA339" s="11"/>
      <c r="CB339" s="11"/>
    </row>
    <row r="340" ht="15.75" customHeight="1">
      <c r="BQ340" s="11"/>
      <c r="BR340" s="11"/>
      <c r="BS340" s="11"/>
      <c r="BT340" s="11"/>
      <c r="BU340" s="11"/>
      <c r="BV340" s="11"/>
      <c r="BW340" s="11"/>
      <c r="BX340" s="11"/>
      <c r="BY340" s="11"/>
      <c r="BZ340" s="11"/>
      <c r="CA340" s="11"/>
      <c r="CB340" s="11"/>
    </row>
    <row r="341" ht="15.75" customHeight="1">
      <c r="BQ341" s="11"/>
      <c r="BR341" s="11"/>
      <c r="BS341" s="11"/>
      <c r="BT341" s="11"/>
      <c r="BU341" s="11"/>
      <c r="BV341" s="11"/>
      <c r="BW341" s="11"/>
      <c r="BX341" s="11"/>
      <c r="BY341" s="11"/>
      <c r="BZ341" s="11"/>
      <c r="CA341" s="11"/>
      <c r="CB341" s="11"/>
    </row>
    <row r="342" ht="15.75" customHeight="1">
      <c r="BQ342" s="11"/>
      <c r="BR342" s="11"/>
      <c r="BS342" s="11"/>
      <c r="BT342" s="11"/>
      <c r="BU342" s="11"/>
      <c r="BV342" s="11"/>
      <c r="BW342" s="11"/>
      <c r="BX342" s="11"/>
      <c r="BY342" s="11"/>
      <c r="BZ342" s="11"/>
      <c r="CA342" s="11"/>
      <c r="CB342" s="11"/>
    </row>
    <row r="343" ht="15.75" customHeight="1">
      <c r="BQ343" s="11"/>
      <c r="BR343" s="11"/>
      <c r="BS343" s="11"/>
      <c r="BT343" s="11"/>
      <c r="BU343" s="11"/>
      <c r="BV343" s="11"/>
      <c r="BW343" s="11"/>
      <c r="BX343" s="11"/>
      <c r="BY343" s="11"/>
      <c r="BZ343" s="11"/>
      <c r="CA343" s="11"/>
      <c r="CB343" s="11"/>
    </row>
    <row r="344" ht="15.75" customHeight="1">
      <c r="BQ344" s="11"/>
      <c r="BR344" s="11"/>
      <c r="BS344" s="11"/>
      <c r="BT344" s="11"/>
      <c r="BU344" s="11"/>
      <c r="BV344" s="11"/>
      <c r="BW344" s="11"/>
      <c r="BX344" s="11"/>
      <c r="BY344" s="11"/>
      <c r="BZ344" s="11"/>
      <c r="CA344" s="11"/>
      <c r="CB344" s="11"/>
    </row>
    <row r="345" ht="15.75" customHeight="1">
      <c r="BQ345" s="11"/>
      <c r="BR345" s="11"/>
      <c r="BS345" s="11"/>
      <c r="BT345" s="11"/>
      <c r="BU345" s="11"/>
      <c r="BV345" s="11"/>
      <c r="BW345" s="11"/>
      <c r="BX345" s="11"/>
      <c r="BY345" s="11"/>
      <c r="BZ345" s="11"/>
      <c r="CA345" s="11"/>
      <c r="CB345" s="11"/>
    </row>
    <row r="346" ht="15.75" customHeight="1">
      <c r="BQ346" s="11"/>
      <c r="BR346" s="11"/>
      <c r="BS346" s="11"/>
      <c r="BT346" s="11"/>
      <c r="BU346" s="11"/>
      <c r="BV346" s="11"/>
      <c r="BW346" s="11"/>
      <c r="BX346" s="11"/>
      <c r="BY346" s="11"/>
      <c r="BZ346" s="11"/>
      <c r="CA346" s="11"/>
      <c r="CB346" s="11"/>
    </row>
    <row r="347" ht="15.75" customHeight="1">
      <c r="BQ347" s="11"/>
      <c r="BR347" s="11"/>
      <c r="BS347" s="11"/>
      <c r="BT347" s="11"/>
      <c r="BU347" s="11"/>
      <c r="BV347" s="11"/>
      <c r="BW347" s="11"/>
      <c r="BX347" s="11"/>
      <c r="BY347" s="11"/>
      <c r="BZ347" s="11"/>
      <c r="CA347" s="11"/>
      <c r="CB347" s="11"/>
    </row>
    <row r="348" ht="15.75" customHeight="1">
      <c r="BQ348" s="11"/>
      <c r="BR348" s="11"/>
      <c r="BS348" s="11"/>
      <c r="BT348" s="11"/>
      <c r="BU348" s="11"/>
      <c r="BV348" s="11"/>
      <c r="BW348" s="11"/>
      <c r="BX348" s="11"/>
      <c r="BY348" s="11"/>
      <c r="BZ348" s="11"/>
      <c r="CA348" s="11"/>
      <c r="CB348" s="11"/>
    </row>
    <row r="349" ht="15.75" customHeight="1">
      <c r="BQ349" s="11"/>
      <c r="BR349" s="11"/>
      <c r="BS349" s="11"/>
      <c r="BT349" s="11"/>
      <c r="BU349" s="11"/>
      <c r="BV349" s="11"/>
      <c r="BW349" s="11"/>
      <c r="BX349" s="11"/>
      <c r="BY349" s="11"/>
      <c r="BZ349" s="11"/>
      <c r="CA349" s="11"/>
      <c r="CB349" s="11"/>
    </row>
    <row r="350" ht="15.75" customHeight="1">
      <c r="BQ350" s="11"/>
      <c r="BR350" s="11"/>
      <c r="BS350" s="11"/>
      <c r="BT350" s="11"/>
      <c r="BU350" s="11"/>
      <c r="BV350" s="11"/>
      <c r="BW350" s="11"/>
      <c r="BX350" s="11"/>
      <c r="BY350" s="11"/>
      <c r="BZ350" s="11"/>
      <c r="CA350" s="11"/>
      <c r="CB350" s="11"/>
    </row>
    <row r="351" ht="15.75" customHeight="1">
      <c r="BQ351" s="11"/>
      <c r="BR351" s="11"/>
      <c r="BS351" s="11"/>
      <c r="BT351" s="11"/>
      <c r="BU351" s="11"/>
      <c r="BV351" s="11"/>
      <c r="BW351" s="11"/>
      <c r="BX351" s="11"/>
      <c r="BY351" s="11"/>
      <c r="BZ351" s="11"/>
      <c r="CA351" s="11"/>
      <c r="CB351" s="11"/>
    </row>
    <row r="352" ht="15.75" customHeight="1">
      <c r="BQ352" s="11"/>
      <c r="BR352" s="11"/>
      <c r="BS352" s="11"/>
      <c r="BT352" s="11"/>
      <c r="BU352" s="11"/>
      <c r="BV352" s="11"/>
      <c r="BW352" s="11"/>
      <c r="BX352" s="11"/>
      <c r="BY352" s="11"/>
      <c r="BZ352" s="11"/>
      <c r="CA352" s="11"/>
      <c r="CB352" s="11"/>
    </row>
    <row r="353" ht="15.75" customHeight="1">
      <c r="BQ353" s="11"/>
      <c r="BR353" s="11"/>
      <c r="BS353" s="11"/>
      <c r="BT353" s="11"/>
      <c r="BU353" s="11"/>
      <c r="BV353" s="11"/>
      <c r="BW353" s="11"/>
      <c r="BX353" s="11"/>
      <c r="BY353" s="11"/>
      <c r="BZ353" s="11"/>
      <c r="CA353" s="11"/>
      <c r="CB353" s="11"/>
    </row>
    <row r="354" ht="15.75" customHeight="1">
      <c r="BQ354" s="11"/>
      <c r="BR354" s="11"/>
      <c r="BS354" s="11"/>
      <c r="BT354" s="11"/>
      <c r="BU354" s="11"/>
      <c r="BV354" s="11"/>
      <c r="BW354" s="11"/>
      <c r="BX354" s="11"/>
      <c r="BY354" s="11"/>
      <c r="BZ354" s="11"/>
      <c r="CA354" s="11"/>
      <c r="CB354" s="11"/>
    </row>
    <row r="355" ht="15.75" customHeight="1">
      <c r="BQ355" s="11"/>
      <c r="BR355" s="11"/>
      <c r="BS355" s="11"/>
      <c r="BT355" s="11"/>
      <c r="BU355" s="11"/>
      <c r="BV355" s="11"/>
      <c r="BW355" s="11"/>
      <c r="BX355" s="11"/>
      <c r="BY355" s="11"/>
      <c r="BZ355" s="11"/>
      <c r="CA355" s="11"/>
      <c r="CB355" s="11"/>
    </row>
    <row r="356" ht="15.75" customHeight="1">
      <c r="BQ356" s="11"/>
      <c r="BR356" s="11"/>
      <c r="BS356" s="11"/>
      <c r="BT356" s="11"/>
      <c r="BU356" s="11"/>
      <c r="BV356" s="11"/>
      <c r="BW356" s="11"/>
      <c r="BX356" s="11"/>
      <c r="BY356" s="11"/>
      <c r="BZ356" s="11"/>
      <c r="CA356" s="11"/>
      <c r="CB356" s="11"/>
    </row>
    <row r="357" ht="15.75" customHeight="1">
      <c r="BQ357" s="11"/>
      <c r="BR357" s="11"/>
      <c r="BS357" s="11"/>
      <c r="BT357" s="11"/>
      <c r="BU357" s="11"/>
      <c r="BV357" s="11"/>
      <c r="BW357" s="11"/>
      <c r="BX357" s="11"/>
      <c r="BY357" s="11"/>
      <c r="BZ357" s="11"/>
      <c r="CA357" s="11"/>
      <c r="CB357" s="11"/>
    </row>
    <row r="358" ht="15.75" customHeight="1">
      <c r="BQ358" s="11"/>
      <c r="BR358" s="11"/>
      <c r="BS358" s="11"/>
      <c r="BT358" s="11"/>
      <c r="BU358" s="11"/>
      <c r="BV358" s="11"/>
      <c r="BW358" s="11"/>
      <c r="BX358" s="11"/>
      <c r="BY358" s="11"/>
      <c r="BZ358" s="11"/>
      <c r="CA358" s="11"/>
      <c r="CB358" s="11"/>
    </row>
    <row r="359" ht="15.75" customHeight="1">
      <c r="BQ359" s="11"/>
      <c r="BR359" s="11"/>
      <c r="BS359" s="11"/>
      <c r="BT359" s="11"/>
      <c r="BU359" s="11"/>
      <c r="BV359" s="11"/>
      <c r="BW359" s="11"/>
      <c r="BX359" s="11"/>
      <c r="BY359" s="11"/>
      <c r="BZ359" s="11"/>
      <c r="CA359" s="11"/>
      <c r="CB359" s="11"/>
    </row>
    <row r="360" ht="15.75" customHeight="1">
      <c r="BQ360" s="11"/>
      <c r="BR360" s="11"/>
      <c r="BS360" s="11"/>
      <c r="BT360" s="11"/>
      <c r="BU360" s="11"/>
      <c r="BV360" s="11"/>
      <c r="BW360" s="11"/>
      <c r="BX360" s="11"/>
      <c r="BY360" s="11"/>
      <c r="BZ360" s="11"/>
      <c r="CA360" s="11"/>
      <c r="CB360" s="11"/>
    </row>
    <row r="361" ht="15.75" customHeight="1">
      <c r="BQ361" s="11"/>
      <c r="BR361" s="11"/>
      <c r="BS361" s="11"/>
      <c r="BT361" s="11"/>
      <c r="BU361" s="11"/>
      <c r="BV361" s="11"/>
      <c r="BW361" s="11"/>
      <c r="BX361" s="11"/>
      <c r="BY361" s="11"/>
      <c r="BZ361" s="11"/>
      <c r="CA361" s="11"/>
      <c r="CB361" s="11"/>
    </row>
    <row r="362" ht="15.75" customHeight="1">
      <c r="BQ362" s="11"/>
      <c r="BR362" s="11"/>
      <c r="BS362" s="11"/>
      <c r="BT362" s="11"/>
      <c r="BU362" s="11"/>
      <c r="BV362" s="11"/>
      <c r="BW362" s="11"/>
      <c r="BX362" s="11"/>
      <c r="BY362" s="11"/>
      <c r="BZ362" s="11"/>
      <c r="CA362" s="11"/>
      <c r="CB362" s="11"/>
    </row>
    <row r="363" ht="15.75" customHeight="1">
      <c r="BQ363" s="11"/>
      <c r="BR363" s="11"/>
      <c r="BS363" s="11"/>
      <c r="BT363" s="11"/>
      <c r="BU363" s="11"/>
      <c r="BV363" s="11"/>
      <c r="BW363" s="11"/>
      <c r="BX363" s="11"/>
      <c r="BY363" s="11"/>
      <c r="BZ363" s="11"/>
      <c r="CA363" s="11"/>
      <c r="CB363" s="11"/>
    </row>
    <row r="364" ht="15.75" customHeight="1">
      <c r="BQ364" s="11"/>
      <c r="BR364" s="11"/>
      <c r="BS364" s="11"/>
      <c r="BT364" s="11"/>
      <c r="BU364" s="11"/>
      <c r="BV364" s="11"/>
      <c r="BW364" s="11"/>
      <c r="BX364" s="11"/>
      <c r="BY364" s="11"/>
      <c r="BZ364" s="11"/>
      <c r="CA364" s="11"/>
      <c r="CB364" s="11"/>
    </row>
    <row r="365" ht="15.75" customHeight="1">
      <c r="BQ365" s="11"/>
      <c r="BR365" s="11"/>
      <c r="BS365" s="11"/>
      <c r="BT365" s="11"/>
      <c r="BU365" s="11"/>
      <c r="BV365" s="11"/>
      <c r="BW365" s="11"/>
      <c r="BX365" s="11"/>
      <c r="BY365" s="11"/>
      <c r="BZ365" s="11"/>
      <c r="CA365" s="11"/>
      <c r="CB365" s="11"/>
    </row>
    <row r="366" ht="15.75" customHeight="1">
      <c r="BQ366" s="11"/>
      <c r="BR366" s="11"/>
      <c r="BS366" s="11"/>
      <c r="BT366" s="11"/>
      <c r="BU366" s="11"/>
      <c r="BV366" s="11"/>
      <c r="BW366" s="11"/>
      <c r="BX366" s="11"/>
      <c r="BY366" s="11"/>
      <c r="BZ366" s="11"/>
      <c r="CA366" s="11"/>
      <c r="CB366" s="11"/>
    </row>
    <row r="367" ht="15.75" customHeight="1">
      <c r="BQ367" s="11"/>
      <c r="BR367" s="11"/>
      <c r="BS367" s="11"/>
      <c r="BT367" s="11"/>
      <c r="BU367" s="11"/>
      <c r="BV367" s="11"/>
      <c r="BW367" s="11"/>
      <c r="BX367" s="11"/>
      <c r="BY367" s="11"/>
      <c r="BZ367" s="11"/>
      <c r="CA367" s="11"/>
      <c r="CB367" s="11"/>
    </row>
    <row r="368" ht="15.75" customHeight="1">
      <c r="BQ368" s="11"/>
      <c r="BR368" s="11"/>
      <c r="BS368" s="11"/>
      <c r="BT368" s="11"/>
      <c r="BU368" s="11"/>
      <c r="BV368" s="11"/>
      <c r="BW368" s="11"/>
      <c r="BX368" s="11"/>
      <c r="BY368" s="11"/>
      <c r="BZ368" s="11"/>
      <c r="CA368" s="11"/>
      <c r="CB368" s="11"/>
    </row>
    <row r="369" ht="15.75" customHeight="1">
      <c r="BQ369" s="11"/>
      <c r="BR369" s="11"/>
      <c r="BS369" s="11"/>
      <c r="BT369" s="11"/>
      <c r="BU369" s="11"/>
      <c r="BV369" s="11"/>
      <c r="BW369" s="11"/>
      <c r="BX369" s="11"/>
      <c r="BY369" s="11"/>
      <c r="BZ369" s="11"/>
      <c r="CA369" s="11"/>
      <c r="CB369" s="11"/>
    </row>
    <row r="370" ht="15.75" customHeight="1">
      <c r="BQ370" s="11"/>
      <c r="BR370" s="11"/>
      <c r="BS370" s="11"/>
      <c r="BT370" s="11"/>
      <c r="BU370" s="11"/>
      <c r="BV370" s="11"/>
      <c r="BW370" s="11"/>
      <c r="BX370" s="11"/>
      <c r="BY370" s="11"/>
      <c r="BZ370" s="11"/>
      <c r="CA370" s="11"/>
      <c r="CB370" s="11"/>
    </row>
    <row r="371" ht="15.75" customHeight="1">
      <c r="BQ371" s="11"/>
      <c r="BR371" s="11"/>
      <c r="BS371" s="11"/>
      <c r="BT371" s="11"/>
      <c r="BU371" s="11"/>
      <c r="BV371" s="11"/>
      <c r="BW371" s="11"/>
      <c r="BX371" s="11"/>
      <c r="BY371" s="11"/>
      <c r="BZ371" s="11"/>
      <c r="CA371" s="11"/>
      <c r="CB371" s="11"/>
    </row>
    <row r="372" ht="15.75" customHeight="1">
      <c r="BQ372" s="11"/>
      <c r="BR372" s="11"/>
      <c r="BS372" s="11"/>
      <c r="BT372" s="11"/>
      <c r="BU372" s="11"/>
      <c r="BV372" s="11"/>
      <c r="BW372" s="11"/>
      <c r="BX372" s="11"/>
      <c r="BY372" s="11"/>
      <c r="BZ372" s="11"/>
      <c r="CA372" s="11"/>
      <c r="CB372" s="11"/>
    </row>
    <row r="373" ht="15.75" customHeight="1">
      <c r="BQ373" s="11"/>
      <c r="BR373" s="11"/>
      <c r="BS373" s="11"/>
      <c r="BT373" s="11"/>
      <c r="BU373" s="11"/>
      <c r="BV373" s="11"/>
      <c r="BW373" s="11"/>
      <c r="BX373" s="11"/>
      <c r="BY373" s="11"/>
      <c r="BZ373" s="11"/>
      <c r="CA373" s="11"/>
      <c r="CB373" s="11"/>
    </row>
    <row r="374" ht="15.75" customHeight="1">
      <c r="BQ374" s="11"/>
      <c r="BR374" s="11"/>
      <c r="BS374" s="11"/>
      <c r="BT374" s="11"/>
      <c r="BU374" s="11"/>
      <c r="BV374" s="11"/>
      <c r="BW374" s="11"/>
      <c r="BX374" s="11"/>
      <c r="BY374" s="11"/>
      <c r="BZ374" s="11"/>
      <c r="CA374" s="11"/>
      <c r="CB374" s="11"/>
    </row>
    <row r="375" ht="15.75" customHeight="1">
      <c r="BQ375" s="11"/>
      <c r="BR375" s="11"/>
      <c r="BS375" s="11"/>
      <c r="BT375" s="11"/>
      <c r="BU375" s="11"/>
      <c r="BV375" s="11"/>
      <c r="BW375" s="11"/>
      <c r="BX375" s="11"/>
      <c r="BY375" s="11"/>
      <c r="BZ375" s="11"/>
      <c r="CA375" s="11"/>
      <c r="CB375" s="11"/>
    </row>
    <row r="376" ht="15.75" customHeight="1">
      <c r="BQ376" s="11"/>
      <c r="BR376" s="11"/>
      <c r="BS376" s="11"/>
      <c r="BT376" s="11"/>
      <c r="BU376" s="11"/>
      <c r="BV376" s="11"/>
      <c r="BW376" s="11"/>
      <c r="BX376" s="11"/>
      <c r="BY376" s="11"/>
      <c r="BZ376" s="11"/>
      <c r="CA376" s="11"/>
      <c r="CB376" s="11"/>
    </row>
    <row r="377" ht="15.75" customHeight="1">
      <c r="BQ377" s="11"/>
      <c r="BR377" s="11"/>
      <c r="BS377" s="11"/>
      <c r="BT377" s="11"/>
      <c r="BU377" s="11"/>
      <c r="BV377" s="11"/>
      <c r="BW377" s="11"/>
      <c r="BX377" s="11"/>
      <c r="BY377" s="11"/>
      <c r="BZ377" s="11"/>
      <c r="CA377" s="11"/>
      <c r="CB377" s="11"/>
    </row>
    <row r="378" ht="15.75" customHeight="1">
      <c r="BQ378" s="11"/>
      <c r="BR378" s="11"/>
      <c r="BS378" s="11"/>
      <c r="BT378" s="11"/>
      <c r="BU378" s="11"/>
      <c r="BV378" s="11"/>
      <c r="BW378" s="11"/>
      <c r="BX378" s="11"/>
      <c r="BY378" s="11"/>
      <c r="BZ378" s="11"/>
      <c r="CA378" s="11"/>
      <c r="CB378" s="11"/>
    </row>
    <row r="379" ht="15.75" customHeight="1">
      <c r="BQ379" s="11"/>
      <c r="BR379" s="11"/>
      <c r="BS379" s="11"/>
      <c r="BT379" s="11"/>
      <c r="BU379" s="11"/>
      <c r="BV379" s="11"/>
      <c r="BW379" s="11"/>
      <c r="BX379" s="11"/>
      <c r="BY379" s="11"/>
      <c r="BZ379" s="11"/>
      <c r="CA379" s="11"/>
      <c r="CB379" s="11"/>
    </row>
    <row r="380" ht="15.75" customHeight="1">
      <c r="BQ380" s="11"/>
      <c r="BR380" s="11"/>
      <c r="BS380" s="11"/>
      <c r="BT380" s="11"/>
      <c r="BU380" s="11"/>
      <c r="BV380" s="11"/>
      <c r="BW380" s="11"/>
      <c r="BX380" s="11"/>
      <c r="BY380" s="11"/>
      <c r="BZ380" s="11"/>
      <c r="CA380" s="11"/>
      <c r="CB380" s="11"/>
    </row>
    <row r="381" ht="15.75" customHeight="1">
      <c r="BQ381" s="11"/>
      <c r="BR381" s="11"/>
      <c r="BS381" s="11"/>
      <c r="BT381" s="11"/>
      <c r="BU381" s="11"/>
      <c r="BV381" s="11"/>
      <c r="BW381" s="11"/>
      <c r="BX381" s="11"/>
      <c r="BY381" s="11"/>
      <c r="BZ381" s="11"/>
      <c r="CA381" s="11"/>
      <c r="CB381" s="11"/>
    </row>
    <row r="382" ht="15.75" customHeight="1">
      <c r="BQ382" s="11"/>
      <c r="BR382" s="11"/>
      <c r="BS382" s="11"/>
      <c r="BT382" s="11"/>
      <c r="BU382" s="11"/>
      <c r="BV382" s="11"/>
      <c r="BW382" s="11"/>
      <c r="BX382" s="11"/>
      <c r="BY382" s="11"/>
      <c r="BZ382" s="11"/>
      <c r="CA382" s="11"/>
      <c r="CB382" s="11"/>
    </row>
    <row r="383" ht="15.75" customHeight="1">
      <c r="BQ383" s="11"/>
      <c r="BR383" s="11"/>
      <c r="BS383" s="11"/>
      <c r="BT383" s="11"/>
      <c r="BU383" s="11"/>
      <c r="BV383" s="11"/>
      <c r="BW383" s="11"/>
      <c r="BX383" s="11"/>
      <c r="BY383" s="11"/>
      <c r="BZ383" s="11"/>
      <c r="CA383" s="11"/>
      <c r="CB383" s="11"/>
    </row>
    <row r="384" ht="15.75" customHeight="1">
      <c r="BQ384" s="11"/>
      <c r="BR384" s="11"/>
      <c r="BS384" s="11"/>
      <c r="BT384" s="11"/>
      <c r="BU384" s="11"/>
      <c r="BV384" s="11"/>
      <c r="BW384" s="11"/>
      <c r="BX384" s="11"/>
      <c r="BY384" s="11"/>
      <c r="BZ384" s="11"/>
      <c r="CA384" s="11"/>
      <c r="CB384" s="11"/>
    </row>
    <row r="385" ht="15.75" customHeight="1">
      <c r="BQ385" s="11"/>
      <c r="BR385" s="11"/>
      <c r="BS385" s="11"/>
      <c r="BT385" s="11"/>
      <c r="BU385" s="11"/>
      <c r="BV385" s="11"/>
      <c r="BW385" s="11"/>
      <c r="BX385" s="11"/>
      <c r="BY385" s="11"/>
      <c r="BZ385" s="11"/>
      <c r="CA385" s="11"/>
      <c r="CB385" s="11"/>
    </row>
    <row r="386" ht="15.75" customHeight="1">
      <c r="BQ386" s="11"/>
      <c r="BR386" s="11"/>
      <c r="BS386" s="11"/>
      <c r="BT386" s="11"/>
      <c r="BU386" s="11"/>
      <c r="BV386" s="11"/>
      <c r="BW386" s="11"/>
      <c r="BX386" s="11"/>
      <c r="BY386" s="11"/>
      <c r="BZ386" s="11"/>
      <c r="CA386" s="11"/>
      <c r="CB386" s="11"/>
    </row>
    <row r="387" ht="15.75" customHeight="1">
      <c r="BQ387" s="11"/>
      <c r="BR387" s="11"/>
      <c r="BS387" s="11"/>
      <c r="BT387" s="11"/>
      <c r="BU387" s="11"/>
      <c r="BV387" s="11"/>
      <c r="BW387" s="11"/>
      <c r="BX387" s="11"/>
      <c r="BY387" s="11"/>
      <c r="BZ387" s="11"/>
      <c r="CA387" s="11"/>
      <c r="CB387" s="11"/>
    </row>
    <row r="388" ht="15.75" customHeight="1">
      <c r="BQ388" s="11"/>
      <c r="BR388" s="11"/>
      <c r="BS388" s="11"/>
      <c r="BT388" s="11"/>
      <c r="BU388" s="11"/>
      <c r="BV388" s="11"/>
      <c r="BW388" s="11"/>
      <c r="BX388" s="11"/>
      <c r="BY388" s="11"/>
      <c r="BZ388" s="11"/>
      <c r="CA388" s="11"/>
      <c r="CB388" s="11"/>
    </row>
    <row r="389" ht="15.75" customHeight="1">
      <c r="BQ389" s="11"/>
      <c r="BR389" s="11"/>
      <c r="BS389" s="11"/>
      <c r="BT389" s="11"/>
      <c r="BU389" s="11"/>
      <c r="BV389" s="11"/>
      <c r="BW389" s="11"/>
      <c r="BX389" s="11"/>
      <c r="BY389" s="11"/>
      <c r="BZ389" s="11"/>
      <c r="CA389" s="11"/>
      <c r="CB389" s="11"/>
    </row>
    <row r="390" ht="15.75" customHeight="1">
      <c r="BQ390" s="11"/>
      <c r="BR390" s="11"/>
      <c r="BS390" s="11"/>
      <c r="BT390" s="11"/>
      <c r="BU390" s="11"/>
      <c r="BV390" s="11"/>
      <c r="BW390" s="11"/>
      <c r="BX390" s="11"/>
      <c r="BY390" s="11"/>
      <c r="BZ390" s="11"/>
      <c r="CA390" s="11"/>
      <c r="CB390" s="11"/>
    </row>
    <row r="391" ht="15.75" customHeight="1">
      <c r="BQ391" s="11"/>
      <c r="BR391" s="11"/>
      <c r="BS391" s="11"/>
      <c r="BT391" s="11"/>
      <c r="BU391" s="11"/>
      <c r="BV391" s="11"/>
      <c r="BW391" s="11"/>
      <c r="BX391" s="11"/>
      <c r="BY391" s="11"/>
      <c r="BZ391" s="11"/>
      <c r="CA391" s="11"/>
      <c r="CB391" s="11"/>
    </row>
    <row r="392" ht="15.75" customHeight="1">
      <c r="BQ392" s="11"/>
      <c r="BR392" s="11"/>
      <c r="BS392" s="11"/>
      <c r="BT392" s="11"/>
      <c r="BU392" s="11"/>
      <c r="BV392" s="11"/>
      <c r="BW392" s="11"/>
      <c r="BX392" s="11"/>
      <c r="BY392" s="11"/>
      <c r="BZ392" s="11"/>
      <c r="CA392" s="11"/>
      <c r="CB392" s="11"/>
    </row>
    <row r="393" ht="15.75" customHeight="1">
      <c r="BQ393" s="11"/>
      <c r="BR393" s="11"/>
      <c r="BS393" s="11"/>
      <c r="BT393" s="11"/>
      <c r="BU393" s="11"/>
      <c r="BV393" s="11"/>
      <c r="BW393" s="11"/>
      <c r="BX393" s="11"/>
      <c r="BY393" s="11"/>
      <c r="BZ393" s="11"/>
      <c r="CA393" s="11"/>
      <c r="CB393" s="11"/>
    </row>
    <row r="394" ht="15.75" customHeight="1">
      <c r="BQ394" s="11"/>
      <c r="BR394" s="11"/>
      <c r="BS394" s="11"/>
      <c r="BT394" s="11"/>
      <c r="BU394" s="11"/>
      <c r="BV394" s="11"/>
      <c r="BW394" s="11"/>
      <c r="BX394" s="11"/>
      <c r="BY394" s="11"/>
      <c r="BZ394" s="11"/>
      <c r="CA394" s="11"/>
      <c r="CB394" s="11"/>
    </row>
    <row r="395" ht="15.75" customHeight="1">
      <c r="BQ395" s="11"/>
      <c r="BR395" s="11"/>
      <c r="BS395" s="11"/>
      <c r="BT395" s="11"/>
      <c r="BU395" s="11"/>
      <c r="BV395" s="11"/>
      <c r="BW395" s="11"/>
      <c r="BX395" s="11"/>
      <c r="BY395" s="11"/>
      <c r="BZ395" s="11"/>
      <c r="CA395" s="11"/>
      <c r="CB395" s="11"/>
    </row>
    <row r="396" ht="15.75" customHeight="1">
      <c r="BQ396" s="11"/>
      <c r="BR396" s="11"/>
      <c r="BS396" s="11"/>
      <c r="BT396" s="11"/>
      <c r="BU396" s="11"/>
      <c r="BV396" s="11"/>
      <c r="BW396" s="11"/>
      <c r="BX396" s="11"/>
      <c r="BY396" s="11"/>
      <c r="BZ396" s="11"/>
      <c r="CA396" s="11"/>
      <c r="CB396" s="11"/>
    </row>
    <row r="397" ht="15.75" customHeight="1">
      <c r="BQ397" s="11"/>
      <c r="BR397" s="11"/>
      <c r="BS397" s="11"/>
      <c r="BT397" s="11"/>
      <c r="BU397" s="11"/>
      <c r="BV397" s="11"/>
      <c r="BW397" s="11"/>
      <c r="BX397" s="11"/>
      <c r="BY397" s="11"/>
      <c r="BZ397" s="11"/>
      <c r="CA397" s="11"/>
      <c r="CB397" s="11"/>
    </row>
    <row r="398" ht="15.75" customHeight="1">
      <c r="BQ398" s="11"/>
      <c r="BR398" s="11"/>
      <c r="BS398" s="11"/>
      <c r="BT398" s="11"/>
      <c r="BU398" s="11"/>
      <c r="BV398" s="11"/>
      <c r="BW398" s="11"/>
      <c r="BX398" s="11"/>
      <c r="BY398" s="11"/>
      <c r="BZ398" s="11"/>
      <c r="CA398" s="11"/>
      <c r="CB398" s="11"/>
    </row>
    <row r="399" ht="15.75" customHeight="1">
      <c r="BQ399" s="11"/>
      <c r="BR399" s="11"/>
      <c r="BS399" s="11"/>
      <c r="BT399" s="11"/>
      <c r="BU399" s="11"/>
      <c r="BV399" s="11"/>
      <c r="BW399" s="11"/>
      <c r="BX399" s="11"/>
      <c r="BY399" s="11"/>
      <c r="BZ399" s="11"/>
      <c r="CA399" s="11"/>
      <c r="CB399" s="11"/>
    </row>
    <row r="400" ht="15.75" customHeight="1">
      <c r="BQ400" s="11"/>
      <c r="BR400" s="11"/>
      <c r="BS400" s="11"/>
      <c r="BT400" s="11"/>
      <c r="BU400" s="11"/>
      <c r="BV400" s="11"/>
      <c r="BW400" s="11"/>
      <c r="BX400" s="11"/>
      <c r="BY400" s="11"/>
      <c r="BZ400" s="11"/>
      <c r="CA400" s="11"/>
      <c r="CB400" s="11"/>
    </row>
    <row r="401" ht="15.75" customHeight="1">
      <c r="BQ401" s="11"/>
      <c r="BR401" s="11"/>
      <c r="BS401" s="11"/>
      <c r="BT401" s="11"/>
      <c r="BU401" s="11"/>
      <c r="BV401" s="11"/>
      <c r="BW401" s="11"/>
      <c r="BX401" s="11"/>
      <c r="BY401" s="11"/>
      <c r="BZ401" s="11"/>
      <c r="CA401" s="11"/>
      <c r="CB401" s="11"/>
    </row>
    <row r="402" ht="15.75" customHeight="1">
      <c r="BQ402" s="11"/>
      <c r="BR402" s="11"/>
      <c r="BS402" s="11"/>
      <c r="BT402" s="11"/>
      <c r="BU402" s="11"/>
      <c r="BV402" s="11"/>
      <c r="BW402" s="11"/>
      <c r="BX402" s="11"/>
      <c r="BY402" s="11"/>
      <c r="BZ402" s="11"/>
      <c r="CA402" s="11"/>
      <c r="CB402" s="11"/>
    </row>
    <row r="403" ht="15.75" customHeight="1">
      <c r="BQ403" s="11"/>
      <c r="BR403" s="11"/>
      <c r="BS403" s="11"/>
      <c r="BT403" s="11"/>
      <c r="BU403" s="11"/>
      <c r="BV403" s="11"/>
      <c r="BW403" s="11"/>
      <c r="BX403" s="11"/>
      <c r="BY403" s="11"/>
      <c r="BZ403" s="11"/>
      <c r="CA403" s="11"/>
      <c r="CB403" s="11"/>
    </row>
    <row r="404" ht="15.75" customHeight="1">
      <c r="BQ404" s="11"/>
      <c r="BR404" s="11"/>
      <c r="BS404" s="11"/>
      <c r="BT404" s="11"/>
      <c r="BU404" s="11"/>
      <c r="BV404" s="11"/>
      <c r="BW404" s="11"/>
      <c r="BX404" s="11"/>
      <c r="BY404" s="11"/>
      <c r="BZ404" s="11"/>
      <c r="CA404" s="11"/>
      <c r="CB404" s="11"/>
    </row>
    <row r="405" ht="15.75" customHeight="1">
      <c r="BQ405" s="11"/>
      <c r="BR405" s="11"/>
      <c r="BS405" s="11"/>
      <c r="BT405" s="11"/>
      <c r="BU405" s="11"/>
      <c r="BV405" s="11"/>
      <c r="BW405" s="11"/>
      <c r="BX405" s="11"/>
      <c r="BY405" s="11"/>
      <c r="BZ405" s="11"/>
      <c r="CA405" s="11"/>
      <c r="CB405" s="11"/>
    </row>
    <row r="406" ht="15.75" customHeight="1">
      <c r="BQ406" s="11"/>
      <c r="BR406" s="11"/>
      <c r="BS406" s="11"/>
      <c r="BT406" s="11"/>
      <c r="BU406" s="11"/>
      <c r="BV406" s="11"/>
      <c r="BW406" s="11"/>
      <c r="BX406" s="11"/>
      <c r="BY406" s="11"/>
      <c r="BZ406" s="11"/>
      <c r="CA406" s="11"/>
      <c r="CB406" s="11"/>
    </row>
    <row r="407" ht="15.75" customHeight="1">
      <c r="BQ407" s="11"/>
      <c r="BR407" s="11"/>
      <c r="BS407" s="11"/>
      <c r="BT407" s="11"/>
      <c r="BU407" s="11"/>
      <c r="BV407" s="11"/>
      <c r="BW407" s="11"/>
      <c r="BX407" s="11"/>
      <c r="BY407" s="11"/>
      <c r="BZ407" s="11"/>
      <c r="CA407" s="11"/>
      <c r="CB407" s="11"/>
    </row>
    <row r="408" ht="15.75" customHeight="1">
      <c r="BQ408" s="11"/>
      <c r="BR408" s="11"/>
      <c r="BS408" s="11"/>
      <c r="BT408" s="11"/>
      <c r="BU408" s="11"/>
      <c r="BV408" s="11"/>
      <c r="BW408" s="11"/>
      <c r="BX408" s="11"/>
      <c r="BY408" s="11"/>
      <c r="BZ408" s="11"/>
      <c r="CA408" s="11"/>
      <c r="CB408" s="11"/>
    </row>
    <row r="409" ht="15.75" customHeight="1">
      <c r="BQ409" s="11"/>
      <c r="BR409" s="11"/>
      <c r="BS409" s="11"/>
      <c r="BT409" s="11"/>
      <c r="BU409" s="11"/>
      <c r="BV409" s="11"/>
      <c r="BW409" s="11"/>
      <c r="BX409" s="11"/>
      <c r="BY409" s="11"/>
      <c r="BZ409" s="11"/>
      <c r="CA409" s="11"/>
      <c r="CB409" s="11"/>
    </row>
    <row r="410" ht="15.75" customHeight="1">
      <c r="BQ410" s="11"/>
      <c r="BR410" s="11"/>
      <c r="BS410" s="11"/>
      <c r="BT410" s="11"/>
      <c r="BU410" s="11"/>
      <c r="BV410" s="11"/>
      <c r="BW410" s="11"/>
      <c r="BX410" s="11"/>
      <c r="BY410" s="11"/>
      <c r="BZ410" s="11"/>
      <c r="CA410" s="11"/>
      <c r="CB410" s="11"/>
    </row>
    <row r="411" ht="15.75" customHeight="1">
      <c r="BQ411" s="11"/>
      <c r="BR411" s="11"/>
      <c r="BS411" s="11"/>
      <c r="BT411" s="11"/>
      <c r="BU411" s="11"/>
      <c r="BV411" s="11"/>
      <c r="BW411" s="11"/>
      <c r="BX411" s="11"/>
      <c r="BY411" s="11"/>
      <c r="BZ411" s="11"/>
      <c r="CA411" s="11"/>
      <c r="CB411" s="11"/>
    </row>
    <row r="412" ht="15.75" customHeight="1">
      <c r="BQ412" s="11"/>
      <c r="BR412" s="11"/>
      <c r="BS412" s="11"/>
      <c r="BT412" s="11"/>
      <c r="BU412" s="11"/>
      <c r="BV412" s="11"/>
      <c r="BW412" s="11"/>
      <c r="BX412" s="11"/>
      <c r="BY412" s="11"/>
      <c r="BZ412" s="11"/>
      <c r="CA412" s="11"/>
      <c r="CB412" s="11"/>
    </row>
    <row r="413" ht="15.75" customHeight="1">
      <c r="BQ413" s="11"/>
      <c r="BR413" s="11"/>
      <c r="BS413" s="11"/>
      <c r="BT413" s="11"/>
      <c r="BU413" s="11"/>
      <c r="BV413" s="11"/>
      <c r="BW413" s="11"/>
      <c r="BX413" s="11"/>
      <c r="BY413" s="11"/>
      <c r="BZ413" s="11"/>
      <c r="CA413" s="11"/>
      <c r="CB413" s="11"/>
    </row>
    <row r="414" ht="15.75" customHeight="1">
      <c r="BQ414" s="11"/>
      <c r="BR414" s="11"/>
      <c r="BS414" s="11"/>
      <c r="BT414" s="11"/>
      <c r="BU414" s="11"/>
      <c r="BV414" s="11"/>
      <c r="BW414" s="11"/>
      <c r="BX414" s="11"/>
      <c r="BY414" s="11"/>
      <c r="BZ414" s="11"/>
      <c r="CA414" s="11"/>
      <c r="CB414" s="11"/>
    </row>
    <row r="415" ht="15.75" customHeight="1">
      <c r="BQ415" s="11"/>
      <c r="BR415" s="11"/>
      <c r="BS415" s="11"/>
      <c r="BT415" s="11"/>
      <c r="BU415" s="11"/>
      <c r="BV415" s="11"/>
      <c r="BW415" s="11"/>
      <c r="BX415" s="11"/>
      <c r="BY415" s="11"/>
      <c r="BZ415" s="11"/>
      <c r="CA415" s="11"/>
      <c r="CB415" s="11"/>
    </row>
    <row r="416" ht="15.75" customHeight="1">
      <c r="BQ416" s="11"/>
      <c r="BR416" s="11"/>
      <c r="BS416" s="11"/>
      <c r="BT416" s="11"/>
      <c r="BU416" s="11"/>
      <c r="BV416" s="11"/>
      <c r="BW416" s="11"/>
      <c r="BX416" s="11"/>
      <c r="BY416" s="11"/>
      <c r="BZ416" s="11"/>
      <c r="CA416" s="11"/>
      <c r="CB416" s="11"/>
    </row>
    <row r="417" ht="15.75" customHeight="1">
      <c r="BQ417" s="11"/>
      <c r="BR417" s="11"/>
      <c r="BS417" s="11"/>
      <c r="BT417" s="11"/>
      <c r="BU417" s="11"/>
      <c r="BV417" s="11"/>
      <c r="BW417" s="11"/>
      <c r="BX417" s="11"/>
      <c r="BY417" s="11"/>
      <c r="BZ417" s="11"/>
      <c r="CA417" s="11"/>
      <c r="CB417" s="11"/>
    </row>
    <row r="418" ht="15.75" customHeight="1">
      <c r="BQ418" s="11"/>
      <c r="BR418" s="11"/>
      <c r="BS418" s="11"/>
      <c r="BT418" s="11"/>
      <c r="BU418" s="11"/>
      <c r="BV418" s="11"/>
      <c r="BW418" s="11"/>
      <c r="BX418" s="11"/>
      <c r="BY418" s="11"/>
      <c r="BZ418" s="11"/>
      <c r="CA418" s="11"/>
      <c r="CB418" s="11"/>
    </row>
    <row r="419" ht="15.75" customHeight="1">
      <c r="BQ419" s="11"/>
      <c r="BR419" s="11"/>
      <c r="BS419" s="11"/>
      <c r="BT419" s="11"/>
      <c r="BU419" s="11"/>
      <c r="BV419" s="11"/>
      <c r="BW419" s="11"/>
      <c r="BX419" s="11"/>
      <c r="BY419" s="11"/>
      <c r="BZ419" s="11"/>
      <c r="CA419" s="11"/>
      <c r="CB419" s="11"/>
    </row>
    <row r="420" ht="15.75" customHeight="1">
      <c r="BQ420" s="11"/>
      <c r="BR420" s="11"/>
      <c r="BS420" s="11"/>
      <c r="BT420" s="11"/>
      <c r="BU420" s="11"/>
      <c r="BV420" s="11"/>
      <c r="BW420" s="11"/>
      <c r="BX420" s="11"/>
      <c r="BY420" s="11"/>
      <c r="BZ420" s="11"/>
      <c r="CA420" s="11"/>
      <c r="CB420" s="11"/>
    </row>
    <row r="421" ht="15.75" customHeight="1">
      <c r="BQ421" s="11"/>
      <c r="BR421" s="11"/>
      <c r="BS421" s="11"/>
      <c r="BT421" s="11"/>
      <c r="BU421" s="11"/>
      <c r="BV421" s="11"/>
      <c r="BW421" s="11"/>
      <c r="BX421" s="11"/>
      <c r="BY421" s="11"/>
      <c r="BZ421" s="11"/>
      <c r="CA421" s="11"/>
      <c r="CB421" s="11"/>
    </row>
    <row r="422" ht="15.75" customHeight="1">
      <c r="BQ422" s="11"/>
      <c r="BR422" s="11"/>
      <c r="BS422" s="11"/>
      <c r="BT422" s="11"/>
      <c r="BU422" s="11"/>
      <c r="BV422" s="11"/>
      <c r="BW422" s="11"/>
      <c r="BX422" s="11"/>
      <c r="BY422" s="11"/>
      <c r="BZ422" s="11"/>
      <c r="CA422" s="11"/>
      <c r="CB422" s="11"/>
    </row>
    <row r="423" ht="15.75" customHeight="1">
      <c r="BQ423" s="11"/>
      <c r="BR423" s="11"/>
      <c r="BS423" s="11"/>
      <c r="BT423" s="11"/>
      <c r="BU423" s="11"/>
      <c r="BV423" s="11"/>
      <c r="BW423" s="11"/>
      <c r="BX423" s="11"/>
      <c r="BY423" s="11"/>
      <c r="BZ423" s="11"/>
      <c r="CA423" s="11"/>
      <c r="CB423" s="11"/>
    </row>
    <row r="424" ht="15.75" customHeight="1">
      <c r="BQ424" s="11"/>
      <c r="BR424" s="11"/>
      <c r="BS424" s="11"/>
      <c r="BT424" s="11"/>
      <c r="BU424" s="11"/>
      <c r="BV424" s="11"/>
      <c r="BW424" s="11"/>
      <c r="BX424" s="11"/>
      <c r="BY424" s="11"/>
      <c r="BZ424" s="11"/>
      <c r="CA424" s="11"/>
      <c r="CB424" s="11"/>
    </row>
    <row r="425" ht="15.75" customHeight="1">
      <c r="BQ425" s="11"/>
      <c r="BR425" s="11"/>
      <c r="BS425" s="11"/>
      <c r="BT425" s="11"/>
      <c r="BU425" s="11"/>
      <c r="BV425" s="11"/>
      <c r="BW425" s="11"/>
      <c r="BX425" s="11"/>
      <c r="BY425" s="11"/>
      <c r="BZ425" s="11"/>
      <c r="CA425" s="11"/>
      <c r="CB425" s="11"/>
    </row>
    <row r="426" ht="15.75" customHeight="1">
      <c r="BQ426" s="11"/>
      <c r="BR426" s="11"/>
      <c r="BS426" s="11"/>
      <c r="BT426" s="11"/>
      <c r="BU426" s="11"/>
      <c r="BV426" s="11"/>
      <c r="BW426" s="11"/>
      <c r="BX426" s="11"/>
      <c r="BY426" s="11"/>
      <c r="BZ426" s="11"/>
      <c r="CA426" s="11"/>
      <c r="CB426" s="11"/>
    </row>
    <row r="427" ht="15.75" customHeight="1">
      <c r="BQ427" s="11"/>
      <c r="BR427" s="11"/>
      <c r="BS427" s="11"/>
      <c r="BT427" s="11"/>
      <c r="BU427" s="11"/>
      <c r="BV427" s="11"/>
      <c r="BW427" s="11"/>
      <c r="BX427" s="11"/>
      <c r="BY427" s="11"/>
      <c r="BZ427" s="11"/>
      <c r="CA427" s="11"/>
      <c r="CB427" s="11"/>
    </row>
    <row r="428" ht="15.75" customHeight="1">
      <c r="BQ428" s="11"/>
      <c r="BR428" s="11"/>
      <c r="BS428" s="11"/>
      <c r="BT428" s="11"/>
      <c r="BU428" s="11"/>
      <c r="BV428" s="11"/>
      <c r="BW428" s="11"/>
      <c r="BX428" s="11"/>
      <c r="BY428" s="11"/>
      <c r="BZ428" s="11"/>
      <c r="CA428" s="11"/>
      <c r="CB428" s="11"/>
    </row>
    <row r="429" ht="15.75" customHeight="1">
      <c r="BQ429" s="11"/>
      <c r="BR429" s="11"/>
      <c r="BS429" s="11"/>
      <c r="BT429" s="11"/>
      <c r="BU429" s="11"/>
      <c r="BV429" s="11"/>
      <c r="BW429" s="11"/>
      <c r="BX429" s="11"/>
      <c r="BY429" s="11"/>
      <c r="BZ429" s="11"/>
      <c r="CA429" s="11"/>
      <c r="CB429" s="11"/>
    </row>
    <row r="430" ht="15.75" customHeight="1">
      <c r="BQ430" s="11"/>
      <c r="BR430" s="11"/>
      <c r="BS430" s="11"/>
      <c r="BT430" s="11"/>
      <c r="BU430" s="11"/>
      <c r="BV430" s="11"/>
      <c r="BW430" s="11"/>
      <c r="BX430" s="11"/>
      <c r="BY430" s="11"/>
      <c r="BZ430" s="11"/>
      <c r="CA430" s="11"/>
      <c r="CB430" s="11"/>
    </row>
    <row r="431" ht="15.75" customHeight="1">
      <c r="BQ431" s="11"/>
      <c r="BR431" s="11"/>
      <c r="BS431" s="11"/>
      <c r="BT431" s="11"/>
      <c r="BU431" s="11"/>
      <c r="BV431" s="11"/>
      <c r="BW431" s="11"/>
      <c r="BX431" s="11"/>
      <c r="BY431" s="11"/>
      <c r="BZ431" s="11"/>
      <c r="CA431" s="11"/>
      <c r="CB431" s="11"/>
    </row>
    <row r="432" ht="15.75" customHeight="1">
      <c r="BQ432" s="11"/>
      <c r="BR432" s="11"/>
      <c r="BS432" s="11"/>
      <c r="BT432" s="11"/>
      <c r="BU432" s="11"/>
      <c r="BV432" s="11"/>
      <c r="BW432" s="11"/>
      <c r="BX432" s="11"/>
      <c r="BY432" s="11"/>
      <c r="BZ432" s="11"/>
      <c r="CA432" s="11"/>
      <c r="CB432" s="11"/>
    </row>
    <row r="433" ht="15.75" customHeight="1">
      <c r="BQ433" s="11"/>
      <c r="BR433" s="11"/>
      <c r="BS433" s="11"/>
      <c r="BT433" s="11"/>
      <c r="BU433" s="11"/>
      <c r="BV433" s="11"/>
      <c r="BW433" s="11"/>
      <c r="BX433" s="11"/>
      <c r="BY433" s="11"/>
      <c r="BZ433" s="11"/>
      <c r="CA433" s="11"/>
      <c r="CB433" s="11"/>
    </row>
    <row r="434" ht="15.75" customHeight="1">
      <c r="BQ434" s="11"/>
      <c r="BR434" s="11"/>
      <c r="BS434" s="11"/>
      <c r="BT434" s="11"/>
      <c r="BU434" s="11"/>
      <c r="BV434" s="11"/>
      <c r="BW434" s="11"/>
      <c r="BX434" s="11"/>
      <c r="BY434" s="11"/>
      <c r="BZ434" s="11"/>
      <c r="CA434" s="11"/>
      <c r="CB434" s="11"/>
    </row>
    <row r="435" ht="15.75" customHeight="1">
      <c r="BQ435" s="11"/>
      <c r="BR435" s="11"/>
      <c r="BS435" s="11"/>
      <c r="BT435" s="11"/>
      <c r="BU435" s="11"/>
      <c r="BV435" s="11"/>
      <c r="BW435" s="11"/>
      <c r="BX435" s="11"/>
      <c r="BY435" s="11"/>
      <c r="BZ435" s="11"/>
      <c r="CA435" s="11"/>
      <c r="CB435" s="11"/>
    </row>
    <row r="436" ht="15.75" customHeight="1">
      <c r="BQ436" s="11"/>
      <c r="BR436" s="11"/>
      <c r="BS436" s="11"/>
      <c r="BT436" s="11"/>
      <c r="BU436" s="11"/>
      <c r="BV436" s="11"/>
      <c r="BW436" s="11"/>
      <c r="BX436" s="11"/>
      <c r="BY436" s="11"/>
      <c r="BZ436" s="11"/>
      <c r="CA436" s="11"/>
      <c r="CB436" s="11"/>
    </row>
    <row r="437" ht="15.75" customHeight="1">
      <c r="BQ437" s="11"/>
      <c r="BR437" s="11"/>
      <c r="BS437" s="11"/>
      <c r="BT437" s="11"/>
      <c r="BU437" s="11"/>
      <c r="BV437" s="11"/>
      <c r="BW437" s="11"/>
      <c r="BX437" s="11"/>
      <c r="BY437" s="11"/>
      <c r="BZ437" s="11"/>
      <c r="CA437" s="11"/>
      <c r="CB437" s="11"/>
    </row>
    <row r="438" ht="15.75" customHeight="1">
      <c r="BQ438" s="11"/>
      <c r="BR438" s="11"/>
      <c r="BS438" s="11"/>
      <c r="BT438" s="11"/>
      <c r="BU438" s="11"/>
      <c r="BV438" s="11"/>
      <c r="BW438" s="11"/>
      <c r="BX438" s="11"/>
      <c r="BY438" s="11"/>
      <c r="BZ438" s="11"/>
      <c r="CA438" s="11"/>
      <c r="CB438" s="11"/>
    </row>
    <row r="439" ht="15.75" customHeight="1">
      <c r="BQ439" s="11"/>
      <c r="BR439" s="11"/>
      <c r="BS439" s="11"/>
      <c r="BT439" s="11"/>
      <c r="BU439" s="11"/>
      <c r="BV439" s="11"/>
      <c r="BW439" s="11"/>
      <c r="BX439" s="11"/>
      <c r="BY439" s="11"/>
      <c r="BZ439" s="11"/>
      <c r="CA439" s="11"/>
      <c r="CB439" s="11"/>
    </row>
    <row r="440" ht="15.75" customHeight="1">
      <c r="BQ440" s="11"/>
      <c r="BR440" s="11"/>
      <c r="BS440" s="11"/>
      <c r="BT440" s="11"/>
      <c r="BU440" s="11"/>
      <c r="BV440" s="11"/>
      <c r="BW440" s="11"/>
      <c r="BX440" s="11"/>
      <c r="BY440" s="11"/>
      <c r="BZ440" s="11"/>
      <c r="CA440" s="11"/>
      <c r="CB440" s="11"/>
    </row>
    <row r="441" ht="15.75" customHeight="1">
      <c r="BQ441" s="11"/>
      <c r="BR441" s="11"/>
      <c r="BS441" s="11"/>
      <c r="BT441" s="11"/>
      <c r="BU441" s="11"/>
      <c r="BV441" s="11"/>
      <c r="BW441" s="11"/>
      <c r="BX441" s="11"/>
      <c r="BY441" s="11"/>
      <c r="BZ441" s="11"/>
      <c r="CA441" s="11"/>
      <c r="CB441" s="11"/>
    </row>
    <row r="442" ht="15.75" customHeight="1">
      <c r="BQ442" s="11"/>
      <c r="BR442" s="11"/>
      <c r="BS442" s="11"/>
      <c r="BT442" s="11"/>
      <c r="BU442" s="11"/>
      <c r="BV442" s="11"/>
      <c r="BW442" s="11"/>
      <c r="BX442" s="11"/>
      <c r="BY442" s="11"/>
      <c r="BZ442" s="11"/>
      <c r="CA442" s="11"/>
      <c r="CB442" s="11"/>
    </row>
    <row r="443" ht="15.75" customHeight="1">
      <c r="BQ443" s="11"/>
      <c r="BR443" s="11"/>
      <c r="BS443" s="11"/>
      <c r="BT443" s="11"/>
      <c r="BU443" s="11"/>
      <c r="BV443" s="11"/>
      <c r="BW443" s="11"/>
      <c r="BX443" s="11"/>
      <c r="BY443" s="11"/>
      <c r="BZ443" s="11"/>
      <c r="CA443" s="11"/>
      <c r="CB443" s="11"/>
    </row>
    <row r="444" ht="15.75" customHeight="1">
      <c r="BQ444" s="11"/>
      <c r="BR444" s="11"/>
      <c r="BS444" s="11"/>
      <c r="BT444" s="11"/>
      <c r="BU444" s="11"/>
      <c r="BV444" s="11"/>
      <c r="BW444" s="11"/>
      <c r="BX444" s="11"/>
      <c r="BY444" s="11"/>
      <c r="BZ444" s="11"/>
      <c r="CA444" s="11"/>
      <c r="CB444" s="11"/>
    </row>
    <row r="445" ht="15.75" customHeight="1">
      <c r="BQ445" s="11"/>
      <c r="BR445" s="11"/>
      <c r="BS445" s="11"/>
      <c r="BT445" s="11"/>
      <c r="BU445" s="11"/>
      <c r="BV445" s="11"/>
      <c r="BW445" s="11"/>
      <c r="BX445" s="11"/>
      <c r="BY445" s="11"/>
      <c r="BZ445" s="11"/>
      <c r="CA445" s="11"/>
      <c r="CB445" s="11"/>
    </row>
    <row r="446" ht="15.75" customHeight="1">
      <c r="BQ446" s="11"/>
      <c r="BR446" s="11"/>
      <c r="BS446" s="11"/>
      <c r="BT446" s="11"/>
      <c r="BU446" s="11"/>
      <c r="BV446" s="11"/>
      <c r="BW446" s="11"/>
      <c r="BX446" s="11"/>
      <c r="BY446" s="11"/>
      <c r="BZ446" s="11"/>
      <c r="CA446" s="11"/>
      <c r="CB446" s="11"/>
    </row>
    <row r="447" ht="15.75" customHeight="1">
      <c r="BQ447" s="11"/>
      <c r="BR447" s="11"/>
      <c r="BS447" s="11"/>
      <c r="BT447" s="11"/>
      <c r="BU447" s="11"/>
      <c r="BV447" s="11"/>
      <c r="BW447" s="11"/>
      <c r="BX447" s="11"/>
      <c r="BY447" s="11"/>
      <c r="BZ447" s="11"/>
      <c r="CA447" s="11"/>
      <c r="CB447" s="11"/>
    </row>
    <row r="448" ht="15.75" customHeight="1">
      <c r="BQ448" s="11"/>
      <c r="BR448" s="11"/>
      <c r="BS448" s="11"/>
      <c r="BT448" s="11"/>
      <c r="BU448" s="11"/>
      <c r="BV448" s="11"/>
      <c r="BW448" s="11"/>
      <c r="BX448" s="11"/>
      <c r="BY448" s="11"/>
      <c r="BZ448" s="11"/>
      <c r="CA448" s="11"/>
      <c r="CB448" s="11"/>
    </row>
    <row r="449" ht="15.75" customHeight="1">
      <c r="BQ449" s="11"/>
      <c r="BR449" s="11"/>
      <c r="BS449" s="11"/>
      <c r="BT449" s="11"/>
      <c r="BU449" s="11"/>
      <c r="BV449" s="11"/>
      <c r="BW449" s="11"/>
      <c r="BX449" s="11"/>
      <c r="BY449" s="11"/>
      <c r="BZ449" s="11"/>
      <c r="CA449" s="11"/>
      <c r="CB449" s="11"/>
    </row>
    <row r="450" ht="15.75" customHeight="1">
      <c r="BQ450" s="11"/>
      <c r="BR450" s="11"/>
      <c r="BS450" s="11"/>
      <c r="BT450" s="11"/>
      <c r="BU450" s="11"/>
      <c r="BV450" s="11"/>
      <c r="BW450" s="11"/>
      <c r="BX450" s="11"/>
      <c r="BY450" s="11"/>
      <c r="BZ450" s="11"/>
      <c r="CA450" s="11"/>
      <c r="CB450" s="11"/>
    </row>
    <row r="451" ht="15.75" customHeight="1">
      <c r="BQ451" s="11"/>
      <c r="BR451" s="11"/>
      <c r="BS451" s="11"/>
      <c r="BT451" s="11"/>
      <c r="BU451" s="11"/>
      <c r="BV451" s="11"/>
      <c r="BW451" s="11"/>
      <c r="BX451" s="11"/>
      <c r="BY451" s="11"/>
      <c r="BZ451" s="11"/>
      <c r="CA451" s="11"/>
      <c r="CB451" s="11"/>
    </row>
    <row r="452" ht="15.75" customHeight="1">
      <c r="BQ452" s="11"/>
      <c r="BR452" s="11"/>
      <c r="BS452" s="11"/>
      <c r="BT452" s="11"/>
      <c r="BU452" s="11"/>
      <c r="BV452" s="11"/>
      <c r="BW452" s="11"/>
      <c r="BX452" s="11"/>
      <c r="BY452" s="11"/>
      <c r="BZ452" s="11"/>
      <c r="CA452" s="11"/>
      <c r="CB452" s="11"/>
    </row>
    <row r="453" ht="15.75" customHeight="1">
      <c r="BQ453" s="11"/>
      <c r="BR453" s="11"/>
      <c r="BS453" s="11"/>
      <c r="BT453" s="11"/>
      <c r="BU453" s="11"/>
      <c r="BV453" s="11"/>
      <c r="BW453" s="11"/>
      <c r="BX453" s="11"/>
      <c r="BY453" s="11"/>
      <c r="BZ453" s="11"/>
      <c r="CA453" s="11"/>
      <c r="CB453" s="11"/>
    </row>
    <row r="454" ht="15.75" customHeight="1">
      <c r="BQ454" s="11"/>
      <c r="BR454" s="11"/>
      <c r="BS454" s="11"/>
      <c r="BT454" s="11"/>
      <c r="BU454" s="11"/>
      <c r="BV454" s="11"/>
      <c r="BW454" s="11"/>
      <c r="BX454" s="11"/>
      <c r="BY454" s="11"/>
      <c r="BZ454" s="11"/>
      <c r="CA454" s="11"/>
      <c r="CB454" s="11"/>
    </row>
    <row r="455" ht="15.75" customHeight="1">
      <c r="BQ455" s="11"/>
      <c r="BR455" s="11"/>
      <c r="BS455" s="11"/>
      <c r="BT455" s="11"/>
      <c r="BU455" s="11"/>
      <c r="BV455" s="11"/>
      <c r="BW455" s="11"/>
      <c r="BX455" s="11"/>
      <c r="BY455" s="11"/>
      <c r="BZ455" s="11"/>
      <c r="CA455" s="11"/>
      <c r="CB455" s="11"/>
    </row>
    <row r="456" ht="15.75" customHeight="1">
      <c r="BQ456" s="11"/>
      <c r="BR456" s="11"/>
      <c r="BS456" s="11"/>
      <c r="BT456" s="11"/>
      <c r="BU456" s="11"/>
      <c r="BV456" s="11"/>
      <c r="BW456" s="11"/>
      <c r="BX456" s="11"/>
      <c r="BY456" s="11"/>
      <c r="BZ456" s="11"/>
      <c r="CA456" s="11"/>
      <c r="CB456" s="11"/>
    </row>
    <row r="457" ht="15.75" customHeight="1">
      <c r="BQ457" s="11"/>
      <c r="BR457" s="11"/>
      <c r="BS457" s="11"/>
      <c r="BT457" s="11"/>
      <c r="BU457" s="11"/>
      <c r="BV457" s="11"/>
      <c r="BW457" s="11"/>
      <c r="BX457" s="11"/>
      <c r="BY457" s="11"/>
      <c r="BZ457" s="11"/>
      <c r="CA457" s="11"/>
      <c r="CB457" s="11"/>
    </row>
    <row r="458" ht="15.75" customHeight="1">
      <c r="BQ458" s="11"/>
      <c r="BR458" s="11"/>
      <c r="BS458" s="11"/>
      <c r="BT458" s="11"/>
      <c r="BU458" s="11"/>
      <c r="BV458" s="11"/>
      <c r="BW458" s="11"/>
      <c r="BX458" s="11"/>
      <c r="BY458" s="11"/>
      <c r="BZ458" s="11"/>
      <c r="CA458" s="11"/>
      <c r="CB458" s="11"/>
    </row>
    <row r="459" ht="15.75" customHeight="1">
      <c r="BQ459" s="11"/>
      <c r="BR459" s="11"/>
      <c r="BS459" s="11"/>
      <c r="BT459" s="11"/>
      <c r="BU459" s="11"/>
      <c r="BV459" s="11"/>
      <c r="BW459" s="11"/>
      <c r="BX459" s="11"/>
      <c r="BY459" s="11"/>
      <c r="BZ459" s="11"/>
      <c r="CA459" s="11"/>
      <c r="CB459" s="11"/>
    </row>
    <row r="460" ht="15.75" customHeight="1">
      <c r="BQ460" s="11"/>
      <c r="BR460" s="11"/>
      <c r="BS460" s="11"/>
      <c r="BT460" s="11"/>
      <c r="BU460" s="11"/>
      <c r="BV460" s="11"/>
      <c r="BW460" s="11"/>
      <c r="BX460" s="11"/>
      <c r="BY460" s="11"/>
      <c r="BZ460" s="11"/>
      <c r="CA460" s="11"/>
      <c r="CB460" s="11"/>
    </row>
    <row r="461" ht="15.75" customHeight="1">
      <c r="BQ461" s="11"/>
      <c r="BR461" s="11"/>
      <c r="BS461" s="11"/>
      <c r="BT461" s="11"/>
      <c r="BU461" s="11"/>
      <c r="BV461" s="11"/>
      <c r="BW461" s="11"/>
      <c r="BX461" s="11"/>
      <c r="BY461" s="11"/>
      <c r="BZ461" s="11"/>
      <c r="CA461" s="11"/>
      <c r="CB461" s="11"/>
    </row>
    <row r="462" ht="15.75" customHeight="1">
      <c r="BQ462" s="11"/>
      <c r="BR462" s="11"/>
      <c r="BS462" s="11"/>
      <c r="BT462" s="11"/>
      <c r="BU462" s="11"/>
      <c r="BV462" s="11"/>
      <c r="BW462" s="11"/>
      <c r="BX462" s="11"/>
      <c r="BY462" s="11"/>
      <c r="BZ462" s="11"/>
      <c r="CA462" s="11"/>
      <c r="CB462" s="11"/>
    </row>
    <row r="463" ht="15.75" customHeight="1">
      <c r="BQ463" s="11"/>
      <c r="BR463" s="11"/>
      <c r="BS463" s="11"/>
      <c r="BT463" s="11"/>
      <c r="BU463" s="11"/>
      <c r="BV463" s="11"/>
      <c r="BW463" s="11"/>
      <c r="BX463" s="11"/>
      <c r="BY463" s="11"/>
      <c r="BZ463" s="11"/>
      <c r="CA463" s="11"/>
      <c r="CB463" s="11"/>
    </row>
    <row r="464" ht="15.75" customHeight="1">
      <c r="BQ464" s="11"/>
      <c r="BR464" s="11"/>
      <c r="BS464" s="11"/>
      <c r="BT464" s="11"/>
      <c r="BU464" s="11"/>
      <c r="BV464" s="11"/>
      <c r="BW464" s="11"/>
      <c r="BX464" s="11"/>
      <c r="BY464" s="11"/>
      <c r="BZ464" s="11"/>
      <c r="CA464" s="11"/>
      <c r="CB464" s="11"/>
    </row>
    <row r="465" ht="15.75" customHeight="1">
      <c r="BQ465" s="11"/>
      <c r="BR465" s="11"/>
      <c r="BS465" s="11"/>
      <c r="BT465" s="11"/>
      <c r="BU465" s="11"/>
      <c r="BV465" s="11"/>
      <c r="BW465" s="11"/>
      <c r="BX465" s="11"/>
      <c r="BY465" s="11"/>
      <c r="BZ465" s="11"/>
      <c r="CA465" s="11"/>
      <c r="CB465" s="11"/>
    </row>
    <row r="466" ht="15.75" customHeight="1">
      <c r="BQ466" s="11"/>
      <c r="BR466" s="11"/>
      <c r="BS466" s="11"/>
      <c r="BT466" s="11"/>
      <c r="BU466" s="11"/>
      <c r="BV466" s="11"/>
      <c r="BW466" s="11"/>
      <c r="BX466" s="11"/>
      <c r="BY466" s="11"/>
      <c r="BZ466" s="11"/>
      <c r="CA466" s="11"/>
      <c r="CB466" s="11"/>
    </row>
    <row r="467" ht="15.75" customHeight="1">
      <c r="BQ467" s="11"/>
      <c r="BR467" s="11"/>
      <c r="BS467" s="11"/>
      <c r="BT467" s="11"/>
      <c r="BU467" s="11"/>
      <c r="BV467" s="11"/>
      <c r="BW467" s="11"/>
      <c r="BX467" s="11"/>
      <c r="BY467" s="11"/>
      <c r="BZ467" s="11"/>
      <c r="CA467" s="11"/>
      <c r="CB467" s="11"/>
    </row>
    <row r="468" ht="15.75" customHeight="1">
      <c r="BQ468" s="11"/>
      <c r="BR468" s="11"/>
      <c r="BS468" s="11"/>
      <c r="BT468" s="11"/>
      <c r="BU468" s="11"/>
      <c r="BV468" s="11"/>
      <c r="BW468" s="11"/>
      <c r="BX468" s="11"/>
      <c r="BY468" s="11"/>
      <c r="BZ468" s="11"/>
      <c r="CA468" s="11"/>
      <c r="CB468" s="11"/>
    </row>
    <row r="469" ht="15.75" customHeight="1">
      <c r="BQ469" s="11"/>
      <c r="BR469" s="11"/>
      <c r="BS469" s="11"/>
      <c r="BT469" s="11"/>
      <c r="BU469" s="11"/>
      <c r="BV469" s="11"/>
      <c r="BW469" s="11"/>
      <c r="BX469" s="11"/>
      <c r="BY469" s="11"/>
      <c r="BZ469" s="11"/>
      <c r="CA469" s="11"/>
      <c r="CB469" s="11"/>
    </row>
    <row r="470" ht="15.75" customHeight="1">
      <c r="BQ470" s="11"/>
      <c r="BR470" s="11"/>
      <c r="BS470" s="11"/>
      <c r="BT470" s="11"/>
      <c r="BU470" s="11"/>
      <c r="BV470" s="11"/>
      <c r="BW470" s="11"/>
      <c r="BX470" s="11"/>
      <c r="BY470" s="11"/>
      <c r="BZ470" s="11"/>
      <c r="CA470" s="11"/>
      <c r="CB470" s="11"/>
    </row>
    <row r="471" ht="15.75" customHeight="1">
      <c r="BQ471" s="11"/>
      <c r="BR471" s="11"/>
      <c r="BS471" s="11"/>
      <c r="BT471" s="11"/>
      <c r="BU471" s="11"/>
      <c r="BV471" s="11"/>
      <c r="BW471" s="11"/>
      <c r="BX471" s="11"/>
      <c r="BY471" s="11"/>
      <c r="BZ471" s="11"/>
      <c r="CA471" s="11"/>
      <c r="CB471" s="11"/>
    </row>
    <row r="472" ht="15.75" customHeight="1">
      <c r="BQ472" s="11"/>
      <c r="BR472" s="11"/>
      <c r="BS472" s="11"/>
      <c r="BT472" s="11"/>
      <c r="BU472" s="11"/>
      <c r="BV472" s="11"/>
      <c r="BW472" s="11"/>
      <c r="BX472" s="11"/>
      <c r="BY472" s="11"/>
      <c r="BZ472" s="11"/>
      <c r="CA472" s="11"/>
      <c r="CB472" s="11"/>
    </row>
    <row r="473" ht="15.75" customHeight="1">
      <c r="BQ473" s="11"/>
      <c r="BR473" s="11"/>
      <c r="BS473" s="11"/>
      <c r="BT473" s="11"/>
      <c r="BU473" s="11"/>
      <c r="BV473" s="11"/>
      <c r="BW473" s="11"/>
      <c r="BX473" s="11"/>
      <c r="BY473" s="11"/>
      <c r="BZ473" s="11"/>
      <c r="CA473" s="11"/>
      <c r="CB473" s="11"/>
    </row>
    <row r="474" ht="15.75" customHeight="1">
      <c r="BQ474" s="11"/>
      <c r="BR474" s="11"/>
      <c r="BS474" s="11"/>
      <c r="BT474" s="11"/>
      <c r="BU474" s="11"/>
      <c r="BV474" s="11"/>
      <c r="BW474" s="11"/>
      <c r="BX474" s="11"/>
      <c r="BY474" s="11"/>
      <c r="BZ474" s="11"/>
      <c r="CA474" s="11"/>
      <c r="CB474" s="11"/>
    </row>
    <row r="475" ht="15.75" customHeight="1">
      <c r="BQ475" s="11"/>
      <c r="BR475" s="11"/>
      <c r="BS475" s="11"/>
      <c r="BT475" s="11"/>
      <c r="BU475" s="11"/>
      <c r="BV475" s="11"/>
      <c r="BW475" s="11"/>
      <c r="BX475" s="11"/>
      <c r="BY475" s="11"/>
      <c r="BZ475" s="11"/>
      <c r="CA475" s="11"/>
      <c r="CB475" s="11"/>
    </row>
    <row r="476" ht="15.75" customHeight="1">
      <c r="BQ476" s="11"/>
      <c r="BR476" s="11"/>
      <c r="BS476" s="11"/>
      <c r="BT476" s="11"/>
      <c r="BU476" s="11"/>
      <c r="BV476" s="11"/>
      <c r="BW476" s="11"/>
      <c r="BX476" s="11"/>
      <c r="BY476" s="11"/>
      <c r="BZ476" s="11"/>
      <c r="CA476" s="11"/>
      <c r="CB476" s="11"/>
    </row>
    <row r="477" ht="15.75" customHeight="1">
      <c r="BQ477" s="11"/>
      <c r="BR477" s="11"/>
      <c r="BS477" s="11"/>
      <c r="BT477" s="11"/>
      <c r="BU477" s="11"/>
      <c r="BV477" s="11"/>
      <c r="BW477" s="11"/>
      <c r="BX477" s="11"/>
      <c r="BY477" s="11"/>
      <c r="BZ477" s="11"/>
      <c r="CA477" s="11"/>
      <c r="CB477" s="11"/>
    </row>
    <row r="478" ht="15.75" customHeight="1">
      <c r="BQ478" s="11"/>
      <c r="BR478" s="11"/>
      <c r="BS478" s="11"/>
      <c r="BT478" s="11"/>
      <c r="BU478" s="11"/>
      <c r="BV478" s="11"/>
      <c r="BW478" s="11"/>
      <c r="BX478" s="11"/>
      <c r="BY478" s="11"/>
      <c r="BZ478" s="11"/>
      <c r="CA478" s="11"/>
      <c r="CB478" s="11"/>
    </row>
    <row r="479" ht="15.75" customHeight="1">
      <c r="BQ479" s="11"/>
      <c r="BR479" s="11"/>
      <c r="BS479" s="11"/>
      <c r="BT479" s="11"/>
      <c r="BU479" s="11"/>
      <c r="BV479" s="11"/>
      <c r="BW479" s="11"/>
      <c r="BX479" s="11"/>
      <c r="BY479" s="11"/>
      <c r="BZ479" s="11"/>
      <c r="CA479" s="11"/>
      <c r="CB479" s="11"/>
    </row>
    <row r="480" ht="15.75" customHeight="1">
      <c r="BQ480" s="11"/>
      <c r="BR480" s="11"/>
      <c r="BS480" s="11"/>
      <c r="BT480" s="11"/>
      <c r="BU480" s="11"/>
      <c r="BV480" s="11"/>
      <c r="BW480" s="11"/>
      <c r="BX480" s="11"/>
      <c r="BY480" s="11"/>
      <c r="BZ480" s="11"/>
      <c r="CA480" s="11"/>
      <c r="CB480" s="11"/>
    </row>
    <row r="481" ht="15.75" customHeight="1">
      <c r="BQ481" s="11"/>
      <c r="BR481" s="11"/>
      <c r="BS481" s="11"/>
      <c r="BT481" s="11"/>
      <c r="BU481" s="11"/>
      <c r="BV481" s="11"/>
      <c r="BW481" s="11"/>
      <c r="BX481" s="11"/>
      <c r="BY481" s="11"/>
      <c r="BZ481" s="11"/>
      <c r="CA481" s="11"/>
      <c r="CB481" s="11"/>
    </row>
    <row r="482" ht="15.75" customHeight="1">
      <c r="BQ482" s="11"/>
      <c r="BR482" s="11"/>
      <c r="BS482" s="11"/>
      <c r="BT482" s="11"/>
      <c r="BU482" s="11"/>
      <c r="BV482" s="11"/>
      <c r="BW482" s="11"/>
      <c r="BX482" s="11"/>
      <c r="BY482" s="11"/>
      <c r="BZ482" s="11"/>
      <c r="CA482" s="11"/>
      <c r="CB482" s="11"/>
    </row>
    <row r="483" ht="15.75" customHeight="1">
      <c r="BQ483" s="11"/>
      <c r="BR483" s="11"/>
      <c r="BS483" s="11"/>
      <c r="BT483" s="11"/>
      <c r="BU483" s="11"/>
      <c r="BV483" s="11"/>
      <c r="BW483" s="11"/>
      <c r="BX483" s="11"/>
      <c r="BY483" s="11"/>
      <c r="BZ483" s="11"/>
      <c r="CA483" s="11"/>
      <c r="CB483" s="11"/>
    </row>
    <row r="484" ht="15.75" customHeight="1">
      <c r="BQ484" s="11"/>
      <c r="BR484" s="11"/>
      <c r="BS484" s="11"/>
      <c r="BT484" s="11"/>
      <c r="BU484" s="11"/>
      <c r="BV484" s="11"/>
      <c r="BW484" s="11"/>
      <c r="BX484" s="11"/>
      <c r="BY484" s="11"/>
      <c r="BZ484" s="11"/>
      <c r="CA484" s="11"/>
      <c r="CB484" s="11"/>
    </row>
    <row r="485" ht="15.75" customHeight="1">
      <c r="BQ485" s="11"/>
      <c r="BR485" s="11"/>
      <c r="BS485" s="11"/>
      <c r="BT485" s="11"/>
      <c r="BU485" s="11"/>
      <c r="BV485" s="11"/>
      <c r="BW485" s="11"/>
      <c r="BX485" s="11"/>
      <c r="BY485" s="11"/>
      <c r="BZ485" s="11"/>
      <c r="CA485" s="11"/>
      <c r="CB485" s="11"/>
    </row>
    <row r="486" ht="15.75" customHeight="1">
      <c r="BQ486" s="11"/>
      <c r="BR486" s="11"/>
      <c r="BS486" s="11"/>
      <c r="BT486" s="11"/>
      <c r="BU486" s="11"/>
      <c r="BV486" s="11"/>
      <c r="BW486" s="11"/>
      <c r="BX486" s="11"/>
      <c r="BY486" s="11"/>
      <c r="BZ486" s="11"/>
      <c r="CA486" s="11"/>
      <c r="CB486" s="11"/>
    </row>
    <row r="487" ht="15.75" customHeight="1">
      <c r="BQ487" s="11"/>
      <c r="BR487" s="11"/>
      <c r="BS487" s="11"/>
      <c r="BT487" s="11"/>
      <c r="BU487" s="11"/>
      <c r="BV487" s="11"/>
      <c r="BW487" s="11"/>
      <c r="BX487" s="11"/>
      <c r="BY487" s="11"/>
      <c r="BZ487" s="11"/>
      <c r="CA487" s="11"/>
      <c r="CB487" s="11"/>
    </row>
    <row r="488" ht="15.75" customHeight="1">
      <c r="BQ488" s="11"/>
      <c r="BR488" s="11"/>
      <c r="BS488" s="11"/>
      <c r="BT488" s="11"/>
      <c r="BU488" s="11"/>
      <c r="BV488" s="11"/>
      <c r="BW488" s="11"/>
      <c r="BX488" s="11"/>
      <c r="BY488" s="11"/>
      <c r="BZ488" s="11"/>
      <c r="CA488" s="11"/>
      <c r="CB488" s="11"/>
    </row>
    <row r="489" ht="15.75" customHeight="1">
      <c r="BQ489" s="11"/>
      <c r="BR489" s="11"/>
      <c r="BS489" s="11"/>
      <c r="BT489" s="11"/>
      <c r="BU489" s="11"/>
      <c r="BV489" s="11"/>
      <c r="BW489" s="11"/>
      <c r="BX489" s="11"/>
      <c r="BY489" s="11"/>
      <c r="BZ489" s="11"/>
      <c r="CA489" s="11"/>
      <c r="CB489" s="11"/>
    </row>
    <row r="490" ht="15.75" customHeight="1">
      <c r="BQ490" s="11"/>
      <c r="BR490" s="11"/>
      <c r="BS490" s="11"/>
      <c r="BT490" s="11"/>
      <c r="BU490" s="11"/>
      <c r="BV490" s="11"/>
      <c r="BW490" s="11"/>
      <c r="BX490" s="11"/>
      <c r="BY490" s="11"/>
      <c r="BZ490" s="11"/>
      <c r="CA490" s="11"/>
      <c r="CB490" s="11"/>
    </row>
    <row r="491" ht="15.75" customHeight="1">
      <c r="BQ491" s="11"/>
      <c r="BR491" s="11"/>
      <c r="BS491" s="11"/>
      <c r="BT491" s="11"/>
      <c r="BU491" s="11"/>
      <c r="BV491" s="11"/>
      <c r="BW491" s="11"/>
      <c r="BX491" s="11"/>
      <c r="BY491" s="11"/>
      <c r="BZ491" s="11"/>
      <c r="CA491" s="11"/>
      <c r="CB491" s="11"/>
    </row>
    <row r="492" ht="15.75" customHeight="1">
      <c r="BQ492" s="11"/>
      <c r="BR492" s="11"/>
      <c r="BS492" s="11"/>
      <c r="BT492" s="11"/>
      <c r="BU492" s="11"/>
      <c r="BV492" s="11"/>
      <c r="BW492" s="11"/>
      <c r="BX492" s="11"/>
      <c r="BY492" s="11"/>
      <c r="BZ492" s="11"/>
      <c r="CA492" s="11"/>
      <c r="CB492" s="11"/>
    </row>
    <row r="493" ht="15.75" customHeight="1">
      <c r="BQ493" s="11"/>
      <c r="BR493" s="11"/>
      <c r="BS493" s="11"/>
      <c r="BT493" s="11"/>
      <c r="BU493" s="11"/>
      <c r="BV493" s="11"/>
      <c r="BW493" s="11"/>
      <c r="BX493" s="11"/>
      <c r="BY493" s="11"/>
      <c r="BZ493" s="11"/>
      <c r="CA493" s="11"/>
      <c r="CB493" s="11"/>
    </row>
    <row r="494" ht="15.75" customHeight="1">
      <c r="BQ494" s="11"/>
      <c r="BR494" s="11"/>
      <c r="BS494" s="11"/>
      <c r="BT494" s="11"/>
      <c r="BU494" s="11"/>
      <c r="BV494" s="11"/>
      <c r="BW494" s="11"/>
      <c r="BX494" s="11"/>
      <c r="BY494" s="11"/>
      <c r="BZ494" s="11"/>
      <c r="CA494" s="11"/>
      <c r="CB494" s="11"/>
    </row>
    <row r="495" ht="15.75" customHeight="1">
      <c r="BQ495" s="11"/>
      <c r="BR495" s="11"/>
      <c r="BS495" s="11"/>
      <c r="BT495" s="11"/>
      <c r="BU495" s="11"/>
      <c r="BV495" s="11"/>
      <c r="BW495" s="11"/>
      <c r="BX495" s="11"/>
      <c r="BY495" s="11"/>
      <c r="BZ495" s="11"/>
      <c r="CA495" s="11"/>
      <c r="CB495" s="11"/>
    </row>
    <row r="496" ht="15.75" customHeight="1">
      <c r="BQ496" s="11"/>
      <c r="BR496" s="11"/>
      <c r="BS496" s="11"/>
      <c r="BT496" s="11"/>
      <c r="BU496" s="11"/>
      <c r="BV496" s="11"/>
      <c r="BW496" s="11"/>
      <c r="BX496" s="11"/>
      <c r="BY496" s="11"/>
      <c r="BZ496" s="11"/>
      <c r="CA496" s="11"/>
      <c r="CB496" s="11"/>
    </row>
    <row r="497" ht="15.75" customHeight="1">
      <c r="BQ497" s="11"/>
      <c r="BR497" s="11"/>
      <c r="BS497" s="11"/>
      <c r="BT497" s="11"/>
      <c r="BU497" s="11"/>
      <c r="BV497" s="11"/>
      <c r="BW497" s="11"/>
      <c r="BX497" s="11"/>
      <c r="BY497" s="11"/>
      <c r="BZ497" s="11"/>
      <c r="CA497" s="11"/>
      <c r="CB497" s="11"/>
    </row>
    <row r="498" ht="15.75" customHeight="1">
      <c r="BQ498" s="11"/>
      <c r="BR498" s="11"/>
      <c r="BS498" s="11"/>
      <c r="BT498" s="11"/>
      <c r="BU498" s="11"/>
      <c r="BV498" s="11"/>
      <c r="BW498" s="11"/>
      <c r="BX498" s="11"/>
      <c r="BY498" s="11"/>
      <c r="BZ498" s="11"/>
      <c r="CA498" s="11"/>
      <c r="CB498" s="11"/>
    </row>
    <row r="499" ht="15.75" customHeight="1">
      <c r="BQ499" s="11"/>
      <c r="BR499" s="11"/>
      <c r="BS499" s="11"/>
      <c r="BT499" s="11"/>
      <c r="BU499" s="11"/>
      <c r="BV499" s="11"/>
      <c r="BW499" s="11"/>
      <c r="BX499" s="11"/>
      <c r="BY499" s="11"/>
      <c r="BZ499" s="11"/>
      <c r="CA499" s="11"/>
      <c r="CB499" s="11"/>
    </row>
    <row r="500" ht="15.75" customHeight="1">
      <c r="BQ500" s="11"/>
      <c r="BR500" s="11"/>
      <c r="BS500" s="11"/>
      <c r="BT500" s="11"/>
      <c r="BU500" s="11"/>
      <c r="BV500" s="11"/>
      <c r="BW500" s="11"/>
      <c r="BX500" s="11"/>
      <c r="BY500" s="11"/>
      <c r="BZ500" s="11"/>
      <c r="CA500" s="11"/>
      <c r="CB500" s="11"/>
    </row>
    <row r="501" ht="15.75" customHeight="1">
      <c r="BQ501" s="11"/>
      <c r="BR501" s="11"/>
      <c r="BS501" s="11"/>
      <c r="BT501" s="11"/>
      <c r="BU501" s="11"/>
      <c r="BV501" s="11"/>
      <c r="BW501" s="11"/>
      <c r="BX501" s="11"/>
      <c r="BY501" s="11"/>
      <c r="BZ501" s="11"/>
      <c r="CA501" s="11"/>
      <c r="CB501" s="11"/>
    </row>
    <row r="502" ht="15.75" customHeight="1">
      <c r="BQ502" s="11"/>
      <c r="BR502" s="11"/>
      <c r="BS502" s="11"/>
      <c r="BT502" s="11"/>
      <c r="BU502" s="11"/>
      <c r="BV502" s="11"/>
      <c r="BW502" s="11"/>
      <c r="BX502" s="11"/>
      <c r="BY502" s="11"/>
      <c r="BZ502" s="11"/>
      <c r="CA502" s="11"/>
      <c r="CB502" s="11"/>
    </row>
    <row r="503" ht="15.75" customHeight="1">
      <c r="BQ503" s="11"/>
      <c r="BR503" s="11"/>
      <c r="BS503" s="11"/>
      <c r="BT503" s="11"/>
      <c r="BU503" s="11"/>
      <c r="BV503" s="11"/>
      <c r="BW503" s="11"/>
      <c r="BX503" s="11"/>
      <c r="BY503" s="11"/>
      <c r="BZ503" s="11"/>
      <c r="CA503" s="11"/>
      <c r="CB503" s="11"/>
    </row>
    <row r="504" ht="15.75" customHeight="1">
      <c r="BQ504" s="11"/>
      <c r="BR504" s="11"/>
      <c r="BS504" s="11"/>
      <c r="BT504" s="11"/>
      <c r="BU504" s="11"/>
      <c r="BV504" s="11"/>
      <c r="BW504" s="11"/>
      <c r="BX504" s="11"/>
      <c r="BY504" s="11"/>
      <c r="BZ504" s="11"/>
      <c r="CA504" s="11"/>
      <c r="CB504" s="11"/>
    </row>
    <row r="505" ht="15.75" customHeight="1">
      <c r="BQ505" s="11"/>
      <c r="BR505" s="11"/>
      <c r="BS505" s="11"/>
      <c r="BT505" s="11"/>
      <c r="BU505" s="11"/>
      <c r="BV505" s="11"/>
      <c r="BW505" s="11"/>
      <c r="BX505" s="11"/>
      <c r="BY505" s="11"/>
      <c r="BZ505" s="11"/>
      <c r="CA505" s="11"/>
      <c r="CB505" s="11"/>
    </row>
    <row r="506" ht="15.75" customHeight="1">
      <c r="BQ506" s="11"/>
      <c r="BR506" s="11"/>
      <c r="BS506" s="11"/>
      <c r="BT506" s="11"/>
      <c r="BU506" s="11"/>
      <c r="BV506" s="11"/>
      <c r="BW506" s="11"/>
      <c r="BX506" s="11"/>
      <c r="BY506" s="11"/>
      <c r="BZ506" s="11"/>
      <c r="CA506" s="11"/>
      <c r="CB506" s="11"/>
    </row>
    <row r="507" ht="15.75" customHeight="1">
      <c r="BQ507" s="11"/>
      <c r="BR507" s="11"/>
      <c r="BS507" s="11"/>
      <c r="BT507" s="11"/>
      <c r="BU507" s="11"/>
      <c r="BV507" s="11"/>
      <c r="BW507" s="11"/>
      <c r="BX507" s="11"/>
      <c r="BY507" s="11"/>
      <c r="BZ507" s="11"/>
      <c r="CA507" s="11"/>
      <c r="CB507" s="11"/>
    </row>
    <row r="508" ht="15.75" customHeight="1">
      <c r="BQ508" s="11"/>
      <c r="BR508" s="11"/>
      <c r="BS508" s="11"/>
      <c r="BT508" s="11"/>
      <c r="BU508" s="11"/>
      <c r="BV508" s="11"/>
      <c r="BW508" s="11"/>
      <c r="BX508" s="11"/>
      <c r="BY508" s="11"/>
      <c r="BZ508" s="11"/>
      <c r="CA508" s="11"/>
      <c r="CB508" s="11"/>
    </row>
    <row r="509" ht="15.75" customHeight="1">
      <c r="BQ509" s="11"/>
      <c r="BR509" s="11"/>
      <c r="BS509" s="11"/>
      <c r="BT509" s="11"/>
      <c r="BU509" s="11"/>
      <c r="BV509" s="11"/>
      <c r="BW509" s="11"/>
      <c r="BX509" s="11"/>
      <c r="BY509" s="11"/>
      <c r="BZ509" s="11"/>
      <c r="CA509" s="11"/>
      <c r="CB509" s="11"/>
    </row>
    <row r="510" ht="15.75" customHeight="1">
      <c r="BQ510" s="11"/>
      <c r="BR510" s="11"/>
      <c r="BS510" s="11"/>
      <c r="BT510" s="11"/>
      <c r="BU510" s="11"/>
      <c r="BV510" s="11"/>
      <c r="BW510" s="11"/>
      <c r="BX510" s="11"/>
      <c r="BY510" s="11"/>
      <c r="BZ510" s="11"/>
      <c r="CA510" s="11"/>
      <c r="CB510" s="11"/>
    </row>
    <row r="511" ht="15.75" customHeight="1">
      <c r="BQ511" s="11"/>
      <c r="BR511" s="11"/>
      <c r="BS511" s="11"/>
      <c r="BT511" s="11"/>
      <c r="BU511" s="11"/>
      <c r="BV511" s="11"/>
      <c r="BW511" s="11"/>
      <c r="BX511" s="11"/>
      <c r="BY511" s="11"/>
      <c r="BZ511" s="11"/>
      <c r="CA511" s="11"/>
      <c r="CB511" s="11"/>
    </row>
    <row r="512" ht="15.75" customHeight="1">
      <c r="BQ512" s="11"/>
      <c r="BR512" s="11"/>
      <c r="BS512" s="11"/>
      <c r="BT512" s="11"/>
      <c r="BU512" s="11"/>
      <c r="BV512" s="11"/>
      <c r="BW512" s="11"/>
      <c r="BX512" s="11"/>
      <c r="BY512" s="11"/>
      <c r="BZ512" s="11"/>
      <c r="CA512" s="11"/>
      <c r="CB512" s="11"/>
    </row>
    <row r="513" ht="15.75" customHeight="1">
      <c r="BQ513" s="11"/>
      <c r="BR513" s="11"/>
      <c r="BS513" s="11"/>
      <c r="BT513" s="11"/>
      <c r="BU513" s="11"/>
      <c r="BV513" s="11"/>
      <c r="BW513" s="11"/>
      <c r="BX513" s="11"/>
      <c r="BY513" s="11"/>
      <c r="BZ513" s="11"/>
      <c r="CA513" s="11"/>
      <c r="CB513" s="11"/>
    </row>
    <row r="514" ht="15.75" customHeight="1">
      <c r="BQ514" s="11"/>
      <c r="BR514" s="11"/>
      <c r="BS514" s="11"/>
      <c r="BT514" s="11"/>
      <c r="BU514" s="11"/>
      <c r="BV514" s="11"/>
      <c r="BW514" s="11"/>
      <c r="BX514" s="11"/>
      <c r="BY514" s="11"/>
      <c r="BZ514" s="11"/>
      <c r="CA514" s="11"/>
      <c r="CB514" s="11"/>
    </row>
    <row r="515" ht="15.75" customHeight="1">
      <c r="BQ515" s="11"/>
      <c r="BR515" s="11"/>
      <c r="BS515" s="11"/>
      <c r="BT515" s="11"/>
      <c r="BU515" s="11"/>
      <c r="BV515" s="11"/>
      <c r="BW515" s="11"/>
      <c r="BX515" s="11"/>
      <c r="BY515" s="11"/>
      <c r="BZ515" s="11"/>
      <c r="CA515" s="11"/>
      <c r="CB515" s="11"/>
    </row>
    <row r="516" ht="15.75" customHeight="1">
      <c r="BQ516" s="11"/>
      <c r="BR516" s="11"/>
      <c r="BS516" s="11"/>
      <c r="BT516" s="11"/>
      <c r="BU516" s="11"/>
      <c r="BV516" s="11"/>
      <c r="BW516" s="11"/>
      <c r="BX516" s="11"/>
      <c r="BY516" s="11"/>
      <c r="BZ516" s="11"/>
      <c r="CA516" s="11"/>
      <c r="CB516" s="11"/>
    </row>
    <row r="517" ht="15.75" customHeight="1">
      <c r="BQ517" s="11"/>
      <c r="BR517" s="11"/>
      <c r="BS517" s="11"/>
      <c r="BT517" s="11"/>
      <c r="BU517" s="11"/>
      <c r="BV517" s="11"/>
      <c r="BW517" s="11"/>
      <c r="BX517" s="11"/>
      <c r="BY517" s="11"/>
      <c r="BZ517" s="11"/>
      <c r="CA517" s="11"/>
      <c r="CB517" s="11"/>
    </row>
    <row r="518" ht="15.75" customHeight="1">
      <c r="BQ518" s="11"/>
      <c r="BR518" s="11"/>
      <c r="BS518" s="11"/>
      <c r="BT518" s="11"/>
      <c r="BU518" s="11"/>
      <c r="BV518" s="11"/>
      <c r="BW518" s="11"/>
      <c r="BX518" s="11"/>
      <c r="BY518" s="11"/>
      <c r="BZ518" s="11"/>
      <c r="CA518" s="11"/>
      <c r="CB518" s="11"/>
    </row>
    <row r="519" ht="15.75" customHeight="1">
      <c r="BQ519" s="11"/>
      <c r="BR519" s="11"/>
      <c r="BS519" s="11"/>
      <c r="BT519" s="11"/>
      <c r="BU519" s="11"/>
      <c r="BV519" s="11"/>
      <c r="BW519" s="11"/>
      <c r="BX519" s="11"/>
      <c r="BY519" s="11"/>
      <c r="BZ519" s="11"/>
      <c r="CA519" s="11"/>
      <c r="CB519" s="11"/>
    </row>
    <row r="520" ht="15.75" customHeight="1">
      <c r="BQ520" s="11"/>
      <c r="BR520" s="11"/>
      <c r="BS520" s="11"/>
      <c r="BT520" s="11"/>
      <c r="BU520" s="11"/>
      <c r="BV520" s="11"/>
      <c r="BW520" s="11"/>
      <c r="BX520" s="11"/>
      <c r="BY520" s="11"/>
      <c r="BZ520" s="11"/>
      <c r="CA520" s="11"/>
      <c r="CB520" s="11"/>
    </row>
    <row r="521" ht="15.75" customHeight="1">
      <c r="BQ521" s="11"/>
      <c r="BR521" s="11"/>
      <c r="BS521" s="11"/>
      <c r="BT521" s="11"/>
      <c r="BU521" s="11"/>
      <c r="BV521" s="11"/>
      <c r="BW521" s="11"/>
      <c r="BX521" s="11"/>
      <c r="BY521" s="11"/>
      <c r="BZ521" s="11"/>
      <c r="CA521" s="11"/>
      <c r="CB521" s="11"/>
    </row>
    <row r="522" ht="15.75" customHeight="1">
      <c r="BQ522" s="11"/>
      <c r="BR522" s="11"/>
      <c r="BS522" s="11"/>
      <c r="BT522" s="11"/>
      <c r="BU522" s="11"/>
      <c r="BV522" s="11"/>
      <c r="BW522" s="11"/>
      <c r="BX522" s="11"/>
      <c r="BY522" s="11"/>
      <c r="BZ522" s="11"/>
      <c r="CA522" s="11"/>
      <c r="CB522" s="11"/>
    </row>
    <row r="523" ht="15.75" customHeight="1">
      <c r="BQ523" s="11"/>
      <c r="BR523" s="11"/>
      <c r="BS523" s="11"/>
      <c r="BT523" s="11"/>
      <c r="BU523" s="11"/>
      <c r="BV523" s="11"/>
      <c r="BW523" s="11"/>
      <c r="BX523" s="11"/>
      <c r="BY523" s="11"/>
      <c r="BZ523" s="11"/>
      <c r="CA523" s="11"/>
      <c r="CB523" s="11"/>
    </row>
    <row r="524" ht="15.75" customHeight="1">
      <c r="BQ524" s="11"/>
      <c r="BR524" s="11"/>
      <c r="BS524" s="11"/>
      <c r="BT524" s="11"/>
      <c r="BU524" s="11"/>
      <c r="BV524" s="11"/>
      <c r="BW524" s="11"/>
      <c r="BX524" s="11"/>
      <c r="BY524" s="11"/>
      <c r="BZ524" s="11"/>
      <c r="CA524" s="11"/>
      <c r="CB524" s="11"/>
    </row>
    <row r="525" ht="15.75" customHeight="1">
      <c r="BQ525" s="11"/>
      <c r="BR525" s="11"/>
      <c r="BS525" s="11"/>
      <c r="BT525" s="11"/>
      <c r="BU525" s="11"/>
      <c r="BV525" s="11"/>
      <c r="BW525" s="11"/>
      <c r="BX525" s="11"/>
      <c r="BY525" s="11"/>
      <c r="BZ525" s="11"/>
      <c r="CA525" s="11"/>
      <c r="CB525" s="11"/>
    </row>
    <row r="526" ht="15.75" customHeight="1">
      <c r="BQ526" s="11"/>
      <c r="BR526" s="11"/>
      <c r="BS526" s="11"/>
      <c r="BT526" s="11"/>
      <c r="BU526" s="11"/>
      <c r="BV526" s="11"/>
      <c r="BW526" s="11"/>
      <c r="BX526" s="11"/>
      <c r="BY526" s="11"/>
      <c r="BZ526" s="11"/>
      <c r="CA526" s="11"/>
      <c r="CB526" s="11"/>
    </row>
    <row r="527" ht="15.75" customHeight="1">
      <c r="BQ527" s="11"/>
      <c r="BR527" s="11"/>
      <c r="BS527" s="11"/>
      <c r="BT527" s="11"/>
      <c r="BU527" s="11"/>
      <c r="BV527" s="11"/>
      <c r="BW527" s="11"/>
      <c r="BX527" s="11"/>
      <c r="BY527" s="11"/>
      <c r="BZ527" s="11"/>
      <c r="CA527" s="11"/>
      <c r="CB527" s="11"/>
    </row>
    <row r="528" ht="15.75" customHeight="1">
      <c r="BQ528" s="11"/>
      <c r="BR528" s="11"/>
      <c r="BS528" s="11"/>
      <c r="BT528" s="11"/>
      <c r="BU528" s="11"/>
      <c r="BV528" s="11"/>
      <c r="BW528" s="11"/>
      <c r="BX528" s="11"/>
      <c r="BY528" s="11"/>
      <c r="BZ528" s="11"/>
      <c r="CA528" s="11"/>
      <c r="CB528" s="11"/>
    </row>
    <row r="529" ht="15.75" customHeight="1">
      <c r="BQ529" s="11"/>
      <c r="BR529" s="11"/>
      <c r="BS529" s="11"/>
      <c r="BT529" s="11"/>
      <c r="BU529" s="11"/>
      <c r="BV529" s="11"/>
      <c r="BW529" s="11"/>
      <c r="BX529" s="11"/>
      <c r="BY529" s="11"/>
      <c r="BZ529" s="11"/>
      <c r="CA529" s="11"/>
      <c r="CB529" s="11"/>
    </row>
    <row r="530" ht="15.75" customHeight="1">
      <c r="BQ530" s="11"/>
      <c r="BR530" s="11"/>
      <c r="BS530" s="11"/>
      <c r="BT530" s="11"/>
      <c r="BU530" s="11"/>
      <c r="BV530" s="11"/>
      <c r="BW530" s="11"/>
      <c r="BX530" s="11"/>
      <c r="BY530" s="11"/>
      <c r="BZ530" s="11"/>
      <c r="CA530" s="11"/>
      <c r="CB530" s="11"/>
    </row>
    <row r="531" ht="15.75" customHeight="1">
      <c r="BQ531" s="11"/>
      <c r="BR531" s="11"/>
      <c r="BS531" s="11"/>
      <c r="BT531" s="11"/>
      <c r="BU531" s="11"/>
      <c r="BV531" s="11"/>
      <c r="BW531" s="11"/>
      <c r="BX531" s="11"/>
      <c r="BY531" s="11"/>
      <c r="BZ531" s="11"/>
      <c r="CA531" s="11"/>
      <c r="CB531" s="11"/>
    </row>
    <row r="532" ht="15.75" customHeight="1">
      <c r="BQ532" s="11"/>
      <c r="BR532" s="11"/>
      <c r="BS532" s="11"/>
      <c r="BT532" s="11"/>
      <c r="BU532" s="11"/>
      <c r="BV532" s="11"/>
      <c r="BW532" s="11"/>
      <c r="BX532" s="11"/>
      <c r="BY532" s="11"/>
      <c r="BZ532" s="11"/>
      <c r="CA532" s="11"/>
      <c r="CB532" s="11"/>
    </row>
    <row r="533" ht="15.75" customHeight="1">
      <c r="BQ533" s="11"/>
      <c r="BR533" s="11"/>
      <c r="BS533" s="11"/>
      <c r="BT533" s="11"/>
      <c r="BU533" s="11"/>
      <c r="BV533" s="11"/>
      <c r="BW533" s="11"/>
      <c r="BX533" s="11"/>
      <c r="BY533" s="11"/>
      <c r="BZ533" s="11"/>
      <c r="CA533" s="11"/>
      <c r="CB533" s="11"/>
    </row>
    <row r="534" ht="15.75" customHeight="1">
      <c r="BQ534" s="11"/>
      <c r="BR534" s="11"/>
      <c r="BS534" s="11"/>
      <c r="BT534" s="11"/>
      <c r="BU534" s="11"/>
      <c r="BV534" s="11"/>
      <c r="BW534" s="11"/>
      <c r="BX534" s="11"/>
      <c r="BY534" s="11"/>
      <c r="BZ534" s="11"/>
      <c r="CA534" s="11"/>
      <c r="CB534" s="11"/>
    </row>
    <row r="535" ht="15.75" customHeight="1">
      <c r="BQ535" s="11"/>
      <c r="BR535" s="11"/>
      <c r="BS535" s="11"/>
      <c r="BT535" s="11"/>
      <c r="BU535" s="11"/>
      <c r="BV535" s="11"/>
      <c r="BW535" s="11"/>
      <c r="BX535" s="11"/>
      <c r="BY535" s="11"/>
      <c r="BZ535" s="11"/>
      <c r="CA535" s="11"/>
      <c r="CB535" s="11"/>
    </row>
    <row r="536" ht="15.75" customHeight="1">
      <c r="BQ536" s="11"/>
      <c r="BR536" s="11"/>
      <c r="BS536" s="11"/>
      <c r="BT536" s="11"/>
      <c r="BU536" s="11"/>
      <c r="BV536" s="11"/>
      <c r="BW536" s="11"/>
      <c r="BX536" s="11"/>
      <c r="BY536" s="11"/>
      <c r="BZ536" s="11"/>
      <c r="CA536" s="11"/>
      <c r="CB536" s="11"/>
    </row>
    <row r="537" ht="15.75" customHeight="1">
      <c r="BQ537" s="11"/>
      <c r="BR537" s="11"/>
      <c r="BS537" s="11"/>
      <c r="BT537" s="11"/>
      <c r="BU537" s="11"/>
      <c r="BV537" s="11"/>
      <c r="BW537" s="11"/>
      <c r="BX537" s="11"/>
      <c r="BY537" s="11"/>
      <c r="BZ537" s="11"/>
      <c r="CA537" s="11"/>
      <c r="CB537" s="11"/>
    </row>
    <row r="538" ht="15.75" customHeight="1">
      <c r="BQ538" s="11"/>
      <c r="BR538" s="11"/>
      <c r="BS538" s="11"/>
      <c r="BT538" s="11"/>
      <c r="BU538" s="11"/>
      <c r="BV538" s="11"/>
      <c r="BW538" s="11"/>
      <c r="BX538" s="11"/>
      <c r="BY538" s="11"/>
      <c r="BZ538" s="11"/>
      <c r="CA538" s="11"/>
      <c r="CB538" s="11"/>
    </row>
    <row r="539" ht="15.75" customHeight="1">
      <c r="BQ539" s="11"/>
      <c r="BR539" s="11"/>
      <c r="BS539" s="11"/>
      <c r="BT539" s="11"/>
      <c r="BU539" s="11"/>
      <c r="BV539" s="11"/>
      <c r="BW539" s="11"/>
      <c r="BX539" s="11"/>
      <c r="BY539" s="11"/>
      <c r="BZ539" s="11"/>
      <c r="CA539" s="11"/>
      <c r="CB539" s="11"/>
    </row>
    <row r="540" ht="15.75" customHeight="1">
      <c r="BQ540" s="11"/>
      <c r="BR540" s="11"/>
      <c r="BS540" s="11"/>
      <c r="BT540" s="11"/>
      <c r="BU540" s="11"/>
      <c r="BV540" s="11"/>
      <c r="BW540" s="11"/>
      <c r="BX540" s="11"/>
      <c r="BY540" s="11"/>
      <c r="BZ540" s="11"/>
      <c r="CA540" s="11"/>
      <c r="CB540" s="11"/>
    </row>
    <row r="541" ht="15.75" customHeight="1">
      <c r="BQ541" s="11"/>
      <c r="BR541" s="11"/>
      <c r="BS541" s="11"/>
      <c r="BT541" s="11"/>
      <c r="BU541" s="11"/>
      <c r="BV541" s="11"/>
      <c r="BW541" s="11"/>
      <c r="BX541" s="11"/>
      <c r="BY541" s="11"/>
      <c r="BZ541" s="11"/>
      <c r="CA541" s="11"/>
      <c r="CB541" s="11"/>
    </row>
    <row r="542" ht="15.75" customHeight="1">
      <c r="BQ542" s="11"/>
      <c r="BR542" s="11"/>
      <c r="BS542" s="11"/>
      <c r="BT542" s="11"/>
      <c r="BU542" s="11"/>
      <c r="BV542" s="11"/>
      <c r="BW542" s="11"/>
      <c r="BX542" s="11"/>
      <c r="BY542" s="11"/>
      <c r="BZ542" s="11"/>
      <c r="CA542" s="11"/>
      <c r="CB542" s="11"/>
    </row>
    <row r="543" ht="15.75" customHeight="1">
      <c r="BQ543" s="11"/>
      <c r="BR543" s="11"/>
      <c r="BS543" s="11"/>
      <c r="BT543" s="11"/>
      <c r="BU543" s="11"/>
      <c r="BV543" s="11"/>
      <c r="BW543" s="11"/>
      <c r="BX543" s="11"/>
      <c r="BY543" s="11"/>
      <c r="BZ543" s="11"/>
      <c r="CA543" s="11"/>
      <c r="CB543" s="11"/>
    </row>
    <row r="544" ht="15.75" customHeight="1">
      <c r="BQ544" s="11"/>
      <c r="BR544" s="11"/>
      <c r="BS544" s="11"/>
      <c r="BT544" s="11"/>
      <c r="BU544" s="11"/>
      <c r="BV544" s="11"/>
      <c r="BW544" s="11"/>
      <c r="BX544" s="11"/>
      <c r="BY544" s="11"/>
      <c r="BZ544" s="11"/>
      <c r="CA544" s="11"/>
      <c r="CB544" s="11"/>
    </row>
    <row r="545" ht="15.75" customHeight="1">
      <c r="BQ545" s="11"/>
      <c r="BR545" s="11"/>
      <c r="BS545" s="11"/>
      <c r="BT545" s="11"/>
      <c r="BU545" s="11"/>
      <c r="BV545" s="11"/>
      <c r="BW545" s="11"/>
      <c r="BX545" s="11"/>
      <c r="BY545" s="11"/>
      <c r="BZ545" s="11"/>
      <c r="CA545" s="11"/>
      <c r="CB545" s="11"/>
    </row>
    <row r="546" ht="15.75" customHeight="1">
      <c r="BQ546" s="11"/>
      <c r="BR546" s="11"/>
      <c r="BS546" s="11"/>
      <c r="BT546" s="11"/>
      <c r="BU546" s="11"/>
      <c r="BV546" s="11"/>
      <c r="BW546" s="11"/>
      <c r="BX546" s="11"/>
      <c r="BY546" s="11"/>
      <c r="BZ546" s="11"/>
      <c r="CA546" s="11"/>
      <c r="CB546" s="11"/>
    </row>
    <row r="547" ht="15.75" customHeight="1">
      <c r="BQ547" s="11"/>
      <c r="BR547" s="11"/>
      <c r="BS547" s="11"/>
      <c r="BT547" s="11"/>
      <c r="BU547" s="11"/>
      <c r="BV547" s="11"/>
      <c r="BW547" s="11"/>
      <c r="BX547" s="11"/>
      <c r="BY547" s="11"/>
      <c r="BZ547" s="11"/>
      <c r="CA547" s="11"/>
      <c r="CB547" s="11"/>
    </row>
    <row r="548" ht="15.75" customHeight="1">
      <c r="BQ548" s="11"/>
      <c r="BR548" s="11"/>
      <c r="BS548" s="11"/>
      <c r="BT548" s="11"/>
      <c r="BU548" s="11"/>
      <c r="BV548" s="11"/>
      <c r="BW548" s="11"/>
      <c r="BX548" s="11"/>
      <c r="BY548" s="11"/>
      <c r="BZ548" s="11"/>
      <c r="CA548" s="11"/>
      <c r="CB548" s="11"/>
    </row>
    <row r="549" ht="15.75" customHeight="1">
      <c r="BQ549" s="11"/>
      <c r="BR549" s="11"/>
      <c r="BS549" s="11"/>
      <c r="BT549" s="11"/>
      <c r="BU549" s="11"/>
      <c r="BV549" s="11"/>
      <c r="BW549" s="11"/>
      <c r="BX549" s="11"/>
      <c r="BY549" s="11"/>
      <c r="BZ549" s="11"/>
      <c r="CA549" s="11"/>
      <c r="CB549" s="11"/>
    </row>
    <row r="550" ht="15.75" customHeight="1">
      <c r="BQ550" s="11"/>
      <c r="BR550" s="11"/>
      <c r="BS550" s="11"/>
      <c r="BT550" s="11"/>
      <c r="BU550" s="11"/>
      <c r="BV550" s="11"/>
      <c r="BW550" s="11"/>
      <c r="BX550" s="11"/>
      <c r="BY550" s="11"/>
      <c r="BZ550" s="11"/>
      <c r="CA550" s="11"/>
      <c r="CB550" s="11"/>
    </row>
    <row r="551" ht="15.75" customHeight="1">
      <c r="BQ551" s="11"/>
      <c r="BR551" s="11"/>
      <c r="BS551" s="11"/>
      <c r="BT551" s="11"/>
      <c r="BU551" s="11"/>
      <c r="BV551" s="11"/>
      <c r="BW551" s="11"/>
      <c r="BX551" s="11"/>
      <c r="BY551" s="11"/>
      <c r="BZ551" s="11"/>
      <c r="CA551" s="11"/>
      <c r="CB551" s="11"/>
    </row>
    <row r="552" ht="15.75" customHeight="1">
      <c r="BQ552" s="11"/>
      <c r="BR552" s="11"/>
      <c r="BS552" s="11"/>
      <c r="BT552" s="11"/>
      <c r="BU552" s="11"/>
      <c r="BV552" s="11"/>
      <c r="BW552" s="11"/>
      <c r="BX552" s="11"/>
      <c r="BY552" s="11"/>
      <c r="BZ552" s="11"/>
      <c r="CA552" s="11"/>
      <c r="CB552" s="11"/>
    </row>
    <row r="553" ht="15.75" customHeight="1">
      <c r="BQ553" s="11"/>
      <c r="BR553" s="11"/>
      <c r="BS553" s="11"/>
      <c r="BT553" s="11"/>
      <c r="BU553" s="11"/>
      <c r="BV553" s="11"/>
      <c r="BW553" s="11"/>
      <c r="BX553" s="11"/>
      <c r="BY553" s="11"/>
      <c r="BZ553" s="11"/>
      <c r="CA553" s="11"/>
      <c r="CB553" s="11"/>
    </row>
    <row r="554" ht="15.75" customHeight="1">
      <c r="BQ554" s="11"/>
      <c r="BR554" s="11"/>
      <c r="BS554" s="11"/>
      <c r="BT554" s="11"/>
      <c r="BU554" s="11"/>
      <c r="BV554" s="11"/>
      <c r="BW554" s="11"/>
      <c r="BX554" s="11"/>
      <c r="BY554" s="11"/>
      <c r="BZ554" s="11"/>
      <c r="CA554" s="11"/>
      <c r="CB554" s="11"/>
    </row>
    <row r="555" ht="15.75" customHeight="1">
      <c r="BQ555" s="11"/>
      <c r="BR555" s="11"/>
      <c r="BS555" s="11"/>
      <c r="BT555" s="11"/>
      <c r="BU555" s="11"/>
      <c r="BV555" s="11"/>
      <c r="BW555" s="11"/>
      <c r="BX555" s="11"/>
      <c r="BY555" s="11"/>
      <c r="BZ555" s="11"/>
      <c r="CA555" s="11"/>
      <c r="CB555" s="11"/>
    </row>
    <row r="556" ht="15.75" customHeight="1">
      <c r="BQ556" s="11"/>
      <c r="BR556" s="11"/>
      <c r="BS556" s="11"/>
      <c r="BT556" s="11"/>
      <c r="BU556" s="11"/>
      <c r="BV556" s="11"/>
      <c r="BW556" s="11"/>
      <c r="BX556" s="11"/>
      <c r="BY556" s="11"/>
      <c r="BZ556" s="11"/>
      <c r="CA556" s="11"/>
      <c r="CB556" s="11"/>
    </row>
    <row r="557" ht="15.75" customHeight="1">
      <c r="BQ557" s="11"/>
      <c r="BR557" s="11"/>
      <c r="BS557" s="11"/>
      <c r="BT557" s="11"/>
      <c r="BU557" s="11"/>
      <c r="BV557" s="11"/>
      <c r="BW557" s="11"/>
      <c r="BX557" s="11"/>
      <c r="BY557" s="11"/>
      <c r="BZ557" s="11"/>
      <c r="CA557" s="11"/>
      <c r="CB557" s="11"/>
    </row>
    <row r="558" ht="15.75" customHeight="1">
      <c r="BQ558" s="11"/>
      <c r="BR558" s="11"/>
      <c r="BS558" s="11"/>
      <c r="BT558" s="11"/>
      <c r="BU558" s="11"/>
      <c r="BV558" s="11"/>
      <c r="BW558" s="11"/>
      <c r="BX558" s="11"/>
      <c r="BY558" s="11"/>
      <c r="BZ558" s="11"/>
      <c r="CA558" s="11"/>
      <c r="CB558" s="11"/>
    </row>
    <row r="559" ht="15.75" customHeight="1">
      <c r="BQ559" s="11"/>
      <c r="BR559" s="11"/>
      <c r="BS559" s="11"/>
      <c r="BT559" s="11"/>
      <c r="BU559" s="11"/>
      <c r="BV559" s="11"/>
      <c r="BW559" s="11"/>
      <c r="BX559" s="11"/>
      <c r="BY559" s="11"/>
      <c r="BZ559" s="11"/>
      <c r="CA559" s="11"/>
      <c r="CB559" s="11"/>
    </row>
    <row r="560" ht="15.75" customHeight="1">
      <c r="BQ560" s="11"/>
      <c r="BR560" s="11"/>
      <c r="BS560" s="11"/>
      <c r="BT560" s="11"/>
      <c r="BU560" s="11"/>
      <c r="BV560" s="11"/>
      <c r="BW560" s="11"/>
      <c r="BX560" s="11"/>
      <c r="BY560" s="11"/>
      <c r="BZ560" s="11"/>
      <c r="CA560" s="11"/>
      <c r="CB560" s="11"/>
    </row>
    <row r="561" ht="15.75" customHeight="1">
      <c r="BQ561" s="11"/>
      <c r="BR561" s="11"/>
      <c r="BS561" s="11"/>
      <c r="BT561" s="11"/>
      <c r="BU561" s="11"/>
      <c r="BV561" s="11"/>
      <c r="BW561" s="11"/>
      <c r="BX561" s="11"/>
      <c r="BY561" s="11"/>
      <c r="BZ561" s="11"/>
      <c r="CA561" s="11"/>
      <c r="CB561" s="11"/>
    </row>
    <row r="562" ht="15.75" customHeight="1">
      <c r="BQ562" s="11"/>
      <c r="BR562" s="11"/>
      <c r="BS562" s="11"/>
      <c r="BT562" s="11"/>
      <c r="BU562" s="11"/>
      <c r="BV562" s="11"/>
      <c r="BW562" s="11"/>
      <c r="BX562" s="11"/>
      <c r="BY562" s="11"/>
      <c r="BZ562" s="11"/>
      <c r="CA562" s="11"/>
      <c r="CB562" s="11"/>
    </row>
    <row r="563" ht="15.75" customHeight="1">
      <c r="BQ563" s="11"/>
      <c r="BR563" s="11"/>
      <c r="BS563" s="11"/>
      <c r="BT563" s="11"/>
      <c r="BU563" s="11"/>
      <c r="BV563" s="11"/>
      <c r="BW563" s="11"/>
      <c r="BX563" s="11"/>
      <c r="BY563" s="11"/>
      <c r="BZ563" s="11"/>
      <c r="CA563" s="11"/>
      <c r="CB563" s="11"/>
    </row>
    <row r="564" ht="15.75" customHeight="1">
      <c r="BQ564" s="11"/>
      <c r="BR564" s="11"/>
      <c r="BS564" s="11"/>
      <c r="BT564" s="11"/>
      <c r="BU564" s="11"/>
      <c r="BV564" s="11"/>
      <c r="BW564" s="11"/>
      <c r="BX564" s="11"/>
      <c r="BY564" s="11"/>
      <c r="BZ564" s="11"/>
      <c r="CA564" s="11"/>
      <c r="CB564" s="11"/>
    </row>
    <row r="565" ht="15.75" customHeight="1">
      <c r="BQ565" s="11"/>
      <c r="BR565" s="11"/>
      <c r="BS565" s="11"/>
      <c r="BT565" s="11"/>
      <c r="BU565" s="11"/>
      <c r="BV565" s="11"/>
      <c r="BW565" s="11"/>
      <c r="BX565" s="11"/>
      <c r="BY565" s="11"/>
      <c r="BZ565" s="11"/>
      <c r="CA565" s="11"/>
      <c r="CB565" s="11"/>
    </row>
    <row r="566" ht="15.75" customHeight="1">
      <c r="BQ566" s="11"/>
      <c r="BR566" s="11"/>
      <c r="BS566" s="11"/>
      <c r="BT566" s="11"/>
      <c r="BU566" s="11"/>
      <c r="BV566" s="11"/>
      <c r="BW566" s="11"/>
      <c r="BX566" s="11"/>
      <c r="BY566" s="11"/>
      <c r="BZ566" s="11"/>
      <c r="CA566" s="11"/>
      <c r="CB566" s="11"/>
    </row>
    <row r="567" ht="15.75" customHeight="1">
      <c r="BQ567" s="11"/>
      <c r="BR567" s="11"/>
      <c r="BS567" s="11"/>
      <c r="BT567" s="11"/>
      <c r="BU567" s="11"/>
      <c r="BV567" s="11"/>
      <c r="BW567" s="11"/>
      <c r="BX567" s="11"/>
      <c r="BY567" s="11"/>
      <c r="BZ567" s="11"/>
      <c r="CA567" s="11"/>
      <c r="CB567" s="11"/>
    </row>
    <row r="568" ht="15.75" customHeight="1">
      <c r="BQ568" s="11"/>
      <c r="BR568" s="11"/>
      <c r="BS568" s="11"/>
      <c r="BT568" s="11"/>
      <c r="BU568" s="11"/>
      <c r="BV568" s="11"/>
      <c r="BW568" s="11"/>
      <c r="BX568" s="11"/>
      <c r="BY568" s="11"/>
      <c r="BZ568" s="11"/>
      <c r="CA568" s="11"/>
      <c r="CB568" s="11"/>
    </row>
    <row r="569" ht="15.75" customHeight="1">
      <c r="BQ569" s="11"/>
      <c r="BR569" s="11"/>
      <c r="BS569" s="11"/>
      <c r="BT569" s="11"/>
      <c r="BU569" s="11"/>
      <c r="BV569" s="11"/>
      <c r="BW569" s="11"/>
      <c r="BX569" s="11"/>
      <c r="BY569" s="11"/>
      <c r="BZ569" s="11"/>
      <c r="CA569" s="11"/>
      <c r="CB569" s="11"/>
    </row>
    <row r="570" ht="15.75" customHeight="1">
      <c r="BQ570" s="11"/>
      <c r="BR570" s="11"/>
      <c r="BS570" s="11"/>
      <c r="BT570" s="11"/>
      <c r="BU570" s="11"/>
      <c r="BV570" s="11"/>
      <c r="BW570" s="11"/>
      <c r="BX570" s="11"/>
      <c r="BY570" s="11"/>
      <c r="BZ570" s="11"/>
      <c r="CA570" s="11"/>
      <c r="CB570" s="11"/>
    </row>
    <row r="571" ht="15.75" customHeight="1">
      <c r="BQ571" s="11"/>
      <c r="BR571" s="11"/>
      <c r="BS571" s="11"/>
      <c r="BT571" s="11"/>
      <c r="BU571" s="11"/>
      <c r="BV571" s="11"/>
      <c r="BW571" s="11"/>
      <c r="BX571" s="11"/>
      <c r="BY571" s="11"/>
      <c r="BZ571" s="11"/>
      <c r="CA571" s="11"/>
      <c r="CB571" s="11"/>
    </row>
    <row r="572" ht="15.75" customHeight="1">
      <c r="BQ572" s="11"/>
      <c r="BR572" s="11"/>
      <c r="BS572" s="11"/>
      <c r="BT572" s="11"/>
      <c r="BU572" s="11"/>
      <c r="BV572" s="11"/>
      <c r="BW572" s="11"/>
      <c r="BX572" s="11"/>
      <c r="BY572" s="11"/>
      <c r="BZ572" s="11"/>
      <c r="CA572" s="11"/>
      <c r="CB572" s="11"/>
    </row>
    <row r="573" ht="15.75" customHeight="1">
      <c r="BQ573" s="11"/>
      <c r="BR573" s="11"/>
      <c r="BS573" s="11"/>
      <c r="BT573" s="11"/>
      <c r="BU573" s="11"/>
      <c r="BV573" s="11"/>
      <c r="BW573" s="11"/>
      <c r="BX573" s="11"/>
      <c r="BY573" s="11"/>
      <c r="BZ573" s="11"/>
      <c r="CA573" s="11"/>
      <c r="CB573" s="11"/>
    </row>
    <row r="574" ht="15.75" customHeight="1">
      <c r="BQ574" s="11"/>
      <c r="BR574" s="11"/>
      <c r="BS574" s="11"/>
      <c r="BT574" s="11"/>
      <c r="BU574" s="11"/>
      <c r="BV574" s="11"/>
      <c r="BW574" s="11"/>
      <c r="BX574" s="11"/>
      <c r="BY574" s="11"/>
      <c r="BZ574" s="11"/>
      <c r="CA574" s="11"/>
      <c r="CB574" s="11"/>
    </row>
    <row r="575" ht="15.75" customHeight="1">
      <c r="BQ575" s="11"/>
      <c r="BR575" s="11"/>
      <c r="BS575" s="11"/>
      <c r="BT575" s="11"/>
      <c r="BU575" s="11"/>
      <c r="BV575" s="11"/>
      <c r="BW575" s="11"/>
      <c r="BX575" s="11"/>
      <c r="BY575" s="11"/>
      <c r="BZ575" s="11"/>
      <c r="CA575" s="11"/>
      <c r="CB575" s="11"/>
    </row>
    <row r="576" ht="15.75" customHeight="1">
      <c r="BQ576" s="11"/>
      <c r="BR576" s="11"/>
      <c r="BS576" s="11"/>
      <c r="BT576" s="11"/>
      <c r="BU576" s="11"/>
      <c r="BV576" s="11"/>
      <c r="BW576" s="11"/>
      <c r="BX576" s="11"/>
      <c r="BY576" s="11"/>
      <c r="BZ576" s="11"/>
      <c r="CA576" s="11"/>
      <c r="CB576" s="11"/>
    </row>
    <row r="577" ht="15.75" customHeight="1">
      <c r="BQ577" s="11"/>
      <c r="BR577" s="11"/>
      <c r="BS577" s="11"/>
      <c r="BT577" s="11"/>
      <c r="BU577" s="11"/>
      <c r="BV577" s="11"/>
      <c r="BW577" s="11"/>
      <c r="BX577" s="11"/>
      <c r="BY577" s="11"/>
      <c r="BZ577" s="11"/>
      <c r="CA577" s="11"/>
      <c r="CB577" s="11"/>
    </row>
    <row r="578" ht="15.75" customHeight="1">
      <c r="BQ578" s="11"/>
      <c r="BR578" s="11"/>
      <c r="BS578" s="11"/>
      <c r="BT578" s="11"/>
      <c r="BU578" s="11"/>
      <c r="BV578" s="11"/>
      <c r="BW578" s="11"/>
      <c r="BX578" s="11"/>
      <c r="BY578" s="11"/>
      <c r="BZ578" s="11"/>
      <c r="CA578" s="11"/>
      <c r="CB578" s="11"/>
    </row>
    <row r="579" ht="15.75" customHeight="1">
      <c r="BQ579" s="11"/>
      <c r="BR579" s="11"/>
      <c r="BS579" s="11"/>
      <c r="BT579" s="11"/>
      <c r="BU579" s="11"/>
      <c r="BV579" s="11"/>
      <c r="BW579" s="11"/>
      <c r="BX579" s="11"/>
      <c r="BY579" s="11"/>
      <c r="BZ579" s="11"/>
      <c r="CA579" s="11"/>
      <c r="CB579" s="11"/>
    </row>
    <row r="580" ht="15.75" customHeight="1">
      <c r="BQ580" s="11"/>
      <c r="BR580" s="11"/>
      <c r="BS580" s="11"/>
      <c r="BT580" s="11"/>
      <c r="BU580" s="11"/>
      <c r="BV580" s="11"/>
      <c r="BW580" s="11"/>
      <c r="BX580" s="11"/>
      <c r="BY580" s="11"/>
      <c r="BZ580" s="11"/>
      <c r="CA580" s="11"/>
      <c r="CB580" s="11"/>
    </row>
    <row r="581" ht="15.75" customHeight="1">
      <c r="BQ581" s="11"/>
      <c r="BR581" s="11"/>
      <c r="BS581" s="11"/>
      <c r="BT581" s="11"/>
      <c r="BU581" s="11"/>
      <c r="BV581" s="11"/>
      <c r="BW581" s="11"/>
      <c r="BX581" s="11"/>
      <c r="BY581" s="11"/>
      <c r="BZ581" s="11"/>
      <c r="CA581" s="11"/>
      <c r="CB581" s="11"/>
    </row>
    <row r="582" ht="15.75" customHeight="1">
      <c r="BQ582" s="11"/>
      <c r="BR582" s="11"/>
      <c r="BS582" s="11"/>
      <c r="BT582" s="11"/>
      <c r="BU582" s="11"/>
      <c r="BV582" s="11"/>
      <c r="BW582" s="11"/>
      <c r="BX582" s="11"/>
      <c r="BY582" s="11"/>
      <c r="BZ582" s="11"/>
      <c r="CA582" s="11"/>
      <c r="CB582" s="11"/>
    </row>
    <row r="583" ht="15.75" customHeight="1">
      <c r="BQ583" s="11"/>
      <c r="BR583" s="11"/>
      <c r="BS583" s="11"/>
      <c r="BT583" s="11"/>
      <c r="BU583" s="11"/>
      <c r="BV583" s="11"/>
      <c r="BW583" s="11"/>
      <c r="BX583" s="11"/>
      <c r="BY583" s="11"/>
      <c r="BZ583" s="11"/>
      <c r="CA583" s="11"/>
      <c r="CB583" s="11"/>
    </row>
    <row r="584" ht="15.75" customHeight="1">
      <c r="BQ584" s="11"/>
      <c r="BR584" s="11"/>
      <c r="BS584" s="11"/>
      <c r="BT584" s="11"/>
      <c r="BU584" s="11"/>
      <c r="BV584" s="11"/>
      <c r="BW584" s="11"/>
      <c r="BX584" s="11"/>
      <c r="BY584" s="11"/>
      <c r="BZ584" s="11"/>
      <c r="CA584" s="11"/>
      <c r="CB584" s="11"/>
    </row>
    <row r="585" ht="15.75" customHeight="1">
      <c r="BQ585" s="11"/>
      <c r="BR585" s="11"/>
      <c r="BS585" s="11"/>
      <c r="BT585" s="11"/>
      <c r="BU585" s="11"/>
      <c r="BV585" s="11"/>
      <c r="BW585" s="11"/>
      <c r="BX585" s="11"/>
      <c r="BY585" s="11"/>
      <c r="BZ585" s="11"/>
      <c r="CA585" s="11"/>
      <c r="CB585" s="11"/>
    </row>
    <row r="586" ht="15.75" customHeight="1">
      <c r="BQ586" s="11"/>
      <c r="BR586" s="11"/>
      <c r="BS586" s="11"/>
      <c r="BT586" s="11"/>
      <c r="BU586" s="11"/>
      <c r="BV586" s="11"/>
      <c r="BW586" s="11"/>
      <c r="BX586" s="11"/>
      <c r="BY586" s="11"/>
      <c r="BZ586" s="11"/>
      <c r="CA586" s="11"/>
      <c r="CB586" s="11"/>
    </row>
    <row r="587" ht="15.75" customHeight="1">
      <c r="BQ587" s="11"/>
      <c r="BR587" s="11"/>
      <c r="BS587" s="11"/>
      <c r="BT587" s="11"/>
      <c r="BU587" s="11"/>
      <c r="BV587" s="11"/>
      <c r="BW587" s="11"/>
      <c r="BX587" s="11"/>
      <c r="BY587" s="11"/>
      <c r="BZ587" s="11"/>
      <c r="CA587" s="11"/>
      <c r="CB587" s="11"/>
    </row>
    <row r="588" ht="15.75" customHeight="1">
      <c r="BQ588" s="11"/>
      <c r="BR588" s="11"/>
      <c r="BS588" s="11"/>
      <c r="BT588" s="11"/>
      <c r="BU588" s="11"/>
      <c r="BV588" s="11"/>
      <c r="BW588" s="11"/>
      <c r="BX588" s="11"/>
      <c r="BY588" s="11"/>
      <c r="BZ588" s="11"/>
      <c r="CA588" s="11"/>
      <c r="CB588" s="11"/>
    </row>
    <row r="589" ht="15.75" customHeight="1">
      <c r="BQ589" s="11"/>
      <c r="BR589" s="11"/>
      <c r="BS589" s="11"/>
      <c r="BT589" s="11"/>
      <c r="BU589" s="11"/>
      <c r="BV589" s="11"/>
      <c r="BW589" s="11"/>
      <c r="BX589" s="11"/>
      <c r="BY589" s="11"/>
      <c r="BZ589" s="11"/>
      <c r="CA589" s="11"/>
      <c r="CB589" s="11"/>
    </row>
    <row r="590" ht="15.75" customHeight="1">
      <c r="BQ590" s="11"/>
      <c r="BR590" s="11"/>
      <c r="BS590" s="11"/>
      <c r="BT590" s="11"/>
      <c r="BU590" s="11"/>
      <c r="BV590" s="11"/>
      <c r="BW590" s="11"/>
      <c r="BX590" s="11"/>
      <c r="BY590" s="11"/>
      <c r="BZ590" s="11"/>
      <c r="CA590" s="11"/>
      <c r="CB590" s="11"/>
    </row>
    <row r="591" ht="15.75" customHeight="1">
      <c r="BQ591" s="11"/>
      <c r="BR591" s="11"/>
      <c r="BS591" s="11"/>
      <c r="BT591" s="11"/>
      <c r="BU591" s="11"/>
      <c r="BV591" s="11"/>
      <c r="BW591" s="11"/>
      <c r="BX591" s="11"/>
      <c r="BY591" s="11"/>
      <c r="BZ591" s="11"/>
      <c r="CA591" s="11"/>
      <c r="CB591" s="11"/>
    </row>
    <row r="592" ht="15.75" customHeight="1">
      <c r="BQ592" s="11"/>
      <c r="BR592" s="11"/>
      <c r="BS592" s="11"/>
      <c r="BT592" s="11"/>
      <c r="BU592" s="11"/>
      <c r="BV592" s="11"/>
      <c r="BW592" s="11"/>
      <c r="BX592" s="11"/>
      <c r="BY592" s="11"/>
      <c r="BZ592" s="11"/>
      <c r="CA592" s="11"/>
      <c r="CB592" s="11"/>
    </row>
    <row r="593" ht="15.75" customHeight="1">
      <c r="BQ593" s="11"/>
      <c r="BR593" s="11"/>
      <c r="BS593" s="11"/>
      <c r="BT593" s="11"/>
      <c r="BU593" s="11"/>
      <c r="BV593" s="11"/>
      <c r="BW593" s="11"/>
      <c r="BX593" s="11"/>
      <c r="BY593" s="11"/>
      <c r="BZ593" s="11"/>
      <c r="CA593" s="11"/>
      <c r="CB593" s="11"/>
    </row>
    <row r="594" ht="15.75" customHeight="1">
      <c r="BQ594" s="11"/>
      <c r="BR594" s="11"/>
      <c r="BS594" s="11"/>
      <c r="BT594" s="11"/>
      <c r="BU594" s="11"/>
      <c r="BV594" s="11"/>
      <c r="BW594" s="11"/>
      <c r="BX594" s="11"/>
      <c r="BY594" s="11"/>
      <c r="BZ594" s="11"/>
      <c r="CA594" s="11"/>
      <c r="CB594" s="11"/>
    </row>
    <row r="595" ht="15.75" customHeight="1">
      <c r="BQ595" s="11"/>
      <c r="BR595" s="11"/>
      <c r="BS595" s="11"/>
      <c r="BT595" s="11"/>
      <c r="BU595" s="11"/>
      <c r="BV595" s="11"/>
      <c r="BW595" s="11"/>
      <c r="BX595" s="11"/>
      <c r="BY595" s="11"/>
      <c r="BZ595" s="11"/>
      <c r="CA595" s="11"/>
      <c r="CB595" s="11"/>
    </row>
    <row r="596" ht="15.75" customHeight="1">
      <c r="BQ596" s="11"/>
      <c r="BR596" s="11"/>
      <c r="BS596" s="11"/>
      <c r="BT596" s="11"/>
      <c r="BU596" s="11"/>
      <c r="BV596" s="11"/>
      <c r="BW596" s="11"/>
      <c r="BX596" s="11"/>
      <c r="BY596" s="11"/>
      <c r="BZ596" s="11"/>
      <c r="CA596" s="11"/>
      <c r="CB596" s="11"/>
    </row>
    <row r="597" ht="15.75" customHeight="1">
      <c r="BQ597" s="11"/>
      <c r="BR597" s="11"/>
      <c r="BS597" s="11"/>
      <c r="BT597" s="11"/>
      <c r="BU597" s="11"/>
      <c r="BV597" s="11"/>
      <c r="BW597" s="11"/>
      <c r="BX597" s="11"/>
      <c r="BY597" s="11"/>
      <c r="BZ597" s="11"/>
      <c r="CA597" s="11"/>
      <c r="CB597" s="11"/>
    </row>
    <row r="598" ht="15.75" customHeight="1">
      <c r="BQ598" s="11"/>
      <c r="BR598" s="11"/>
      <c r="BS598" s="11"/>
      <c r="BT598" s="11"/>
      <c r="BU598" s="11"/>
      <c r="BV598" s="11"/>
      <c r="BW598" s="11"/>
      <c r="BX598" s="11"/>
      <c r="BY598" s="11"/>
      <c r="BZ598" s="11"/>
      <c r="CA598" s="11"/>
      <c r="CB598" s="11"/>
    </row>
    <row r="599" ht="15.75" customHeight="1">
      <c r="BQ599" s="11"/>
      <c r="BR599" s="11"/>
      <c r="BS599" s="11"/>
      <c r="BT599" s="11"/>
      <c r="BU599" s="11"/>
      <c r="BV599" s="11"/>
      <c r="BW599" s="11"/>
      <c r="BX599" s="11"/>
      <c r="BY599" s="11"/>
      <c r="BZ599" s="11"/>
      <c r="CA599" s="11"/>
      <c r="CB599" s="11"/>
    </row>
    <row r="600" ht="15.75" customHeight="1">
      <c r="BQ600" s="11"/>
      <c r="BR600" s="11"/>
      <c r="BS600" s="11"/>
      <c r="BT600" s="11"/>
      <c r="BU600" s="11"/>
      <c r="BV600" s="11"/>
      <c r="BW600" s="11"/>
      <c r="BX600" s="11"/>
      <c r="BY600" s="11"/>
      <c r="BZ600" s="11"/>
      <c r="CA600" s="11"/>
      <c r="CB600" s="11"/>
    </row>
    <row r="601" ht="15.75" customHeight="1">
      <c r="BQ601" s="11"/>
      <c r="BR601" s="11"/>
      <c r="BS601" s="11"/>
      <c r="BT601" s="11"/>
      <c r="BU601" s="11"/>
      <c r="BV601" s="11"/>
      <c r="BW601" s="11"/>
      <c r="BX601" s="11"/>
      <c r="BY601" s="11"/>
      <c r="BZ601" s="11"/>
      <c r="CA601" s="11"/>
      <c r="CB601" s="11"/>
    </row>
    <row r="602" ht="15.75" customHeight="1">
      <c r="BQ602" s="11"/>
      <c r="BR602" s="11"/>
      <c r="BS602" s="11"/>
      <c r="BT602" s="11"/>
      <c r="BU602" s="11"/>
      <c r="BV602" s="11"/>
      <c r="BW602" s="11"/>
      <c r="BX602" s="11"/>
      <c r="BY602" s="11"/>
      <c r="BZ602" s="11"/>
      <c r="CA602" s="11"/>
      <c r="CB602" s="11"/>
    </row>
    <row r="603" ht="15.75" customHeight="1">
      <c r="BQ603" s="11"/>
      <c r="BR603" s="11"/>
      <c r="BS603" s="11"/>
      <c r="BT603" s="11"/>
      <c r="BU603" s="11"/>
      <c r="BV603" s="11"/>
      <c r="BW603" s="11"/>
      <c r="BX603" s="11"/>
      <c r="BY603" s="11"/>
      <c r="BZ603" s="11"/>
      <c r="CA603" s="11"/>
      <c r="CB603" s="11"/>
    </row>
    <row r="604" ht="15.75" customHeight="1">
      <c r="BQ604" s="11"/>
      <c r="BR604" s="11"/>
      <c r="BS604" s="11"/>
      <c r="BT604" s="11"/>
      <c r="BU604" s="11"/>
      <c r="BV604" s="11"/>
      <c r="BW604" s="11"/>
      <c r="BX604" s="11"/>
      <c r="BY604" s="11"/>
      <c r="BZ604" s="11"/>
      <c r="CA604" s="11"/>
      <c r="CB604" s="11"/>
    </row>
    <row r="605" ht="15.75" customHeight="1">
      <c r="BQ605" s="11"/>
      <c r="BR605" s="11"/>
      <c r="BS605" s="11"/>
      <c r="BT605" s="11"/>
      <c r="BU605" s="11"/>
      <c r="BV605" s="11"/>
      <c r="BW605" s="11"/>
      <c r="BX605" s="11"/>
      <c r="BY605" s="11"/>
      <c r="BZ605" s="11"/>
      <c r="CA605" s="11"/>
      <c r="CB605" s="11"/>
    </row>
    <row r="606" ht="15.75" customHeight="1">
      <c r="BQ606" s="11"/>
      <c r="BR606" s="11"/>
      <c r="BS606" s="11"/>
      <c r="BT606" s="11"/>
      <c r="BU606" s="11"/>
      <c r="BV606" s="11"/>
      <c r="BW606" s="11"/>
      <c r="BX606" s="11"/>
      <c r="BY606" s="11"/>
      <c r="BZ606" s="11"/>
      <c r="CA606" s="11"/>
      <c r="CB606" s="11"/>
    </row>
    <row r="607" ht="15.75" customHeight="1">
      <c r="BQ607" s="11"/>
      <c r="BR607" s="11"/>
      <c r="BS607" s="11"/>
      <c r="BT607" s="11"/>
      <c r="BU607" s="11"/>
      <c r="BV607" s="11"/>
      <c r="BW607" s="11"/>
      <c r="BX607" s="11"/>
      <c r="BY607" s="11"/>
      <c r="BZ607" s="11"/>
      <c r="CA607" s="11"/>
      <c r="CB607" s="11"/>
    </row>
    <row r="608" ht="15.75" customHeight="1">
      <c r="BQ608" s="11"/>
      <c r="BR608" s="11"/>
      <c r="BS608" s="11"/>
      <c r="BT608" s="11"/>
      <c r="BU608" s="11"/>
      <c r="BV608" s="11"/>
      <c r="BW608" s="11"/>
      <c r="BX608" s="11"/>
      <c r="BY608" s="11"/>
      <c r="BZ608" s="11"/>
      <c r="CA608" s="11"/>
      <c r="CB608" s="11"/>
    </row>
    <row r="609" ht="15.75" customHeight="1">
      <c r="BQ609" s="11"/>
      <c r="BR609" s="11"/>
      <c r="BS609" s="11"/>
      <c r="BT609" s="11"/>
      <c r="BU609" s="11"/>
      <c r="BV609" s="11"/>
      <c r="BW609" s="11"/>
      <c r="BX609" s="11"/>
      <c r="BY609" s="11"/>
      <c r="BZ609" s="11"/>
      <c r="CA609" s="11"/>
      <c r="CB609" s="11"/>
    </row>
    <row r="610" ht="15.75" customHeight="1">
      <c r="BQ610" s="11"/>
      <c r="BR610" s="11"/>
      <c r="BS610" s="11"/>
      <c r="BT610" s="11"/>
      <c r="BU610" s="11"/>
      <c r="BV610" s="11"/>
      <c r="BW610" s="11"/>
      <c r="BX610" s="11"/>
      <c r="BY610" s="11"/>
      <c r="BZ610" s="11"/>
      <c r="CA610" s="11"/>
      <c r="CB610" s="11"/>
    </row>
    <row r="611" ht="15.75" customHeight="1">
      <c r="BQ611" s="11"/>
      <c r="BR611" s="11"/>
      <c r="BS611" s="11"/>
      <c r="BT611" s="11"/>
      <c r="BU611" s="11"/>
      <c r="BV611" s="11"/>
      <c r="BW611" s="11"/>
      <c r="BX611" s="11"/>
      <c r="BY611" s="11"/>
      <c r="BZ611" s="11"/>
      <c r="CA611" s="11"/>
      <c r="CB611" s="11"/>
    </row>
    <row r="612" ht="15.75" customHeight="1">
      <c r="BQ612" s="11"/>
      <c r="BR612" s="11"/>
      <c r="BS612" s="11"/>
      <c r="BT612" s="11"/>
      <c r="BU612" s="11"/>
      <c r="BV612" s="11"/>
      <c r="BW612" s="11"/>
      <c r="BX612" s="11"/>
      <c r="BY612" s="11"/>
      <c r="BZ612" s="11"/>
      <c r="CA612" s="11"/>
      <c r="CB612" s="11"/>
    </row>
    <row r="613" ht="15.75" customHeight="1">
      <c r="BQ613" s="11"/>
      <c r="BR613" s="11"/>
      <c r="BS613" s="11"/>
      <c r="BT613" s="11"/>
      <c r="BU613" s="11"/>
      <c r="BV613" s="11"/>
      <c r="BW613" s="11"/>
      <c r="BX613" s="11"/>
      <c r="BY613" s="11"/>
      <c r="BZ613" s="11"/>
      <c r="CA613" s="11"/>
      <c r="CB613" s="11"/>
    </row>
    <row r="614" ht="15.75" customHeight="1">
      <c r="BQ614" s="11"/>
      <c r="BR614" s="11"/>
      <c r="BS614" s="11"/>
      <c r="BT614" s="11"/>
      <c r="BU614" s="11"/>
      <c r="BV614" s="11"/>
      <c r="BW614" s="11"/>
      <c r="BX614" s="11"/>
      <c r="BY614" s="11"/>
      <c r="BZ614" s="11"/>
      <c r="CA614" s="11"/>
      <c r="CB614" s="11"/>
    </row>
    <row r="615" ht="15.75" customHeight="1">
      <c r="BQ615" s="11"/>
      <c r="BR615" s="11"/>
      <c r="BS615" s="11"/>
      <c r="BT615" s="11"/>
      <c r="BU615" s="11"/>
      <c r="BV615" s="11"/>
      <c r="BW615" s="11"/>
      <c r="BX615" s="11"/>
      <c r="BY615" s="11"/>
      <c r="BZ615" s="11"/>
      <c r="CA615" s="11"/>
      <c r="CB615" s="11"/>
    </row>
    <row r="616" ht="15.75" customHeight="1">
      <c r="BQ616" s="11"/>
      <c r="BR616" s="11"/>
      <c r="BS616" s="11"/>
      <c r="BT616" s="11"/>
      <c r="BU616" s="11"/>
      <c r="BV616" s="11"/>
      <c r="BW616" s="11"/>
      <c r="BX616" s="11"/>
      <c r="BY616" s="11"/>
      <c r="BZ616" s="11"/>
      <c r="CA616" s="11"/>
      <c r="CB616" s="11"/>
    </row>
    <row r="617" ht="15.75" customHeight="1">
      <c r="BQ617" s="11"/>
      <c r="BR617" s="11"/>
      <c r="BS617" s="11"/>
      <c r="BT617" s="11"/>
      <c r="BU617" s="11"/>
      <c r="BV617" s="11"/>
      <c r="BW617" s="11"/>
      <c r="BX617" s="11"/>
      <c r="BY617" s="11"/>
      <c r="BZ617" s="11"/>
      <c r="CA617" s="11"/>
      <c r="CB617" s="11"/>
    </row>
    <row r="618" ht="15.75" customHeight="1">
      <c r="BQ618" s="11"/>
      <c r="BR618" s="11"/>
      <c r="BS618" s="11"/>
      <c r="BT618" s="11"/>
      <c r="BU618" s="11"/>
      <c r="BV618" s="11"/>
      <c r="BW618" s="11"/>
      <c r="BX618" s="11"/>
      <c r="BY618" s="11"/>
      <c r="BZ618" s="11"/>
      <c r="CA618" s="11"/>
      <c r="CB618" s="11"/>
    </row>
    <row r="619" ht="15.75" customHeight="1">
      <c r="BQ619" s="11"/>
      <c r="BR619" s="11"/>
      <c r="BS619" s="11"/>
      <c r="BT619" s="11"/>
      <c r="BU619" s="11"/>
      <c r="BV619" s="11"/>
      <c r="BW619" s="11"/>
      <c r="BX619" s="11"/>
      <c r="BY619" s="11"/>
      <c r="BZ619" s="11"/>
      <c r="CA619" s="11"/>
      <c r="CB619" s="11"/>
    </row>
    <row r="620" ht="15.75" customHeight="1">
      <c r="BQ620" s="11"/>
      <c r="BR620" s="11"/>
      <c r="BS620" s="11"/>
      <c r="BT620" s="11"/>
      <c r="BU620" s="11"/>
      <c r="BV620" s="11"/>
      <c r="BW620" s="11"/>
      <c r="BX620" s="11"/>
      <c r="BY620" s="11"/>
      <c r="BZ620" s="11"/>
      <c r="CA620" s="11"/>
      <c r="CB620" s="11"/>
    </row>
    <row r="621" ht="15.75" customHeight="1">
      <c r="BQ621" s="11"/>
      <c r="BR621" s="11"/>
      <c r="BS621" s="11"/>
      <c r="BT621" s="11"/>
      <c r="BU621" s="11"/>
      <c r="BV621" s="11"/>
      <c r="BW621" s="11"/>
      <c r="BX621" s="11"/>
      <c r="BY621" s="11"/>
      <c r="BZ621" s="11"/>
      <c r="CA621" s="11"/>
      <c r="CB621" s="11"/>
    </row>
    <row r="622" ht="15.75" customHeight="1">
      <c r="BQ622" s="11"/>
      <c r="BR622" s="11"/>
      <c r="BS622" s="11"/>
      <c r="BT622" s="11"/>
      <c r="BU622" s="11"/>
      <c r="BV622" s="11"/>
      <c r="BW622" s="11"/>
      <c r="BX622" s="11"/>
      <c r="BY622" s="11"/>
      <c r="BZ622" s="11"/>
      <c r="CA622" s="11"/>
      <c r="CB622" s="11"/>
    </row>
    <row r="623" ht="15.75" customHeight="1">
      <c r="BQ623" s="11"/>
      <c r="BR623" s="11"/>
      <c r="BS623" s="11"/>
      <c r="BT623" s="11"/>
      <c r="BU623" s="11"/>
      <c r="BV623" s="11"/>
      <c r="BW623" s="11"/>
      <c r="BX623" s="11"/>
      <c r="BY623" s="11"/>
      <c r="BZ623" s="11"/>
      <c r="CA623" s="11"/>
      <c r="CB623" s="11"/>
    </row>
    <row r="624" ht="15.75" customHeight="1">
      <c r="BQ624" s="11"/>
      <c r="BR624" s="11"/>
      <c r="BS624" s="11"/>
      <c r="BT624" s="11"/>
      <c r="BU624" s="11"/>
      <c r="BV624" s="11"/>
      <c r="BW624" s="11"/>
      <c r="BX624" s="11"/>
      <c r="BY624" s="11"/>
      <c r="BZ624" s="11"/>
      <c r="CA624" s="11"/>
      <c r="CB624" s="11"/>
    </row>
    <row r="625" ht="15.75" customHeight="1">
      <c r="BQ625" s="11"/>
      <c r="BR625" s="11"/>
      <c r="BS625" s="11"/>
      <c r="BT625" s="11"/>
      <c r="BU625" s="11"/>
      <c r="BV625" s="11"/>
      <c r="BW625" s="11"/>
      <c r="BX625" s="11"/>
      <c r="BY625" s="11"/>
      <c r="BZ625" s="11"/>
      <c r="CA625" s="11"/>
      <c r="CB625" s="11"/>
    </row>
    <row r="626" ht="15.75" customHeight="1">
      <c r="BQ626" s="11"/>
      <c r="BR626" s="11"/>
      <c r="BS626" s="11"/>
      <c r="BT626" s="11"/>
      <c r="BU626" s="11"/>
      <c r="BV626" s="11"/>
      <c r="BW626" s="11"/>
      <c r="BX626" s="11"/>
      <c r="BY626" s="11"/>
      <c r="BZ626" s="11"/>
      <c r="CA626" s="11"/>
      <c r="CB626" s="11"/>
    </row>
    <row r="627" ht="15.75" customHeight="1">
      <c r="BQ627" s="11"/>
      <c r="BR627" s="11"/>
      <c r="BS627" s="11"/>
      <c r="BT627" s="11"/>
      <c r="BU627" s="11"/>
      <c r="BV627" s="11"/>
      <c r="BW627" s="11"/>
      <c r="BX627" s="11"/>
      <c r="BY627" s="11"/>
      <c r="BZ627" s="11"/>
      <c r="CA627" s="11"/>
      <c r="CB627" s="11"/>
    </row>
    <row r="628" ht="15.75" customHeight="1">
      <c r="BQ628" s="11"/>
      <c r="BR628" s="11"/>
      <c r="BS628" s="11"/>
      <c r="BT628" s="11"/>
      <c r="BU628" s="11"/>
      <c r="BV628" s="11"/>
      <c r="BW628" s="11"/>
      <c r="BX628" s="11"/>
      <c r="BY628" s="11"/>
      <c r="BZ628" s="11"/>
      <c r="CA628" s="11"/>
      <c r="CB628" s="11"/>
    </row>
    <row r="629" ht="15.75" customHeight="1">
      <c r="BQ629" s="11"/>
      <c r="BR629" s="11"/>
      <c r="BS629" s="11"/>
      <c r="BT629" s="11"/>
      <c r="BU629" s="11"/>
      <c r="BV629" s="11"/>
      <c r="BW629" s="11"/>
      <c r="BX629" s="11"/>
      <c r="BY629" s="11"/>
      <c r="BZ629" s="11"/>
      <c r="CA629" s="11"/>
      <c r="CB629" s="11"/>
    </row>
    <row r="630" ht="15.75" customHeight="1">
      <c r="BQ630" s="11"/>
      <c r="BR630" s="11"/>
      <c r="BS630" s="11"/>
      <c r="BT630" s="11"/>
      <c r="BU630" s="11"/>
      <c r="BV630" s="11"/>
      <c r="BW630" s="11"/>
      <c r="BX630" s="11"/>
      <c r="BY630" s="11"/>
      <c r="BZ630" s="11"/>
      <c r="CA630" s="11"/>
      <c r="CB630" s="11"/>
    </row>
    <row r="631" ht="15.75" customHeight="1">
      <c r="BQ631" s="11"/>
      <c r="BR631" s="11"/>
      <c r="BS631" s="11"/>
      <c r="BT631" s="11"/>
      <c r="BU631" s="11"/>
      <c r="BV631" s="11"/>
      <c r="BW631" s="11"/>
      <c r="BX631" s="11"/>
      <c r="BY631" s="11"/>
      <c r="BZ631" s="11"/>
      <c r="CA631" s="11"/>
      <c r="CB631" s="11"/>
    </row>
    <row r="632" ht="15.75" customHeight="1">
      <c r="BQ632" s="11"/>
      <c r="BR632" s="11"/>
      <c r="BS632" s="11"/>
      <c r="BT632" s="11"/>
      <c r="BU632" s="11"/>
      <c r="BV632" s="11"/>
      <c r="BW632" s="11"/>
      <c r="BX632" s="11"/>
      <c r="BY632" s="11"/>
      <c r="BZ632" s="11"/>
      <c r="CA632" s="11"/>
      <c r="CB632" s="11"/>
    </row>
    <row r="633" ht="15.75" customHeight="1">
      <c r="BQ633" s="11"/>
      <c r="BR633" s="11"/>
      <c r="BS633" s="11"/>
      <c r="BT633" s="11"/>
      <c r="BU633" s="11"/>
      <c r="BV633" s="11"/>
      <c r="BW633" s="11"/>
      <c r="BX633" s="11"/>
      <c r="BY633" s="11"/>
      <c r="BZ633" s="11"/>
      <c r="CA633" s="11"/>
      <c r="CB633" s="11"/>
    </row>
    <row r="634" ht="15.75" customHeight="1">
      <c r="BQ634" s="11"/>
      <c r="BR634" s="11"/>
      <c r="BS634" s="11"/>
      <c r="BT634" s="11"/>
      <c r="BU634" s="11"/>
      <c r="BV634" s="11"/>
      <c r="BW634" s="11"/>
      <c r="BX634" s="11"/>
      <c r="BY634" s="11"/>
      <c r="BZ634" s="11"/>
      <c r="CA634" s="11"/>
      <c r="CB634" s="11"/>
    </row>
    <row r="635" ht="15.75" customHeight="1">
      <c r="BQ635" s="11"/>
      <c r="BR635" s="11"/>
      <c r="BS635" s="11"/>
      <c r="BT635" s="11"/>
      <c r="BU635" s="11"/>
      <c r="BV635" s="11"/>
      <c r="BW635" s="11"/>
      <c r="BX635" s="11"/>
      <c r="BY635" s="11"/>
      <c r="BZ635" s="11"/>
      <c r="CA635" s="11"/>
      <c r="CB635" s="11"/>
    </row>
    <row r="636" ht="15.75" customHeight="1">
      <c r="BQ636" s="11"/>
      <c r="BR636" s="11"/>
      <c r="BS636" s="11"/>
      <c r="BT636" s="11"/>
      <c r="BU636" s="11"/>
      <c r="BV636" s="11"/>
      <c r="BW636" s="11"/>
      <c r="BX636" s="11"/>
      <c r="BY636" s="11"/>
      <c r="BZ636" s="11"/>
      <c r="CA636" s="11"/>
      <c r="CB636" s="11"/>
    </row>
    <row r="637" ht="15.75" customHeight="1">
      <c r="BQ637" s="11"/>
      <c r="BR637" s="11"/>
      <c r="BS637" s="11"/>
      <c r="BT637" s="11"/>
      <c r="BU637" s="11"/>
      <c r="BV637" s="11"/>
      <c r="BW637" s="11"/>
      <c r="BX637" s="11"/>
      <c r="BY637" s="11"/>
      <c r="BZ637" s="11"/>
      <c r="CA637" s="11"/>
      <c r="CB637" s="11"/>
    </row>
    <row r="638" ht="15.75" customHeight="1">
      <c r="BQ638" s="11"/>
      <c r="BR638" s="11"/>
      <c r="BS638" s="11"/>
      <c r="BT638" s="11"/>
      <c r="BU638" s="11"/>
      <c r="BV638" s="11"/>
      <c r="BW638" s="11"/>
      <c r="BX638" s="11"/>
      <c r="BY638" s="11"/>
      <c r="BZ638" s="11"/>
      <c r="CA638" s="11"/>
      <c r="CB638" s="11"/>
    </row>
    <row r="639" ht="15.75" customHeight="1">
      <c r="BQ639" s="11"/>
      <c r="BR639" s="11"/>
      <c r="BS639" s="11"/>
      <c r="BT639" s="11"/>
      <c r="BU639" s="11"/>
      <c r="BV639" s="11"/>
      <c r="BW639" s="11"/>
      <c r="BX639" s="11"/>
      <c r="BY639" s="11"/>
      <c r="BZ639" s="11"/>
      <c r="CA639" s="11"/>
      <c r="CB639" s="11"/>
    </row>
    <row r="640" ht="15.75" customHeight="1">
      <c r="BQ640" s="11"/>
      <c r="BR640" s="11"/>
      <c r="BS640" s="11"/>
      <c r="BT640" s="11"/>
      <c r="BU640" s="11"/>
      <c r="BV640" s="11"/>
      <c r="BW640" s="11"/>
      <c r="BX640" s="11"/>
      <c r="BY640" s="11"/>
      <c r="BZ640" s="11"/>
      <c r="CA640" s="11"/>
      <c r="CB640" s="11"/>
    </row>
    <row r="641" ht="15.75" customHeight="1">
      <c r="BQ641" s="11"/>
      <c r="BR641" s="11"/>
      <c r="BS641" s="11"/>
      <c r="BT641" s="11"/>
      <c r="BU641" s="11"/>
      <c r="BV641" s="11"/>
      <c r="BW641" s="11"/>
      <c r="BX641" s="11"/>
      <c r="BY641" s="11"/>
      <c r="BZ641" s="11"/>
      <c r="CA641" s="11"/>
      <c r="CB641" s="11"/>
    </row>
    <row r="642" ht="15.75" customHeight="1">
      <c r="BQ642" s="11"/>
      <c r="BR642" s="11"/>
      <c r="BS642" s="11"/>
      <c r="BT642" s="11"/>
      <c r="BU642" s="11"/>
      <c r="BV642" s="11"/>
      <c r="BW642" s="11"/>
      <c r="BX642" s="11"/>
      <c r="BY642" s="11"/>
      <c r="BZ642" s="11"/>
      <c r="CA642" s="11"/>
      <c r="CB642" s="11"/>
    </row>
    <row r="643" ht="15.75" customHeight="1">
      <c r="BQ643" s="11"/>
      <c r="BR643" s="11"/>
      <c r="BS643" s="11"/>
      <c r="BT643" s="11"/>
      <c r="BU643" s="11"/>
      <c r="BV643" s="11"/>
      <c r="BW643" s="11"/>
      <c r="BX643" s="11"/>
      <c r="BY643" s="11"/>
      <c r="BZ643" s="11"/>
      <c r="CA643" s="11"/>
      <c r="CB643" s="11"/>
    </row>
    <row r="644" ht="15.75" customHeight="1">
      <c r="BQ644" s="11"/>
      <c r="BR644" s="11"/>
      <c r="BS644" s="11"/>
      <c r="BT644" s="11"/>
      <c r="BU644" s="11"/>
      <c r="BV644" s="11"/>
      <c r="BW644" s="11"/>
      <c r="BX644" s="11"/>
      <c r="BY644" s="11"/>
      <c r="BZ644" s="11"/>
      <c r="CA644" s="11"/>
      <c r="CB644" s="11"/>
    </row>
    <row r="645" ht="15.75" customHeight="1">
      <c r="BQ645" s="11"/>
      <c r="BR645" s="11"/>
      <c r="BS645" s="11"/>
      <c r="BT645" s="11"/>
      <c r="BU645" s="11"/>
      <c r="BV645" s="11"/>
      <c r="BW645" s="11"/>
      <c r="BX645" s="11"/>
      <c r="BY645" s="11"/>
      <c r="BZ645" s="11"/>
      <c r="CA645" s="11"/>
      <c r="CB645" s="11"/>
    </row>
    <row r="646" ht="15.75" customHeight="1">
      <c r="BQ646" s="11"/>
      <c r="BR646" s="11"/>
      <c r="BS646" s="11"/>
      <c r="BT646" s="11"/>
      <c r="BU646" s="11"/>
      <c r="BV646" s="11"/>
      <c r="BW646" s="11"/>
      <c r="BX646" s="11"/>
      <c r="BY646" s="11"/>
      <c r="BZ646" s="11"/>
      <c r="CA646" s="11"/>
      <c r="CB646" s="11"/>
    </row>
    <row r="647" ht="15.75" customHeight="1">
      <c r="BQ647" s="11"/>
      <c r="BR647" s="11"/>
      <c r="BS647" s="11"/>
      <c r="BT647" s="11"/>
      <c r="BU647" s="11"/>
      <c r="BV647" s="11"/>
      <c r="BW647" s="11"/>
      <c r="BX647" s="11"/>
      <c r="BY647" s="11"/>
      <c r="BZ647" s="11"/>
      <c r="CA647" s="11"/>
      <c r="CB647" s="11"/>
    </row>
    <row r="648" ht="15.75" customHeight="1">
      <c r="BQ648" s="11"/>
      <c r="BR648" s="11"/>
      <c r="BS648" s="11"/>
      <c r="BT648" s="11"/>
      <c r="BU648" s="11"/>
      <c r="BV648" s="11"/>
      <c r="BW648" s="11"/>
      <c r="BX648" s="11"/>
      <c r="BY648" s="11"/>
      <c r="BZ648" s="11"/>
      <c r="CA648" s="11"/>
      <c r="CB648" s="11"/>
    </row>
    <row r="649" ht="15.75" customHeight="1">
      <c r="BQ649" s="11"/>
      <c r="BR649" s="11"/>
      <c r="BS649" s="11"/>
      <c r="BT649" s="11"/>
      <c r="BU649" s="11"/>
      <c r="BV649" s="11"/>
      <c r="BW649" s="11"/>
      <c r="BX649" s="11"/>
      <c r="BY649" s="11"/>
      <c r="BZ649" s="11"/>
      <c r="CA649" s="11"/>
      <c r="CB649" s="11"/>
    </row>
    <row r="650" ht="15.75" customHeight="1">
      <c r="BQ650" s="11"/>
      <c r="BR650" s="11"/>
      <c r="BS650" s="11"/>
      <c r="BT650" s="11"/>
      <c r="BU650" s="11"/>
      <c r="BV650" s="11"/>
      <c r="BW650" s="11"/>
      <c r="BX650" s="11"/>
      <c r="BY650" s="11"/>
      <c r="BZ650" s="11"/>
      <c r="CA650" s="11"/>
      <c r="CB650" s="11"/>
    </row>
    <row r="651" ht="15.75" customHeight="1">
      <c r="BQ651" s="11"/>
      <c r="BR651" s="11"/>
      <c r="BS651" s="11"/>
      <c r="BT651" s="11"/>
      <c r="BU651" s="11"/>
      <c r="BV651" s="11"/>
      <c r="BW651" s="11"/>
      <c r="BX651" s="11"/>
      <c r="BY651" s="11"/>
      <c r="BZ651" s="11"/>
      <c r="CA651" s="11"/>
      <c r="CB651" s="11"/>
    </row>
    <row r="652" ht="15.75" customHeight="1">
      <c r="BQ652" s="11"/>
      <c r="BR652" s="11"/>
      <c r="BS652" s="11"/>
      <c r="BT652" s="11"/>
      <c r="BU652" s="11"/>
      <c r="BV652" s="11"/>
      <c r="BW652" s="11"/>
      <c r="BX652" s="11"/>
      <c r="BY652" s="11"/>
      <c r="BZ652" s="11"/>
      <c r="CA652" s="11"/>
      <c r="CB652" s="11"/>
    </row>
    <row r="653" ht="15.75" customHeight="1">
      <c r="BQ653" s="11"/>
      <c r="BR653" s="11"/>
      <c r="BS653" s="11"/>
      <c r="BT653" s="11"/>
      <c r="BU653" s="11"/>
      <c r="BV653" s="11"/>
      <c r="BW653" s="11"/>
      <c r="BX653" s="11"/>
      <c r="BY653" s="11"/>
      <c r="BZ653" s="11"/>
      <c r="CA653" s="11"/>
      <c r="CB653" s="11"/>
    </row>
    <row r="654" ht="15.75" customHeight="1">
      <c r="BQ654" s="11"/>
      <c r="BR654" s="11"/>
      <c r="BS654" s="11"/>
      <c r="BT654" s="11"/>
      <c r="BU654" s="11"/>
      <c r="BV654" s="11"/>
      <c r="BW654" s="11"/>
      <c r="BX654" s="11"/>
      <c r="BY654" s="11"/>
      <c r="BZ654" s="11"/>
      <c r="CA654" s="11"/>
      <c r="CB654" s="11"/>
    </row>
    <row r="655" ht="15.75" customHeight="1">
      <c r="BQ655" s="11"/>
      <c r="BR655" s="11"/>
      <c r="BS655" s="11"/>
      <c r="BT655" s="11"/>
      <c r="BU655" s="11"/>
      <c r="BV655" s="11"/>
      <c r="BW655" s="11"/>
      <c r="BX655" s="11"/>
      <c r="BY655" s="11"/>
      <c r="BZ655" s="11"/>
      <c r="CA655" s="11"/>
      <c r="CB655" s="11"/>
    </row>
    <row r="656" ht="15.75" customHeight="1">
      <c r="BQ656" s="11"/>
      <c r="BR656" s="11"/>
      <c r="BS656" s="11"/>
      <c r="BT656" s="11"/>
      <c r="BU656" s="11"/>
      <c r="BV656" s="11"/>
      <c r="BW656" s="11"/>
      <c r="BX656" s="11"/>
      <c r="BY656" s="11"/>
      <c r="BZ656" s="11"/>
      <c r="CA656" s="11"/>
      <c r="CB656" s="11"/>
    </row>
    <row r="657" ht="15.75" customHeight="1">
      <c r="BQ657" s="11"/>
      <c r="BR657" s="11"/>
      <c r="BS657" s="11"/>
      <c r="BT657" s="11"/>
      <c r="BU657" s="11"/>
      <c r="BV657" s="11"/>
      <c r="BW657" s="11"/>
      <c r="BX657" s="11"/>
      <c r="BY657" s="11"/>
      <c r="BZ657" s="11"/>
      <c r="CA657" s="11"/>
      <c r="CB657" s="11"/>
    </row>
    <row r="658" ht="15.75" customHeight="1">
      <c r="BQ658" s="11"/>
      <c r="BR658" s="11"/>
      <c r="BS658" s="11"/>
      <c r="BT658" s="11"/>
      <c r="BU658" s="11"/>
      <c r="BV658" s="11"/>
      <c r="BW658" s="11"/>
      <c r="BX658" s="11"/>
      <c r="BY658" s="11"/>
      <c r="BZ658" s="11"/>
      <c r="CA658" s="11"/>
      <c r="CB658" s="11"/>
    </row>
    <row r="659" ht="15.75" customHeight="1">
      <c r="BQ659" s="11"/>
      <c r="BR659" s="11"/>
      <c r="BS659" s="11"/>
      <c r="BT659" s="11"/>
      <c r="BU659" s="11"/>
      <c r="BV659" s="11"/>
      <c r="BW659" s="11"/>
      <c r="BX659" s="11"/>
      <c r="BY659" s="11"/>
      <c r="BZ659" s="11"/>
      <c r="CA659" s="11"/>
      <c r="CB659" s="11"/>
    </row>
    <row r="660" ht="15.75" customHeight="1">
      <c r="BQ660" s="11"/>
      <c r="BR660" s="11"/>
      <c r="BS660" s="11"/>
      <c r="BT660" s="11"/>
      <c r="BU660" s="11"/>
      <c r="BV660" s="11"/>
      <c r="BW660" s="11"/>
      <c r="BX660" s="11"/>
      <c r="BY660" s="11"/>
      <c r="BZ660" s="11"/>
      <c r="CA660" s="11"/>
      <c r="CB660" s="11"/>
    </row>
    <row r="661" ht="15.75" customHeight="1">
      <c r="BQ661" s="11"/>
      <c r="BR661" s="11"/>
      <c r="BS661" s="11"/>
      <c r="BT661" s="11"/>
      <c r="BU661" s="11"/>
      <c r="BV661" s="11"/>
      <c r="BW661" s="11"/>
      <c r="BX661" s="11"/>
      <c r="BY661" s="11"/>
      <c r="BZ661" s="11"/>
      <c r="CA661" s="11"/>
      <c r="CB661" s="11"/>
    </row>
    <row r="662" ht="15.75" customHeight="1">
      <c r="BQ662" s="11"/>
      <c r="BR662" s="11"/>
      <c r="BS662" s="11"/>
      <c r="BT662" s="11"/>
      <c r="BU662" s="11"/>
      <c r="BV662" s="11"/>
      <c r="BW662" s="11"/>
      <c r="BX662" s="11"/>
      <c r="BY662" s="11"/>
      <c r="BZ662" s="11"/>
      <c r="CA662" s="11"/>
      <c r="CB662" s="11"/>
    </row>
    <row r="663" ht="15.75" customHeight="1">
      <c r="BQ663" s="11"/>
      <c r="BR663" s="11"/>
      <c r="BS663" s="11"/>
      <c r="BT663" s="11"/>
      <c r="BU663" s="11"/>
      <c r="BV663" s="11"/>
      <c r="BW663" s="11"/>
      <c r="BX663" s="11"/>
      <c r="BY663" s="11"/>
      <c r="BZ663" s="11"/>
      <c r="CA663" s="11"/>
      <c r="CB663" s="11"/>
    </row>
    <row r="664" ht="15.75" customHeight="1">
      <c r="BQ664" s="11"/>
      <c r="BR664" s="11"/>
      <c r="BS664" s="11"/>
      <c r="BT664" s="11"/>
      <c r="BU664" s="11"/>
      <c r="BV664" s="11"/>
      <c r="BW664" s="11"/>
      <c r="BX664" s="11"/>
      <c r="BY664" s="11"/>
      <c r="BZ664" s="11"/>
      <c r="CA664" s="11"/>
      <c r="CB664" s="11"/>
    </row>
    <row r="665" ht="15.75" customHeight="1">
      <c r="BQ665" s="11"/>
      <c r="BR665" s="11"/>
      <c r="BS665" s="11"/>
      <c r="BT665" s="11"/>
      <c r="BU665" s="11"/>
      <c r="BV665" s="11"/>
      <c r="BW665" s="11"/>
      <c r="BX665" s="11"/>
      <c r="BY665" s="11"/>
      <c r="BZ665" s="11"/>
      <c r="CA665" s="11"/>
      <c r="CB665" s="11"/>
    </row>
    <row r="666" ht="15.75" customHeight="1">
      <c r="BQ666" s="11"/>
      <c r="BR666" s="11"/>
      <c r="BS666" s="11"/>
      <c r="BT666" s="11"/>
      <c r="BU666" s="11"/>
      <c r="BV666" s="11"/>
      <c r="BW666" s="11"/>
      <c r="BX666" s="11"/>
      <c r="BY666" s="11"/>
      <c r="BZ666" s="11"/>
      <c r="CA666" s="11"/>
      <c r="CB666" s="11"/>
    </row>
    <row r="667" ht="15.75" customHeight="1">
      <c r="BQ667" s="11"/>
      <c r="BR667" s="11"/>
      <c r="BS667" s="11"/>
      <c r="BT667" s="11"/>
      <c r="BU667" s="11"/>
      <c r="BV667" s="11"/>
      <c r="BW667" s="11"/>
      <c r="BX667" s="11"/>
      <c r="BY667" s="11"/>
      <c r="BZ667" s="11"/>
      <c r="CA667" s="11"/>
      <c r="CB667" s="11"/>
    </row>
    <row r="668" ht="15.75" customHeight="1">
      <c r="BQ668" s="11"/>
      <c r="BR668" s="11"/>
      <c r="BS668" s="11"/>
      <c r="BT668" s="11"/>
      <c r="BU668" s="11"/>
      <c r="BV668" s="11"/>
      <c r="BW668" s="11"/>
      <c r="BX668" s="11"/>
      <c r="BY668" s="11"/>
      <c r="BZ668" s="11"/>
      <c r="CA668" s="11"/>
      <c r="CB668" s="11"/>
    </row>
    <row r="669" ht="15.75" customHeight="1">
      <c r="BQ669" s="11"/>
      <c r="BR669" s="11"/>
      <c r="BS669" s="11"/>
      <c r="BT669" s="11"/>
      <c r="BU669" s="11"/>
      <c r="BV669" s="11"/>
      <c r="BW669" s="11"/>
      <c r="BX669" s="11"/>
      <c r="BY669" s="11"/>
      <c r="BZ669" s="11"/>
      <c r="CA669" s="11"/>
      <c r="CB669" s="11"/>
    </row>
    <row r="670" ht="15.75" customHeight="1">
      <c r="BQ670" s="11"/>
      <c r="BR670" s="11"/>
      <c r="BS670" s="11"/>
      <c r="BT670" s="11"/>
      <c r="BU670" s="11"/>
      <c r="BV670" s="11"/>
      <c r="BW670" s="11"/>
      <c r="BX670" s="11"/>
      <c r="BY670" s="11"/>
      <c r="BZ670" s="11"/>
      <c r="CA670" s="11"/>
      <c r="CB670" s="11"/>
    </row>
    <row r="671" ht="15.75" customHeight="1">
      <c r="BQ671" s="11"/>
      <c r="BR671" s="11"/>
      <c r="BS671" s="11"/>
      <c r="BT671" s="11"/>
      <c r="BU671" s="11"/>
      <c r="BV671" s="11"/>
      <c r="BW671" s="11"/>
      <c r="BX671" s="11"/>
      <c r="BY671" s="11"/>
      <c r="BZ671" s="11"/>
      <c r="CA671" s="11"/>
      <c r="CB671" s="11"/>
    </row>
    <row r="672" ht="15.75" customHeight="1">
      <c r="BQ672" s="11"/>
      <c r="BR672" s="11"/>
      <c r="BS672" s="11"/>
      <c r="BT672" s="11"/>
      <c r="BU672" s="11"/>
      <c r="BV672" s="11"/>
      <c r="BW672" s="11"/>
      <c r="BX672" s="11"/>
      <c r="BY672" s="11"/>
      <c r="BZ672" s="11"/>
      <c r="CA672" s="11"/>
      <c r="CB672" s="11"/>
    </row>
    <row r="673" ht="15.75" customHeight="1">
      <c r="BQ673" s="11"/>
      <c r="BR673" s="11"/>
      <c r="BS673" s="11"/>
      <c r="BT673" s="11"/>
      <c r="BU673" s="11"/>
      <c r="BV673" s="11"/>
      <c r="BW673" s="11"/>
      <c r="BX673" s="11"/>
      <c r="BY673" s="11"/>
      <c r="BZ673" s="11"/>
      <c r="CA673" s="11"/>
      <c r="CB673" s="11"/>
    </row>
    <row r="674" ht="15.75" customHeight="1">
      <c r="BQ674" s="11"/>
      <c r="BR674" s="11"/>
      <c r="BS674" s="11"/>
      <c r="BT674" s="11"/>
      <c r="BU674" s="11"/>
      <c r="BV674" s="11"/>
      <c r="BW674" s="11"/>
      <c r="BX674" s="11"/>
      <c r="BY674" s="11"/>
      <c r="BZ674" s="11"/>
      <c r="CA674" s="11"/>
      <c r="CB674" s="11"/>
    </row>
    <row r="675" ht="15.75" customHeight="1">
      <c r="BQ675" s="11"/>
      <c r="BR675" s="11"/>
      <c r="BS675" s="11"/>
      <c r="BT675" s="11"/>
      <c r="BU675" s="11"/>
      <c r="BV675" s="11"/>
      <c r="BW675" s="11"/>
      <c r="BX675" s="11"/>
      <c r="BY675" s="11"/>
      <c r="BZ675" s="11"/>
      <c r="CA675" s="11"/>
      <c r="CB675" s="11"/>
    </row>
    <row r="676" ht="15.75" customHeight="1">
      <c r="BQ676" s="11"/>
      <c r="BR676" s="11"/>
      <c r="BS676" s="11"/>
      <c r="BT676" s="11"/>
      <c r="BU676" s="11"/>
      <c r="BV676" s="11"/>
      <c r="BW676" s="11"/>
      <c r="BX676" s="11"/>
      <c r="BY676" s="11"/>
      <c r="BZ676" s="11"/>
      <c r="CA676" s="11"/>
      <c r="CB676" s="11"/>
    </row>
    <row r="677" ht="15.75" customHeight="1">
      <c r="BQ677" s="11"/>
      <c r="BR677" s="11"/>
      <c r="BS677" s="11"/>
      <c r="BT677" s="11"/>
      <c r="BU677" s="11"/>
      <c r="BV677" s="11"/>
      <c r="BW677" s="11"/>
      <c r="BX677" s="11"/>
      <c r="BY677" s="11"/>
      <c r="BZ677" s="11"/>
      <c r="CA677" s="11"/>
      <c r="CB677" s="11"/>
    </row>
    <row r="678" ht="15.75" customHeight="1">
      <c r="BQ678" s="11"/>
      <c r="BR678" s="11"/>
      <c r="BS678" s="11"/>
      <c r="BT678" s="11"/>
      <c r="BU678" s="11"/>
      <c r="BV678" s="11"/>
      <c r="BW678" s="11"/>
      <c r="BX678" s="11"/>
      <c r="BY678" s="11"/>
      <c r="BZ678" s="11"/>
      <c r="CA678" s="11"/>
      <c r="CB678" s="11"/>
    </row>
    <row r="679" ht="15.75" customHeight="1">
      <c r="BQ679" s="11"/>
      <c r="BR679" s="11"/>
      <c r="BS679" s="11"/>
      <c r="BT679" s="11"/>
      <c r="BU679" s="11"/>
      <c r="BV679" s="11"/>
      <c r="BW679" s="11"/>
      <c r="BX679" s="11"/>
      <c r="BY679" s="11"/>
      <c r="BZ679" s="11"/>
      <c r="CA679" s="11"/>
      <c r="CB679" s="11"/>
    </row>
    <row r="680" ht="15.75" customHeight="1">
      <c r="BQ680" s="11"/>
      <c r="BR680" s="11"/>
      <c r="BS680" s="11"/>
      <c r="BT680" s="11"/>
      <c r="BU680" s="11"/>
      <c r="BV680" s="11"/>
      <c r="BW680" s="11"/>
      <c r="BX680" s="11"/>
      <c r="BY680" s="11"/>
      <c r="BZ680" s="11"/>
      <c r="CA680" s="11"/>
      <c r="CB680" s="11"/>
    </row>
    <row r="681" ht="15.75" customHeight="1">
      <c r="BQ681" s="11"/>
      <c r="BR681" s="11"/>
      <c r="BS681" s="11"/>
      <c r="BT681" s="11"/>
      <c r="BU681" s="11"/>
      <c r="BV681" s="11"/>
      <c r="BW681" s="11"/>
      <c r="BX681" s="11"/>
      <c r="BY681" s="11"/>
      <c r="BZ681" s="11"/>
      <c r="CA681" s="11"/>
      <c r="CB681" s="11"/>
    </row>
    <row r="682" ht="15.75" customHeight="1">
      <c r="BQ682" s="11"/>
      <c r="BR682" s="11"/>
      <c r="BS682" s="11"/>
      <c r="BT682" s="11"/>
      <c r="BU682" s="11"/>
      <c r="BV682" s="11"/>
      <c r="BW682" s="11"/>
      <c r="BX682" s="11"/>
      <c r="BY682" s="11"/>
      <c r="BZ682" s="11"/>
      <c r="CA682" s="11"/>
      <c r="CB682" s="11"/>
    </row>
    <row r="683" ht="15.75" customHeight="1">
      <c r="BQ683" s="11"/>
      <c r="BR683" s="11"/>
      <c r="BS683" s="11"/>
      <c r="BT683" s="11"/>
      <c r="BU683" s="11"/>
      <c r="BV683" s="11"/>
      <c r="BW683" s="11"/>
      <c r="BX683" s="11"/>
      <c r="BY683" s="11"/>
      <c r="BZ683" s="11"/>
      <c r="CA683" s="11"/>
      <c r="CB683" s="11"/>
    </row>
    <row r="684" ht="15.75" customHeight="1">
      <c r="BQ684" s="11"/>
      <c r="BR684" s="11"/>
      <c r="BS684" s="11"/>
      <c r="BT684" s="11"/>
      <c r="BU684" s="11"/>
      <c r="BV684" s="11"/>
      <c r="BW684" s="11"/>
      <c r="BX684" s="11"/>
      <c r="BY684" s="11"/>
      <c r="BZ684" s="11"/>
      <c r="CA684" s="11"/>
      <c r="CB684" s="11"/>
    </row>
    <row r="685" ht="15.75" customHeight="1">
      <c r="BQ685" s="11"/>
      <c r="BR685" s="11"/>
      <c r="BS685" s="11"/>
      <c r="BT685" s="11"/>
      <c r="BU685" s="11"/>
      <c r="BV685" s="11"/>
      <c r="BW685" s="11"/>
      <c r="BX685" s="11"/>
      <c r="BY685" s="11"/>
      <c r="BZ685" s="11"/>
      <c r="CA685" s="11"/>
      <c r="CB685" s="11"/>
    </row>
    <row r="686" ht="15.75" customHeight="1">
      <c r="BQ686" s="11"/>
      <c r="BR686" s="11"/>
      <c r="BS686" s="11"/>
      <c r="BT686" s="11"/>
      <c r="BU686" s="11"/>
      <c r="BV686" s="11"/>
      <c r="BW686" s="11"/>
      <c r="BX686" s="11"/>
      <c r="BY686" s="11"/>
      <c r="BZ686" s="11"/>
      <c r="CA686" s="11"/>
      <c r="CB686" s="11"/>
    </row>
    <row r="687" ht="15.75" customHeight="1">
      <c r="BQ687" s="11"/>
      <c r="BR687" s="11"/>
      <c r="BS687" s="11"/>
      <c r="BT687" s="11"/>
      <c r="BU687" s="11"/>
      <c r="BV687" s="11"/>
      <c r="BW687" s="11"/>
      <c r="BX687" s="11"/>
      <c r="BY687" s="11"/>
      <c r="BZ687" s="11"/>
      <c r="CA687" s="11"/>
      <c r="CB687" s="11"/>
    </row>
    <row r="688" ht="15.75" customHeight="1">
      <c r="BQ688" s="11"/>
      <c r="BR688" s="11"/>
      <c r="BS688" s="11"/>
      <c r="BT688" s="11"/>
      <c r="BU688" s="11"/>
      <c r="BV688" s="11"/>
      <c r="BW688" s="11"/>
      <c r="BX688" s="11"/>
      <c r="BY688" s="11"/>
      <c r="BZ688" s="11"/>
      <c r="CA688" s="11"/>
      <c r="CB688" s="11"/>
    </row>
    <row r="689" ht="15.75" customHeight="1">
      <c r="BQ689" s="11"/>
      <c r="BR689" s="11"/>
      <c r="BS689" s="11"/>
      <c r="BT689" s="11"/>
      <c r="BU689" s="11"/>
      <c r="BV689" s="11"/>
      <c r="BW689" s="11"/>
      <c r="BX689" s="11"/>
      <c r="BY689" s="11"/>
      <c r="BZ689" s="11"/>
      <c r="CA689" s="11"/>
      <c r="CB689" s="11"/>
    </row>
    <row r="690" ht="15.75" customHeight="1">
      <c r="BQ690" s="11"/>
      <c r="BR690" s="11"/>
      <c r="BS690" s="11"/>
      <c r="BT690" s="11"/>
      <c r="BU690" s="11"/>
      <c r="BV690" s="11"/>
      <c r="BW690" s="11"/>
      <c r="BX690" s="11"/>
      <c r="BY690" s="11"/>
      <c r="BZ690" s="11"/>
      <c r="CA690" s="11"/>
      <c r="CB690" s="11"/>
    </row>
    <row r="691" ht="15.75" customHeight="1">
      <c r="BQ691" s="11"/>
      <c r="BR691" s="11"/>
      <c r="BS691" s="11"/>
      <c r="BT691" s="11"/>
      <c r="BU691" s="11"/>
      <c r="BV691" s="11"/>
      <c r="BW691" s="11"/>
      <c r="BX691" s="11"/>
      <c r="BY691" s="11"/>
      <c r="BZ691" s="11"/>
      <c r="CA691" s="11"/>
      <c r="CB691" s="11"/>
    </row>
    <row r="692" ht="15.75" customHeight="1">
      <c r="BQ692" s="11"/>
      <c r="BR692" s="11"/>
      <c r="BS692" s="11"/>
      <c r="BT692" s="11"/>
      <c r="BU692" s="11"/>
      <c r="BV692" s="11"/>
      <c r="BW692" s="11"/>
      <c r="BX692" s="11"/>
      <c r="BY692" s="11"/>
      <c r="BZ692" s="11"/>
      <c r="CA692" s="11"/>
      <c r="CB692" s="11"/>
    </row>
    <row r="693" ht="15.75" customHeight="1">
      <c r="BQ693" s="11"/>
      <c r="BR693" s="11"/>
      <c r="BS693" s="11"/>
      <c r="BT693" s="11"/>
      <c r="BU693" s="11"/>
      <c r="BV693" s="11"/>
      <c r="BW693" s="11"/>
      <c r="BX693" s="11"/>
      <c r="BY693" s="11"/>
      <c r="BZ693" s="11"/>
      <c r="CA693" s="11"/>
      <c r="CB693" s="11"/>
    </row>
    <row r="694" ht="15.75" customHeight="1">
      <c r="BQ694" s="11"/>
      <c r="BR694" s="11"/>
      <c r="BS694" s="11"/>
      <c r="BT694" s="11"/>
      <c r="BU694" s="11"/>
      <c r="BV694" s="11"/>
      <c r="BW694" s="11"/>
      <c r="BX694" s="11"/>
      <c r="BY694" s="11"/>
      <c r="BZ694" s="11"/>
      <c r="CA694" s="11"/>
      <c r="CB694" s="11"/>
    </row>
    <row r="695" ht="15.75" customHeight="1">
      <c r="BQ695" s="11"/>
      <c r="BR695" s="11"/>
      <c r="BS695" s="11"/>
      <c r="BT695" s="11"/>
      <c r="BU695" s="11"/>
      <c r="BV695" s="11"/>
      <c r="BW695" s="11"/>
      <c r="BX695" s="11"/>
      <c r="BY695" s="11"/>
      <c r="BZ695" s="11"/>
      <c r="CA695" s="11"/>
      <c r="CB695" s="11"/>
    </row>
    <row r="696" ht="15.75" customHeight="1">
      <c r="BQ696" s="11"/>
      <c r="BR696" s="11"/>
      <c r="BS696" s="11"/>
      <c r="BT696" s="11"/>
      <c r="BU696" s="11"/>
      <c r="BV696" s="11"/>
      <c r="BW696" s="11"/>
      <c r="BX696" s="11"/>
      <c r="BY696" s="11"/>
      <c r="BZ696" s="11"/>
      <c r="CA696" s="11"/>
      <c r="CB696" s="11"/>
    </row>
    <row r="697" ht="15.75" customHeight="1">
      <c r="BQ697" s="11"/>
      <c r="BR697" s="11"/>
      <c r="BS697" s="11"/>
      <c r="BT697" s="11"/>
      <c r="BU697" s="11"/>
      <c r="BV697" s="11"/>
      <c r="BW697" s="11"/>
      <c r="BX697" s="11"/>
      <c r="BY697" s="11"/>
      <c r="BZ697" s="11"/>
      <c r="CA697" s="11"/>
      <c r="CB697" s="11"/>
    </row>
    <row r="698" ht="15.75" customHeight="1">
      <c r="BQ698" s="11"/>
      <c r="BR698" s="11"/>
      <c r="BS698" s="11"/>
      <c r="BT698" s="11"/>
      <c r="BU698" s="11"/>
      <c r="BV698" s="11"/>
      <c r="BW698" s="11"/>
      <c r="BX698" s="11"/>
      <c r="BY698" s="11"/>
      <c r="BZ698" s="11"/>
      <c r="CA698" s="11"/>
      <c r="CB698" s="11"/>
    </row>
    <row r="699" ht="15.75" customHeight="1">
      <c r="BQ699" s="11"/>
      <c r="BR699" s="11"/>
      <c r="BS699" s="11"/>
      <c r="BT699" s="11"/>
      <c r="BU699" s="11"/>
      <c r="BV699" s="11"/>
      <c r="BW699" s="11"/>
      <c r="BX699" s="11"/>
      <c r="BY699" s="11"/>
      <c r="BZ699" s="11"/>
      <c r="CA699" s="11"/>
      <c r="CB699" s="11"/>
    </row>
    <row r="700" ht="15.75" customHeight="1">
      <c r="BQ700" s="11"/>
      <c r="BR700" s="11"/>
      <c r="BS700" s="11"/>
      <c r="BT700" s="11"/>
      <c r="BU700" s="11"/>
      <c r="BV700" s="11"/>
      <c r="BW700" s="11"/>
      <c r="BX700" s="11"/>
      <c r="BY700" s="11"/>
      <c r="BZ700" s="11"/>
      <c r="CA700" s="11"/>
      <c r="CB700" s="11"/>
    </row>
    <row r="701" ht="15.75" customHeight="1">
      <c r="BQ701" s="11"/>
      <c r="BR701" s="11"/>
      <c r="BS701" s="11"/>
      <c r="BT701" s="11"/>
      <c r="BU701" s="11"/>
      <c r="BV701" s="11"/>
      <c r="BW701" s="11"/>
      <c r="BX701" s="11"/>
      <c r="BY701" s="11"/>
      <c r="BZ701" s="11"/>
      <c r="CA701" s="11"/>
      <c r="CB701" s="11"/>
    </row>
    <row r="702" ht="15.75" customHeight="1">
      <c r="BQ702" s="11"/>
      <c r="BR702" s="11"/>
      <c r="BS702" s="11"/>
      <c r="BT702" s="11"/>
      <c r="BU702" s="11"/>
      <c r="BV702" s="11"/>
      <c r="BW702" s="11"/>
      <c r="BX702" s="11"/>
      <c r="BY702" s="11"/>
      <c r="BZ702" s="11"/>
      <c r="CA702" s="11"/>
      <c r="CB702" s="11"/>
    </row>
    <row r="703" ht="15.75" customHeight="1">
      <c r="BQ703" s="11"/>
      <c r="BR703" s="11"/>
      <c r="BS703" s="11"/>
      <c r="BT703" s="11"/>
      <c r="BU703" s="11"/>
      <c r="BV703" s="11"/>
      <c r="BW703" s="11"/>
      <c r="BX703" s="11"/>
      <c r="BY703" s="11"/>
      <c r="BZ703" s="11"/>
      <c r="CA703" s="11"/>
      <c r="CB703" s="11"/>
    </row>
    <row r="704" ht="15.75" customHeight="1">
      <c r="BQ704" s="11"/>
      <c r="BR704" s="11"/>
      <c r="BS704" s="11"/>
      <c r="BT704" s="11"/>
      <c r="BU704" s="11"/>
      <c r="BV704" s="11"/>
      <c r="BW704" s="11"/>
      <c r="BX704" s="11"/>
      <c r="BY704" s="11"/>
      <c r="BZ704" s="11"/>
      <c r="CA704" s="11"/>
      <c r="CB704" s="11"/>
    </row>
    <row r="705" ht="15.75" customHeight="1">
      <c r="BQ705" s="11"/>
      <c r="BR705" s="11"/>
      <c r="BS705" s="11"/>
      <c r="BT705" s="11"/>
      <c r="BU705" s="11"/>
      <c r="BV705" s="11"/>
      <c r="BW705" s="11"/>
      <c r="BX705" s="11"/>
      <c r="BY705" s="11"/>
      <c r="BZ705" s="11"/>
      <c r="CA705" s="11"/>
      <c r="CB705" s="11"/>
    </row>
    <row r="706" ht="15.75" customHeight="1">
      <c r="BQ706" s="11"/>
      <c r="BR706" s="11"/>
      <c r="BS706" s="11"/>
      <c r="BT706" s="11"/>
      <c r="BU706" s="11"/>
      <c r="BV706" s="11"/>
      <c r="BW706" s="11"/>
      <c r="BX706" s="11"/>
      <c r="BY706" s="11"/>
      <c r="BZ706" s="11"/>
      <c r="CA706" s="11"/>
      <c r="CB706" s="11"/>
    </row>
    <row r="707" ht="15.75" customHeight="1">
      <c r="BQ707" s="11"/>
      <c r="BR707" s="11"/>
      <c r="BS707" s="11"/>
      <c r="BT707" s="11"/>
      <c r="BU707" s="11"/>
      <c r="BV707" s="11"/>
      <c r="BW707" s="11"/>
      <c r="BX707" s="11"/>
      <c r="BY707" s="11"/>
      <c r="BZ707" s="11"/>
      <c r="CA707" s="11"/>
      <c r="CB707" s="11"/>
    </row>
    <row r="708" ht="15.75" customHeight="1">
      <c r="BQ708" s="11"/>
      <c r="BR708" s="11"/>
      <c r="BS708" s="11"/>
      <c r="BT708" s="11"/>
      <c r="BU708" s="11"/>
      <c r="BV708" s="11"/>
      <c r="BW708" s="11"/>
      <c r="BX708" s="11"/>
      <c r="BY708" s="11"/>
      <c r="BZ708" s="11"/>
      <c r="CA708" s="11"/>
      <c r="CB708" s="11"/>
    </row>
    <row r="709" ht="15.75" customHeight="1">
      <c r="BQ709" s="11"/>
      <c r="BR709" s="11"/>
      <c r="BS709" s="11"/>
      <c r="BT709" s="11"/>
      <c r="BU709" s="11"/>
      <c r="BV709" s="11"/>
      <c r="BW709" s="11"/>
      <c r="BX709" s="11"/>
      <c r="BY709" s="11"/>
      <c r="BZ709" s="11"/>
      <c r="CA709" s="11"/>
      <c r="CB709" s="11"/>
    </row>
    <row r="710" ht="15.75" customHeight="1">
      <c r="BQ710" s="11"/>
      <c r="BR710" s="11"/>
      <c r="BS710" s="11"/>
      <c r="BT710" s="11"/>
      <c r="BU710" s="11"/>
      <c r="BV710" s="11"/>
      <c r="BW710" s="11"/>
      <c r="BX710" s="11"/>
      <c r="BY710" s="11"/>
      <c r="BZ710" s="11"/>
      <c r="CA710" s="11"/>
      <c r="CB710" s="11"/>
    </row>
    <row r="711" ht="15.75" customHeight="1">
      <c r="BQ711" s="11"/>
      <c r="BR711" s="11"/>
      <c r="BS711" s="11"/>
      <c r="BT711" s="11"/>
      <c r="BU711" s="11"/>
      <c r="BV711" s="11"/>
      <c r="BW711" s="11"/>
      <c r="BX711" s="11"/>
      <c r="BY711" s="11"/>
      <c r="BZ711" s="11"/>
      <c r="CA711" s="11"/>
      <c r="CB711" s="11"/>
    </row>
    <row r="712" ht="15.75" customHeight="1">
      <c r="BQ712" s="11"/>
      <c r="BR712" s="11"/>
      <c r="BS712" s="11"/>
      <c r="BT712" s="11"/>
      <c r="BU712" s="11"/>
      <c r="BV712" s="11"/>
      <c r="BW712" s="11"/>
      <c r="BX712" s="11"/>
      <c r="BY712" s="11"/>
      <c r="BZ712" s="11"/>
      <c r="CA712" s="11"/>
      <c r="CB712" s="11"/>
    </row>
    <row r="713" ht="15.75" customHeight="1">
      <c r="BQ713" s="11"/>
      <c r="BR713" s="11"/>
      <c r="BS713" s="11"/>
      <c r="BT713" s="11"/>
      <c r="BU713" s="11"/>
      <c r="BV713" s="11"/>
      <c r="BW713" s="11"/>
      <c r="BX713" s="11"/>
      <c r="BY713" s="11"/>
      <c r="BZ713" s="11"/>
      <c r="CA713" s="11"/>
      <c r="CB713" s="11"/>
    </row>
    <row r="714" ht="15.75" customHeight="1">
      <c r="BQ714" s="11"/>
      <c r="BR714" s="11"/>
      <c r="BS714" s="11"/>
      <c r="BT714" s="11"/>
      <c r="BU714" s="11"/>
      <c r="BV714" s="11"/>
      <c r="BW714" s="11"/>
      <c r="BX714" s="11"/>
      <c r="BY714" s="11"/>
      <c r="BZ714" s="11"/>
      <c r="CA714" s="11"/>
      <c r="CB714" s="11"/>
    </row>
    <row r="715" ht="15.75" customHeight="1">
      <c r="BQ715" s="11"/>
      <c r="BR715" s="11"/>
      <c r="BS715" s="11"/>
      <c r="BT715" s="11"/>
      <c r="BU715" s="11"/>
      <c r="BV715" s="11"/>
      <c r="BW715" s="11"/>
      <c r="BX715" s="11"/>
      <c r="BY715" s="11"/>
      <c r="BZ715" s="11"/>
      <c r="CA715" s="11"/>
      <c r="CB715" s="11"/>
    </row>
    <row r="716" ht="15.75" customHeight="1">
      <c r="BQ716" s="11"/>
      <c r="BR716" s="11"/>
      <c r="BS716" s="11"/>
      <c r="BT716" s="11"/>
      <c r="BU716" s="11"/>
      <c r="BV716" s="11"/>
      <c r="BW716" s="11"/>
      <c r="BX716" s="11"/>
      <c r="BY716" s="11"/>
      <c r="BZ716" s="11"/>
      <c r="CA716" s="11"/>
      <c r="CB716" s="11"/>
    </row>
    <row r="717" ht="15.75" customHeight="1">
      <c r="BQ717" s="11"/>
      <c r="BR717" s="11"/>
      <c r="BS717" s="11"/>
      <c r="BT717" s="11"/>
      <c r="BU717" s="11"/>
      <c r="BV717" s="11"/>
      <c r="BW717" s="11"/>
      <c r="BX717" s="11"/>
      <c r="BY717" s="11"/>
      <c r="BZ717" s="11"/>
      <c r="CA717" s="11"/>
      <c r="CB717" s="11"/>
    </row>
    <row r="718" ht="15.75" customHeight="1">
      <c r="BQ718" s="11"/>
      <c r="BR718" s="11"/>
      <c r="BS718" s="11"/>
      <c r="BT718" s="11"/>
      <c r="BU718" s="11"/>
      <c r="BV718" s="11"/>
      <c r="BW718" s="11"/>
      <c r="BX718" s="11"/>
      <c r="BY718" s="11"/>
      <c r="BZ718" s="11"/>
      <c r="CA718" s="11"/>
      <c r="CB718" s="11"/>
    </row>
    <row r="719" ht="15.75" customHeight="1">
      <c r="BQ719" s="11"/>
      <c r="BR719" s="11"/>
      <c r="BS719" s="11"/>
      <c r="BT719" s="11"/>
      <c r="BU719" s="11"/>
      <c r="BV719" s="11"/>
      <c r="BW719" s="11"/>
      <c r="BX719" s="11"/>
      <c r="BY719" s="11"/>
      <c r="BZ719" s="11"/>
      <c r="CA719" s="11"/>
      <c r="CB719" s="11"/>
    </row>
    <row r="720" ht="15.75" customHeight="1">
      <c r="BQ720" s="11"/>
      <c r="BR720" s="11"/>
      <c r="BS720" s="11"/>
      <c r="BT720" s="11"/>
      <c r="BU720" s="11"/>
      <c r="BV720" s="11"/>
      <c r="BW720" s="11"/>
      <c r="BX720" s="11"/>
      <c r="BY720" s="11"/>
      <c r="BZ720" s="11"/>
      <c r="CA720" s="11"/>
      <c r="CB720" s="11"/>
    </row>
    <row r="721" ht="15.75" customHeight="1">
      <c r="BQ721" s="11"/>
      <c r="BR721" s="11"/>
      <c r="BS721" s="11"/>
      <c r="BT721" s="11"/>
      <c r="BU721" s="11"/>
      <c r="BV721" s="11"/>
      <c r="BW721" s="11"/>
      <c r="BX721" s="11"/>
      <c r="BY721" s="11"/>
      <c r="BZ721" s="11"/>
      <c r="CA721" s="11"/>
      <c r="CB721" s="11"/>
    </row>
    <row r="722" ht="15.75" customHeight="1">
      <c r="BQ722" s="11"/>
      <c r="BR722" s="11"/>
      <c r="BS722" s="11"/>
      <c r="BT722" s="11"/>
      <c r="BU722" s="11"/>
      <c r="BV722" s="11"/>
      <c r="BW722" s="11"/>
      <c r="BX722" s="11"/>
      <c r="BY722" s="11"/>
      <c r="BZ722" s="11"/>
      <c r="CA722" s="11"/>
      <c r="CB722" s="11"/>
    </row>
    <row r="723" ht="15.75" customHeight="1">
      <c r="BQ723" s="11"/>
      <c r="BR723" s="11"/>
      <c r="BS723" s="11"/>
      <c r="BT723" s="11"/>
      <c r="BU723" s="11"/>
      <c r="BV723" s="11"/>
      <c r="BW723" s="11"/>
      <c r="BX723" s="11"/>
      <c r="BY723" s="11"/>
      <c r="BZ723" s="11"/>
      <c r="CA723" s="11"/>
      <c r="CB723" s="11"/>
    </row>
    <row r="724" ht="15.75" customHeight="1">
      <c r="BQ724" s="11"/>
      <c r="BR724" s="11"/>
      <c r="BS724" s="11"/>
      <c r="BT724" s="11"/>
      <c r="BU724" s="11"/>
      <c r="BV724" s="11"/>
      <c r="BW724" s="11"/>
      <c r="BX724" s="11"/>
      <c r="BY724" s="11"/>
      <c r="BZ724" s="11"/>
      <c r="CA724" s="11"/>
      <c r="CB724" s="11"/>
    </row>
    <row r="725" ht="15.75" customHeight="1">
      <c r="BQ725" s="11"/>
      <c r="BR725" s="11"/>
      <c r="BS725" s="11"/>
      <c r="BT725" s="11"/>
      <c r="BU725" s="11"/>
      <c r="BV725" s="11"/>
      <c r="BW725" s="11"/>
      <c r="BX725" s="11"/>
      <c r="BY725" s="11"/>
      <c r="BZ725" s="11"/>
      <c r="CA725" s="11"/>
      <c r="CB725" s="11"/>
    </row>
    <row r="726" ht="15.75" customHeight="1">
      <c r="BQ726" s="11"/>
      <c r="BR726" s="11"/>
      <c r="BS726" s="11"/>
      <c r="BT726" s="11"/>
      <c r="BU726" s="11"/>
      <c r="BV726" s="11"/>
      <c r="BW726" s="11"/>
      <c r="BX726" s="11"/>
      <c r="BY726" s="11"/>
      <c r="BZ726" s="11"/>
      <c r="CA726" s="11"/>
      <c r="CB726" s="11"/>
    </row>
    <row r="727" ht="15.75" customHeight="1">
      <c r="BQ727" s="11"/>
      <c r="BR727" s="11"/>
      <c r="BS727" s="11"/>
      <c r="BT727" s="11"/>
      <c r="BU727" s="11"/>
      <c r="BV727" s="11"/>
      <c r="BW727" s="11"/>
      <c r="BX727" s="11"/>
      <c r="BY727" s="11"/>
      <c r="BZ727" s="11"/>
      <c r="CA727" s="11"/>
      <c r="CB727" s="11"/>
    </row>
    <row r="728" ht="15.75" customHeight="1">
      <c r="BQ728" s="11"/>
      <c r="BR728" s="11"/>
      <c r="BS728" s="11"/>
      <c r="BT728" s="11"/>
      <c r="BU728" s="11"/>
      <c r="BV728" s="11"/>
      <c r="BW728" s="11"/>
      <c r="BX728" s="11"/>
      <c r="BY728" s="11"/>
      <c r="BZ728" s="11"/>
      <c r="CA728" s="11"/>
      <c r="CB728" s="11"/>
    </row>
    <row r="729" ht="15.75" customHeight="1">
      <c r="BQ729" s="11"/>
      <c r="BR729" s="11"/>
      <c r="BS729" s="11"/>
      <c r="BT729" s="11"/>
      <c r="BU729" s="11"/>
      <c r="BV729" s="11"/>
      <c r="BW729" s="11"/>
      <c r="BX729" s="11"/>
      <c r="BY729" s="11"/>
      <c r="BZ729" s="11"/>
      <c r="CA729" s="11"/>
      <c r="CB729" s="11"/>
    </row>
    <row r="730" ht="15.75" customHeight="1">
      <c r="BQ730" s="11"/>
      <c r="BR730" s="11"/>
      <c r="BS730" s="11"/>
      <c r="BT730" s="11"/>
      <c r="BU730" s="11"/>
      <c r="BV730" s="11"/>
      <c r="BW730" s="11"/>
      <c r="BX730" s="11"/>
      <c r="BY730" s="11"/>
      <c r="BZ730" s="11"/>
      <c r="CA730" s="11"/>
      <c r="CB730" s="11"/>
    </row>
    <row r="731" ht="15.75" customHeight="1">
      <c r="BQ731" s="11"/>
      <c r="BR731" s="11"/>
      <c r="BS731" s="11"/>
      <c r="BT731" s="11"/>
      <c r="BU731" s="11"/>
      <c r="BV731" s="11"/>
      <c r="BW731" s="11"/>
      <c r="BX731" s="11"/>
      <c r="BY731" s="11"/>
      <c r="BZ731" s="11"/>
      <c r="CA731" s="11"/>
      <c r="CB731" s="11"/>
    </row>
    <row r="732" ht="15.75" customHeight="1">
      <c r="BQ732" s="11"/>
      <c r="BR732" s="11"/>
      <c r="BS732" s="11"/>
      <c r="BT732" s="11"/>
      <c r="BU732" s="11"/>
      <c r="BV732" s="11"/>
      <c r="BW732" s="11"/>
      <c r="BX732" s="11"/>
      <c r="BY732" s="11"/>
      <c r="BZ732" s="11"/>
      <c r="CA732" s="11"/>
      <c r="CB732" s="11"/>
    </row>
    <row r="733" ht="15.75" customHeight="1">
      <c r="BQ733" s="11"/>
      <c r="BR733" s="11"/>
      <c r="BS733" s="11"/>
      <c r="BT733" s="11"/>
      <c r="BU733" s="11"/>
      <c r="BV733" s="11"/>
      <c r="BW733" s="11"/>
      <c r="BX733" s="11"/>
      <c r="BY733" s="11"/>
      <c r="BZ733" s="11"/>
      <c r="CA733" s="11"/>
      <c r="CB733" s="11"/>
    </row>
    <row r="734" ht="15.75" customHeight="1">
      <c r="BQ734" s="11"/>
      <c r="BR734" s="11"/>
      <c r="BS734" s="11"/>
      <c r="BT734" s="11"/>
      <c r="BU734" s="11"/>
      <c r="BV734" s="11"/>
      <c r="BW734" s="11"/>
      <c r="BX734" s="11"/>
      <c r="BY734" s="11"/>
      <c r="BZ734" s="11"/>
      <c r="CA734" s="11"/>
      <c r="CB734" s="11"/>
    </row>
    <row r="735" ht="15.75" customHeight="1">
      <c r="BQ735" s="11"/>
      <c r="BR735" s="11"/>
      <c r="BS735" s="11"/>
      <c r="BT735" s="11"/>
      <c r="BU735" s="11"/>
      <c r="BV735" s="11"/>
      <c r="BW735" s="11"/>
      <c r="BX735" s="11"/>
      <c r="BY735" s="11"/>
      <c r="BZ735" s="11"/>
      <c r="CA735" s="11"/>
      <c r="CB735" s="11"/>
    </row>
    <row r="736" ht="15.75" customHeight="1">
      <c r="BQ736" s="11"/>
      <c r="BR736" s="11"/>
      <c r="BS736" s="11"/>
      <c r="BT736" s="11"/>
      <c r="BU736" s="11"/>
      <c r="BV736" s="11"/>
      <c r="BW736" s="11"/>
      <c r="BX736" s="11"/>
      <c r="BY736" s="11"/>
      <c r="BZ736" s="11"/>
      <c r="CA736" s="11"/>
      <c r="CB736" s="11"/>
    </row>
    <row r="737" ht="15.75" customHeight="1">
      <c r="BQ737" s="11"/>
      <c r="BR737" s="11"/>
      <c r="BS737" s="11"/>
      <c r="BT737" s="11"/>
      <c r="BU737" s="11"/>
      <c r="BV737" s="11"/>
      <c r="BW737" s="11"/>
      <c r="BX737" s="11"/>
      <c r="BY737" s="11"/>
      <c r="BZ737" s="11"/>
      <c r="CA737" s="11"/>
      <c r="CB737" s="11"/>
    </row>
    <row r="738" ht="15.75" customHeight="1">
      <c r="BQ738" s="11"/>
      <c r="BR738" s="11"/>
      <c r="BS738" s="11"/>
      <c r="BT738" s="11"/>
      <c r="BU738" s="11"/>
      <c r="BV738" s="11"/>
      <c r="BW738" s="11"/>
      <c r="BX738" s="11"/>
      <c r="BY738" s="11"/>
      <c r="BZ738" s="11"/>
      <c r="CA738" s="11"/>
      <c r="CB738" s="11"/>
    </row>
    <row r="739" ht="15.75" customHeight="1">
      <c r="BQ739" s="11"/>
      <c r="BR739" s="11"/>
      <c r="BS739" s="11"/>
      <c r="BT739" s="11"/>
      <c r="BU739" s="11"/>
      <c r="BV739" s="11"/>
      <c r="BW739" s="11"/>
      <c r="BX739" s="11"/>
      <c r="BY739" s="11"/>
      <c r="BZ739" s="11"/>
      <c r="CA739" s="11"/>
      <c r="CB739" s="11"/>
    </row>
    <row r="740" ht="15.75" customHeight="1">
      <c r="BQ740" s="11"/>
      <c r="BR740" s="11"/>
      <c r="BS740" s="11"/>
      <c r="BT740" s="11"/>
      <c r="BU740" s="11"/>
      <c r="BV740" s="11"/>
      <c r="BW740" s="11"/>
      <c r="BX740" s="11"/>
      <c r="BY740" s="11"/>
      <c r="BZ740" s="11"/>
      <c r="CA740" s="11"/>
      <c r="CB740" s="11"/>
    </row>
    <row r="741" ht="15.75" customHeight="1">
      <c r="BQ741" s="11"/>
      <c r="BR741" s="11"/>
      <c r="BS741" s="11"/>
      <c r="BT741" s="11"/>
      <c r="BU741" s="11"/>
      <c r="BV741" s="11"/>
      <c r="BW741" s="11"/>
      <c r="BX741" s="11"/>
      <c r="BY741" s="11"/>
      <c r="BZ741" s="11"/>
      <c r="CA741" s="11"/>
      <c r="CB741" s="11"/>
    </row>
    <row r="742" ht="15.75" customHeight="1">
      <c r="BQ742" s="11"/>
      <c r="BR742" s="11"/>
      <c r="BS742" s="11"/>
      <c r="BT742" s="11"/>
      <c r="BU742" s="11"/>
      <c r="BV742" s="11"/>
      <c r="BW742" s="11"/>
      <c r="BX742" s="11"/>
      <c r="BY742" s="11"/>
      <c r="BZ742" s="11"/>
      <c r="CA742" s="11"/>
      <c r="CB742" s="11"/>
    </row>
    <row r="743" ht="15.75" customHeight="1">
      <c r="BQ743" s="11"/>
      <c r="BR743" s="11"/>
      <c r="BS743" s="11"/>
      <c r="BT743" s="11"/>
      <c r="BU743" s="11"/>
      <c r="BV743" s="11"/>
      <c r="BW743" s="11"/>
      <c r="BX743" s="11"/>
      <c r="BY743" s="11"/>
      <c r="BZ743" s="11"/>
      <c r="CA743" s="11"/>
      <c r="CB743" s="11"/>
    </row>
    <row r="744" ht="15.75" customHeight="1">
      <c r="BQ744" s="11"/>
      <c r="BR744" s="11"/>
      <c r="BS744" s="11"/>
      <c r="BT744" s="11"/>
      <c r="BU744" s="11"/>
      <c r="BV744" s="11"/>
      <c r="BW744" s="11"/>
      <c r="BX744" s="11"/>
      <c r="BY744" s="11"/>
      <c r="BZ744" s="11"/>
      <c r="CA744" s="11"/>
      <c r="CB744" s="11"/>
    </row>
    <row r="745" ht="15.75" customHeight="1">
      <c r="BQ745" s="11"/>
      <c r="BR745" s="11"/>
      <c r="BS745" s="11"/>
      <c r="BT745" s="11"/>
      <c r="BU745" s="11"/>
      <c r="BV745" s="11"/>
      <c r="BW745" s="11"/>
      <c r="BX745" s="11"/>
      <c r="BY745" s="11"/>
      <c r="BZ745" s="11"/>
      <c r="CA745" s="11"/>
      <c r="CB745" s="11"/>
    </row>
    <row r="746" ht="15.75" customHeight="1">
      <c r="BQ746" s="11"/>
      <c r="BR746" s="11"/>
      <c r="BS746" s="11"/>
      <c r="BT746" s="11"/>
      <c r="BU746" s="11"/>
      <c r="BV746" s="11"/>
      <c r="BW746" s="11"/>
      <c r="BX746" s="11"/>
      <c r="BY746" s="11"/>
      <c r="BZ746" s="11"/>
      <c r="CA746" s="11"/>
      <c r="CB746" s="11"/>
    </row>
    <row r="747" ht="15.75" customHeight="1">
      <c r="BQ747" s="11"/>
      <c r="BR747" s="11"/>
      <c r="BS747" s="11"/>
      <c r="BT747" s="11"/>
      <c r="BU747" s="11"/>
      <c r="BV747" s="11"/>
      <c r="BW747" s="11"/>
      <c r="BX747" s="11"/>
      <c r="BY747" s="11"/>
      <c r="BZ747" s="11"/>
      <c r="CA747" s="11"/>
      <c r="CB747" s="11"/>
    </row>
    <row r="748" ht="15.75" customHeight="1">
      <c r="BQ748" s="11"/>
      <c r="BR748" s="11"/>
      <c r="BS748" s="11"/>
      <c r="BT748" s="11"/>
      <c r="BU748" s="11"/>
      <c r="BV748" s="11"/>
      <c r="BW748" s="11"/>
      <c r="BX748" s="11"/>
      <c r="BY748" s="11"/>
      <c r="BZ748" s="11"/>
      <c r="CA748" s="11"/>
      <c r="CB748" s="11"/>
    </row>
    <row r="749" ht="15.75" customHeight="1">
      <c r="BQ749" s="11"/>
      <c r="BR749" s="11"/>
      <c r="BS749" s="11"/>
      <c r="BT749" s="11"/>
      <c r="BU749" s="11"/>
      <c r="BV749" s="11"/>
      <c r="BW749" s="11"/>
      <c r="BX749" s="11"/>
      <c r="BY749" s="11"/>
      <c r="BZ749" s="11"/>
      <c r="CA749" s="11"/>
      <c r="CB749" s="11"/>
    </row>
    <row r="750" ht="15.75" customHeight="1">
      <c r="BQ750" s="11"/>
      <c r="BR750" s="11"/>
      <c r="BS750" s="11"/>
      <c r="BT750" s="11"/>
      <c r="BU750" s="11"/>
      <c r="BV750" s="11"/>
      <c r="BW750" s="11"/>
      <c r="BX750" s="11"/>
      <c r="BY750" s="11"/>
      <c r="BZ750" s="11"/>
      <c r="CA750" s="11"/>
      <c r="CB750" s="11"/>
    </row>
    <row r="751" ht="15.75" customHeight="1">
      <c r="BQ751" s="11"/>
      <c r="BR751" s="11"/>
      <c r="BS751" s="11"/>
      <c r="BT751" s="11"/>
      <c r="BU751" s="11"/>
      <c r="BV751" s="11"/>
      <c r="BW751" s="11"/>
      <c r="BX751" s="11"/>
      <c r="BY751" s="11"/>
      <c r="BZ751" s="11"/>
      <c r="CA751" s="11"/>
      <c r="CB751" s="11"/>
    </row>
    <row r="752" ht="15.75" customHeight="1">
      <c r="BQ752" s="11"/>
      <c r="BR752" s="11"/>
      <c r="BS752" s="11"/>
      <c r="BT752" s="11"/>
      <c r="BU752" s="11"/>
      <c r="BV752" s="11"/>
      <c r="BW752" s="11"/>
      <c r="BX752" s="11"/>
      <c r="BY752" s="11"/>
      <c r="BZ752" s="11"/>
      <c r="CA752" s="11"/>
      <c r="CB752" s="11"/>
    </row>
    <row r="753" ht="15.75" customHeight="1">
      <c r="BQ753" s="11"/>
      <c r="BR753" s="11"/>
      <c r="BS753" s="11"/>
      <c r="BT753" s="11"/>
      <c r="BU753" s="11"/>
      <c r="BV753" s="11"/>
      <c r="BW753" s="11"/>
      <c r="BX753" s="11"/>
      <c r="BY753" s="11"/>
      <c r="BZ753" s="11"/>
      <c r="CA753" s="11"/>
      <c r="CB753" s="11"/>
    </row>
    <row r="754" ht="15.75" customHeight="1">
      <c r="BQ754" s="11"/>
      <c r="BR754" s="11"/>
      <c r="BS754" s="11"/>
      <c r="BT754" s="11"/>
      <c r="BU754" s="11"/>
      <c r="BV754" s="11"/>
      <c r="BW754" s="11"/>
      <c r="BX754" s="11"/>
      <c r="BY754" s="11"/>
      <c r="BZ754" s="11"/>
      <c r="CA754" s="11"/>
      <c r="CB754" s="11"/>
    </row>
    <row r="755" ht="15.75" customHeight="1">
      <c r="BQ755" s="11"/>
      <c r="BR755" s="11"/>
      <c r="BS755" s="11"/>
      <c r="BT755" s="11"/>
      <c r="BU755" s="11"/>
      <c r="BV755" s="11"/>
      <c r="BW755" s="11"/>
      <c r="BX755" s="11"/>
      <c r="BY755" s="11"/>
      <c r="BZ755" s="11"/>
      <c r="CA755" s="11"/>
      <c r="CB755" s="11"/>
    </row>
    <row r="756" ht="15.75" customHeight="1">
      <c r="BQ756" s="11"/>
      <c r="BR756" s="11"/>
      <c r="BS756" s="11"/>
      <c r="BT756" s="11"/>
      <c r="BU756" s="11"/>
      <c r="BV756" s="11"/>
      <c r="BW756" s="11"/>
      <c r="BX756" s="11"/>
      <c r="BY756" s="11"/>
      <c r="BZ756" s="11"/>
      <c r="CA756" s="11"/>
      <c r="CB756" s="11"/>
    </row>
    <row r="757" ht="15.75" customHeight="1">
      <c r="BQ757" s="11"/>
      <c r="BR757" s="11"/>
      <c r="BS757" s="11"/>
      <c r="BT757" s="11"/>
      <c r="BU757" s="11"/>
      <c r="BV757" s="11"/>
      <c r="BW757" s="11"/>
      <c r="BX757" s="11"/>
      <c r="BY757" s="11"/>
      <c r="BZ757" s="11"/>
      <c r="CA757" s="11"/>
      <c r="CB757" s="11"/>
    </row>
    <row r="758" ht="15.75" customHeight="1">
      <c r="BQ758" s="11"/>
      <c r="BR758" s="11"/>
      <c r="BS758" s="11"/>
      <c r="BT758" s="11"/>
      <c r="BU758" s="11"/>
      <c r="BV758" s="11"/>
      <c r="BW758" s="11"/>
      <c r="BX758" s="11"/>
      <c r="BY758" s="11"/>
      <c r="BZ758" s="11"/>
      <c r="CA758" s="11"/>
      <c r="CB758" s="11"/>
    </row>
    <row r="759" ht="15.75" customHeight="1">
      <c r="BQ759" s="11"/>
      <c r="BR759" s="11"/>
      <c r="BS759" s="11"/>
      <c r="BT759" s="11"/>
      <c r="BU759" s="11"/>
      <c r="BV759" s="11"/>
      <c r="BW759" s="11"/>
      <c r="BX759" s="11"/>
      <c r="BY759" s="11"/>
      <c r="BZ759" s="11"/>
      <c r="CA759" s="11"/>
      <c r="CB759" s="11"/>
    </row>
    <row r="760" ht="15.75" customHeight="1">
      <c r="BQ760" s="11"/>
      <c r="BR760" s="11"/>
      <c r="BS760" s="11"/>
      <c r="BT760" s="11"/>
      <c r="BU760" s="11"/>
      <c r="BV760" s="11"/>
      <c r="BW760" s="11"/>
      <c r="BX760" s="11"/>
      <c r="BY760" s="11"/>
      <c r="BZ760" s="11"/>
      <c r="CA760" s="11"/>
      <c r="CB760" s="11"/>
    </row>
    <row r="761" ht="15.75" customHeight="1">
      <c r="BQ761" s="11"/>
      <c r="BR761" s="11"/>
      <c r="BS761" s="11"/>
      <c r="BT761" s="11"/>
      <c r="BU761" s="11"/>
      <c r="BV761" s="11"/>
      <c r="BW761" s="11"/>
      <c r="BX761" s="11"/>
      <c r="BY761" s="11"/>
      <c r="BZ761" s="11"/>
      <c r="CA761" s="11"/>
      <c r="CB761" s="11"/>
    </row>
    <row r="762" ht="15.75" customHeight="1">
      <c r="BQ762" s="11"/>
      <c r="BR762" s="11"/>
      <c r="BS762" s="11"/>
      <c r="BT762" s="11"/>
      <c r="BU762" s="11"/>
      <c r="BV762" s="11"/>
      <c r="BW762" s="11"/>
      <c r="BX762" s="11"/>
      <c r="BY762" s="11"/>
      <c r="BZ762" s="11"/>
      <c r="CA762" s="11"/>
      <c r="CB762" s="11"/>
    </row>
    <row r="763" ht="15.75" customHeight="1">
      <c r="BQ763" s="11"/>
      <c r="BR763" s="11"/>
      <c r="BS763" s="11"/>
      <c r="BT763" s="11"/>
      <c r="BU763" s="11"/>
      <c r="BV763" s="11"/>
      <c r="BW763" s="11"/>
      <c r="BX763" s="11"/>
      <c r="BY763" s="11"/>
      <c r="BZ763" s="11"/>
      <c r="CA763" s="11"/>
      <c r="CB763" s="11"/>
    </row>
    <row r="764" ht="15.75" customHeight="1">
      <c r="BQ764" s="11"/>
      <c r="BR764" s="11"/>
      <c r="BS764" s="11"/>
      <c r="BT764" s="11"/>
      <c r="BU764" s="11"/>
      <c r="BV764" s="11"/>
      <c r="BW764" s="11"/>
      <c r="BX764" s="11"/>
      <c r="BY764" s="11"/>
      <c r="BZ764" s="11"/>
      <c r="CA764" s="11"/>
      <c r="CB764" s="11"/>
    </row>
    <row r="765" ht="15.75" customHeight="1">
      <c r="BQ765" s="11"/>
      <c r="BR765" s="11"/>
      <c r="BS765" s="11"/>
      <c r="BT765" s="11"/>
      <c r="BU765" s="11"/>
      <c r="BV765" s="11"/>
      <c r="BW765" s="11"/>
      <c r="BX765" s="11"/>
      <c r="BY765" s="11"/>
      <c r="BZ765" s="11"/>
      <c r="CA765" s="11"/>
      <c r="CB765" s="11"/>
    </row>
    <row r="766" ht="15.75" customHeight="1">
      <c r="BQ766" s="11"/>
      <c r="BR766" s="11"/>
      <c r="BS766" s="11"/>
      <c r="BT766" s="11"/>
      <c r="BU766" s="11"/>
      <c r="BV766" s="11"/>
      <c r="BW766" s="11"/>
      <c r="BX766" s="11"/>
      <c r="BY766" s="11"/>
      <c r="BZ766" s="11"/>
      <c r="CA766" s="11"/>
      <c r="CB766" s="11"/>
    </row>
    <row r="767" ht="15.75" customHeight="1">
      <c r="BQ767" s="11"/>
      <c r="BR767" s="11"/>
      <c r="BS767" s="11"/>
      <c r="BT767" s="11"/>
      <c r="BU767" s="11"/>
      <c r="BV767" s="11"/>
      <c r="BW767" s="11"/>
      <c r="BX767" s="11"/>
      <c r="BY767" s="11"/>
      <c r="BZ767" s="11"/>
      <c r="CA767" s="11"/>
      <c r="CB767" s="11"/>
    </row>
    <row r="768" ht="15.75" customHeight="1">
      <c r="BQ768" s="11"/>
      <c r="BR768" s="11"/>
      <c r="BS768" s="11"/>
      <c r="BT768" s="11"/>
      <c r="BU768" s="11"/>
      <c r="BV768" s="11"/>
      <c r="BW768" s="11"/>
      <c r="BX768" s="11"/>
      <c r="BY768" s="11"/>
      <c r="BZ768" s="11"/>
      <c r="CA768" s="11"/>
      <c r="CB768" s="11"/>
    </row>
    <row r="769" ht="15.75" customHeight="1">
      <c r="BQ769" s="11"/>
      <c r="BR769" s="11"/>
      <c r="BS769" s="11"/>
      <c r="BT769" s="11"/>
      <c r="BU769" s="11"/>
      <c r="BV769" s="11"/>
      <c r="BW769" s="11"/>
      <c r="BX769" s="11"/>
      <c r="BY769" s="11"/>
      <c r="BZ769" s="11"/>
      <c r="CA769" s="11"/>
      <c r="CB769" s="11"/>
    </row>
    <row r="770" ht="15.75" customHeight="1">
      <c r="BQ770" s="11"/>
      <c r="BR770" s="11"/>
      <c r="BS770" s="11"/>
      <c r="BT770" s="11"/>
      <c r="BU770" s="11"/>
      <c r="BV770" s="11"/>
      <c r="BW770" s="11"/>
      <c r="BX770" s="11"/>
      <c r="BY770" s="11"/>
      <c r="BZ770" s="11"/>
      <c r="CA770" s="11"/>
      <c r="CB770" s="11"/>
    </row>
    <row r="771" ht="15.75" customHeight="1">
      <c r="BQ771" s="11"/>
      <c r="BR771" s="11"/>
      <c r="BS771" s="11"/>
      <c r="BT771" s="11"/>
      <c r="BU771" s="11"/>
      <c r="BV771" s="11"/>
      <c r="BW771" s="11"/>
      <c r="BX771" s="11"/>
      <c r="BY771" s="11"/>
      <c r="BZ771" s="11"/>
      <c r="CA771" s="11"/>
      <c r="CB771" s="11"/>
    </row>
    <row r="772" ht="15.75" customHeight="1">
      <c r="BQ772" s="11"/>
      <c r="BR772" s="11"/>
      <c r="BS772" s="11"/>
      <c r="BT772" s="11"/>
      <c r="BU772" s="11"/>
      <c r="BV772" s="11"/>
      <c r="BW772" s="11"/>
      <c r="BX772" s="11"/>
      <c r="BY772" s="11"/>
      <c r="BZ772" s="11"/>
      <c r="CA772" s="11"/>
      <c r="CB772" s="11"/>
    </row>
    <row r="773" ht="15.75" customHeight="1">
      <c r="BQ773" s="11"/>
      <c r="BR773" s="11"/>
      <c r="BS773" s="11"/>
      <c r="BT773" s="11"/>
      <c r="BU773" s="11"/>
      <c r="BV773" s="11"/>
      <c r="BW773" s="11"/>
      <c r="BX773" s="11"/>
      <c r="BY773" s="11"/>
      <c r="BZ773" s="11"/>
      <c r="CA773" s="11"/>
      <c r="CB773" s="11"/>
    </row>
    <row r="774" ht="15.75" customHeight="1">
      <c r="BQ774" s="11"/>
      <c r="BR774" s="11"/>
      <c r="BS774" s="11"/>
      <c r="BT774" s="11"/>
      <c r="BU774" s="11"/>
      <c r="BV774" s="11"/>
      <c r="BW774" s="11"/>
      <c r="BX774" s="11"/>
      <c r="BY774" s="11"/>
      <c r="BZ774" s="11"/>
      <c r="CA774" s="11"/>
      <c r="CB774" s="11"/>
    </row>
    <row r="775" ht="15.75" customHeight="1">
      <c r="BQ775" s="11"/>
      <c r="BR775" s="11"/>
      <c r="BS775" s="11"/>
      <c r="BT775" s="11"/>
      <c r="BU775" s="11"/>
      <c r="BV775" s="11"/>
      <c r="BW775" s="11"/>
      <c r="BX775" s="11"/>
      <c r="BY775" s="11"/>
      <c r="BZ775" s="11"/>
      <c r="CA775" s="11"/>
      <c r="CB775" s="11"/>
    </row>
    <row r="776" ht="15.75" customHeight="1">
      <c r="BQ776" s="11"/>
      <c r="BR776" s="11"/>
      <c r="BS776" s="11"/>
      <c r="BT776" s="11"/>
      <c r="BU776" s="11"/>
      <c r="BV776" s="11"/>
      <c r="BW776" s="11"/>
      <c r="BX776" s="11"/>
      <c r="BY776" s="11"/>
      <c r="BZ776" s="11"/>
      <c r="CA776" s="11"/>
      <c r="CB776" s="11"/>
    </row>
    <row r="777" ht="15.75" customHeight="1">
      <c r="BQ777" s="11"/>
      <c r="BR777" s="11"/>
      <c r="BS777" s="11"/>
      <c r="BT777" s="11"/>
      <c r="BU777" s="11"/>
      <c r="BV777" s="11"/>
      <c r="BW777" s="11"/>
      <c r="BX777" s="11"/>
      <c r="BY777" s="11"/>
      <c r="BZ777" s="11"/>
      <c r="CA777" s="11"/>
      <c r="CB777" s="11"/>
    </row>
    <row r="778" ht="15.75" customHeight="1">
      <c r="BQ778" s="11"/>
      <c r="BR778" s="11"/>
      <c r="BS778" s="11"/>
      <c r="BT778" s="11"/>
      <c r="BU778" s="11"/>
      <c r="BV778" s="11"/>
      <c r="BW778" s="11"/>
      <c r="BX778" s="11"/>
      <c r="BY778" s="11"/>
      <c r="BZ778" s="11"/>
      <c r="CA778" s="11"/>
      <c r="CB778" s="11"/>
    </row>
    <row r="779" ht="15.75" customHeight="1">
      <c r="BQ779" s="11"/>
      <c r="BR779" s="11"/>
      <c r="BS779" s="11"/>
      <c r="BT779" s="11"/>
      <c r="BU779" s="11"/>
      <c r="BV779" s="11"/>
      <c r="BW779" s="11"/>
      <c r="BX779" s="11"/>
      <c r="BY779" s="11"/>
      <c r="BZ779" s="11"/>
      <c r="CA779" s="11"/>
      <c r="CB779" s="11"/>
    </row>
    <row r="780" ht="15.75" customHeight="1">
      <c r="BQ780" s="11"/>
      <c r="BR780" s="11"/>
      <c r="BS780" s="11"/>
      <c r="BT780" s="11"/>
      <c r="BU780" s="11"/>
      <c r="BV780" s="11"/>
      <c r="BW780" s="11"/>
      <c r="BX780" s="11"/>
      <c r="BY780" s="11"/>
      <c r="BZ780" s="11"/>
      <c r="CA780" s="11"/>
      <c r="CB780" s="11"/>
    </row>
    <row r="781" ht="15.75" customHeight="1">
      <c r="BQ781" s="11"/>
      <c r="BR781" s="11"/>
      <c r="BS781" s="11"/>
      <c r="BT781" s="11"/>
      <c r="BU781" s="11"/>
      <c r="BV781" s="11"/>
      <c r="BW781" s="11"/>
      <c r="BX781" s="11"/>
      <c r="BY781" s="11"/>
      <c r="BZ781" s="11"/>
      <c r="CA781" s="11"/>
      <c r="CB781" s="11"/>
    </row>
    <row r="782" ht="15.75" customHeight="1">
      <c r="BQ782" s="11"/>
      <c r="BR782" s="11"/>
      <c r="BS782" s="11"/>
      <c r="BT782" s="11"/>
      <c r="BU782" s="11"/>
      <c r="BV782" s="11"/>
      <c r="BW782" s="11"/>
      <c r="BX782" s="11"/>
      <c r="BY782" s="11"/>
      <c r="BZ782" s="11"/>
      <c r="CA782" s="11"/>
      <c r="CB782" s="11"/>
    </row>
    <row r="783" ht="15.75" customHeight="1">
      <c r="BQ783" s="11"/>
      <c r="BR783" s="11"/>
      <c r="BS783" s="11"/>
      <c r="BT783" s="11"/>
      <c r="BU783" s="11"/>
      <c r="BV783" s="11"/>
      <c r="BW783" s="11"/>
      <c r="BX783" s="11"/>
      <c r="BY783" s="11"/>
      <c r="BZ783" s="11"/>
      <c r="CA783" s="11"/>
      <c r="CB783" s="11"/>
    </row>
    <row r="784" ht="15.75" customHeight="1">
      <c r="BQ784" s="11"/>
      <c r="BR784" s="11"/>
      <c r="BS784" s="11"/>
      <c r="BT784" s="11"/>
      <c r="BU784" s="11"/>
      <c r="BV784" s="11"/>
      <c r="BW784" s="11"/>
      <c r="BX784" s="11"/>
      <c r="BY784" s="11"/>
      <c r="BZ784" s="11"/>
      <c r="CA784" s="11"/>
      <c r="CB784" s="11"/>
    </row>
    <row r="785" ht="15.75" customHeight="1">
      <c r="BQ785" s="11"/>
      <c r="BR785" s="11"/>
      <c r="BS785" s="11"/>
      <c r="BT785" s="11"/>
      <c r="BU785" s="11"/>
      <c r="BV785" s="11"/>
      <c r="BW785" s="11"/>
      <c r="BX785" s="11"/>
      <c r="BY785" s="11"/>
      <c r="BZ785" s="11"/>
      <c r="CA785" s="11"/>
      <c r="CB785" s="11"/>
    </row>
    <row r="786" ht="15.75" customHeight="1">
      <c r="BQ786" s="11"/>
      <c r="BR786" s="11"/>
      <c r="BS786" s="11"/>
      <c r="BT786" s="11"/>
      <c r="BU786" s="11"/>
      <c r="BV786" s="11"/>
      <c r="BW786" s="11"/>
      <c r="BX786" s="11"/>
      <c r="BY786" s="11"/>
      <c r="BZ786" s="11"/>
      <c r="CA786" s="11"/>
      <c r="CB786" s="11"/>
    </row>
    <row r="787" ht="15.75" customHeight="1">
      <c r="BQ787" s="11"/>
      <c r="BR787" s="11"/>
      <c r="BS787" s="11"/>
      <c r="BT787" s="11"/>
      <c r="BU787" s="11"/>
      <c r="BV787" s="11"/>
      <c r="BW787" s="11"/>
      <c r="BX787" s="11"/>
      <c r="BY787" s="11"/>
      <c r="BZ787" s="11"/>
      <c r="CA787" s="11"/>
      <c r="CB787" s="11"/>
    </row>
    <row r="788" ht="15.75" customHeight="1">
      <c r="BQ788" s="11"/>
      <c r="BR788" s="11"/>
      <c r="BS788" s="11"/>
      <c r="BT788" s="11"/>
      <c r="BU788" s="11"/>
      <c r="BV788" s="11"/>
      <c r="BW788" s="11"/>
      <c r="BX788" s="11"/>
      <c r="BY788" s="11"/>
      <c r="BZ788" s="11"/>
      <c r="CA788" s="11"/>
      <c r="CB788" s="11"/>
    </row>
    <row r="789" ht="15.75" customHeight="1">
      <c r="BQ789" s="11"/>
      <c r="BR789" s="11"/>
      <c r="BS789" s="11"/>
      <c r="BT789" s="11"/>
      <c r="BU789" s="11"/>
      <c r="BV789" s="11"/>
      <c r="BW789" s="11"/>
      <c r="BX789" s="11"/>
      <c r="BY789" s="11"/>
      <c r="BZ789" s="11"/>
      <c r="CA789" s="11"/>
      <c r="CB789" s="11"/>
    </row>
    <row r="790" ht="15.75" customHeight="1">
      <c r="BQ790" s="11"/>
      <c r="BR790" s="11"/>
      <c r="BS790" s="11"/>
      <c r="BT790" s="11"/>
      <c r="BU790" s="11"/>
      <c r="BV790" s="11"/>
      <c r="BW790" s="11"/>
      <c r="BX790" s="11"/>
      <c r="BY790" s="11"/>
      <c r="BZ790" s="11"/>
      <c r="CA790" s="11"/>
      <c r="CB790" s="11"/>
    </row>
    <row r="791" ht="15.75" customHeight="1">
      <c r="BQ791" s="11"/>
      <c r="BR791" s="11"/>
      <c r="BS791" s="11"/>
      <c r="BT791" s="11"/>
      <c r="BU791" s="11"/>
      <c r="BV791" s="11"/>
      <c r="BW791" s="11"/>
      <c r="BX791" s="11"/>
      <c r="BY791" s="11"/>
      <c r="BZ791" s="11"/>
      <c r="CA791" s="11"/>
      <c r="CB791" s="11"/>
    </row>
    <row r="792" ht="15.75" customHeight="1">
      <c r="BQ792" s="11"/>
      <c r="BR792" s="11"/>
      <c r="BS792" s="11"/>
      <c r="BT792" s="11"/>
      <c r="BU792" s="11"/>
      <c r="BV792" s="11"/>
      <c r="BW792" s="11"/>
      <c r="BX792" s="11"/>
      <c r="BY792" s="11"/>
      <c r="BZ792" s="11"/>
      <c r="CA792" s="11"/>
      <c r="CB792" s="11"/>
    </row>
    <row r="793" ht="15.75" customHeight="1">
      <c r="BQ793" s="11"/>
      <c r="BR793" s="11"/>
      <c r="BS793" s="11"/>
      <c r="BT793" s="11"/>
      <c r="BU793" s="11"/>
      <c r="BV793" s="11"/>
      <c r="BW793" s="11"/>
      <c r="BX793" s="11"/>
      <c r="BY793" s="11"/>
      <c r="BZ793" s="11"/>
      <c r="CA793" s="11"/>
      <c r="CB793" s="11"/>
    </row>
    <row r="794" ht="15.75" customHeight="1">
      <c r="BQ794" s="11"/>
      <c r="BR794" s="11"/>
      <c r="BS794" s="11"/>
      <c r="BT794" s="11"/>
      <c r="BU794" s="11"/>
      <c r="BV794" s="11"/>
      <c r="BW794" s="11"/>
      <c r="BX794" s="11"/>
      <c r="BY794" s="11"/>
      <c r="BZ794" s="11"/>
      <c r="CA794" s="11"/>
      <c r="CB794" s="11"/>
    </row>
    <row r="795" ht="15.75" customHeight="1">
      <c r="BQ795" s="11"/>
      <c r="BR795" s="11"/>
      <c r="BS795" s="11"/>
      <c r="BT795" s="11"/>
      <c r="BU795" s="11"/>
      <c r="BV795" s="11"/>
      <c r="BW795" s="11"/>
      <c r="BX795" s="11"/>
      <c r="BY795" s="11"/>
      <c r="BZ795" s="11"/>
      <c r="CA795" s="11"/>
      <c r="CB795" s="11"/>
    </row>
    <row r="796" ht="15.75" customHeight="1">
      <c r="BQ796" s="11"/>
      <c r="BR796" s="11"/>
      <c r="BS796" s="11"/>
      <c r="BT796" s="11"/>
      <c r="BU796" s="11"/>
      <c r="BV796" s="11"/>
      <c r="BW796" s="11"/>
      <c r="BX796" s="11"/>
      <c r="BY796" s="11"/>
      <c r="BZ796" s="11"/>
      <c r="CA796" s="11"/>
      <c r="CB796" s="11"/>
    </row>
    <row r="797" ht="15.75" customHeight="1">
      <c r="BQ797" s="11"/>
      <c r="BR797" s="11"/>
      <c r="BS797" s="11"/>
      <c r="BT797" s="11"/>
      <c r="BU797" s="11"/>
      <c r="BV797" s="11"/>
      <c r="BW797" s="11"/>
      <c r="BX797" s="11"/>
      <c r="BY797" s="11"/>
      <c r="BZ797" s="11"/>
      <c r="CA797" s="11"/>
      <c r="CB797" s="11"/>
    </row>
    <row r="798" ht="15.75" customHeight="1">
      <c r="BQ798" s="11"/>
      <c r="BR798" s="11"/>
      <c r="BS798" s="11"/>
      <c r="BT798" s="11"/>
      <c r="BU798" s="11"/>
      <c r="BV798" s="11"/>
      <c r="BW798" s="11"/>
      <c r="BX798" s="11"/>
      <c r="BY798" s="11"/>
      <c r="BZ798" s="11"/>
      <c r="CA798" s="11"/>
      <c r="CB798" s="11"/>
    </row>
    <row r="799" ht="15.75" customHeight="1">
      <c r="BQ799" s="11"/>
      <c r="BR799" s="11"/>
      <c r="BS799" s="11"/>
      <c r="BT799" s="11"/>
      <c r="BU799" s="11"/>
      <c r="BV799" s="11"/>
      <c r="BW799" s="11"/>
      <c r="BX799" s="11"/>
      <c r="BY799" s="11"/>
      <c r="BZ799" s="11"/>
      <c r="CA799" s="11"/>
      <c r="CB799" s="11"/>
    </row>
    <row r="800" ht="15.75" customHeight="1">
      <c r="BQ800" s="11"/>
      <c r="BR800" s="11"/>
      <c r="BS800" s="11"/>
      <c r="BT800" s="11"/>
      <c r="BU800" s="11"/>
      <c r="BV800" s="11"/>
      <c r="BW800" s="11"/>
      <c r="BX800" s="11"/>
      <c r="BY800" s="11"/>
      <c r="BZ800" s="11"/>
      <c r="CA800" s="11"/>
      <c r="CB800" s="11"/>
    </row>
    <row r="801" ht="15.75" customHeight="1">
      <c r="BQ801" s="11"/>
      <c r="BR801" s="11"/>
      <c r="BS801" s="11"/>
      <c r="BT801" s="11"/>
      <c r="BU801" s="11"/>
      <c r="BV801" s="11"/>
      <c r="BW801" s="11"/>
      <c r="BX801" s="11"/>
      <c r="BY801" s="11"/>
      <c r="BZ801" s="11"/>
      <c r="CA801" s="11"/>
      <c r="CB801" s="11"/>
    </row>
    <row r="802" ht="15.75" customHeight="1">
      <c r="BQ802" s="11"/>
      <c r="BR802" s="11"/>
      <c r="BS802" s="11"/>
      <c r="BT802" s="11"/>
      <c r="BU802" s="11"/>
      <c r="BV802" s="11"/>
      <c r="BW802" s="11"/>
      <c r="BX802" s="11"/>
      <c r="BY802" s="11"/>
      <c r="BZ802" s="11"/>
      <c r="CA802" s="11"/>
      <c r="CB802" s="11"/>
    </row>
    <row r="803" ht="15.75" customHeight="1">
      <c r="BQ803" s="11"/>
      <c r="BR803" s="11"/>
      <c r="BS803" s="11"/>
      <c r="BT803" s="11"/>
      <c r="BU803" s="11"/>
      <c r="BV803" s="11"/>
      <c r="BW803" s="11"/>
      <c r="BX803" s="11"/>
      <c r="BY803" s="11"/>
      <c r="BZ803" s="11"/>
      <c r="CA803" s="11"/>
      <c r="CB803" s="11"/>
    </row>
    <row r="804" ht="15.75" customHeight="1">
      <c r="BQ804" s="11"/>
      <c r="BR804" s="11"/>
      <c r="BS804" s="11"/>
      <c r="BT804" s="11"/>
      <c r="BU804" s="11"/>
      <c r="BV804" s="11"/>
      <c r="BW804" s="11"/>
      <c r="BX804" s="11"/>
      <c r="BY804" s="11"/>
      <c r="BZ804" s="11"/>
      <c r="CA804" s="11"/>
      <c r="CB804" s="11"/>
    </row>
    <row r="805" ht="15.75" customHeight="1">
      <c r="BQ805" s="11"/>
      <c r="BR805" s="11"/>
      <c r="BS805" s="11"/>
      <c r="BT805" s="11"/>
      <c r="BU805" s="11"/>
      <c r="BV805" s="11"/>
      <c r="BW805" s="11"/>
      <c r="BX805" s="11"/>
      <c r="BY805" s="11"/>
      <c r="BZ805" s="11"/>
      <c r="CA805" s="11"/>
      <c r="CB805" s="11"/>
    </row>
    <row r="806" ht="15.75" customHeight="1">
      <c r="BQ806" s="11"/>
      <c r="BR806" s="11"/>
      <c r="BS806" s="11"/>
      <c r="BT806" s="11"/>
      <c r="BU806" s="11"/>
      <c r="BV806" s="11"/>
      <c r="BW806" s="11"/>
      <c r="BX806" s="11"/>
      <c r="BY806" s="11"/>
      <c r="BZ806" s="11"/>
      <c r="CA806" s="11"/>
      <c r="CB806" s="11"/>
    </row>
    <row r="807" ht="15.75" customHeight="1">
      <c r="BQ807" s="11"/>
      <c r="BR807" s="11"/>
      <c r="BS807" s="11"/>
      <c r="BT807" s="11"/>
      <c r="BU807" s="11"/>
      <c r="BV807" s="11"/>
      <c r="BW807" s="11"/>
      <c r="BX807" s="11"/>
      <c r="BY807" s="11"/>
      <c r="BZ807" s="11"/>
      <c r="CA807" s="11"/>
      <c r="CB807" s="11"/>
    </row>
    <row r="808" ht="15.75" customHeight="1">
      <c r="BQ808" s="11"/>
      <c r="BR808" s="11"/>
      <c r="BS808" s="11"/>
      <c r="BT808" s="11"/>
      <c r="BU808" s="11"/>
      <c r="BV808" s="11"/>
      <c r="BW808" s="11"/>
      <c r="BX808" s="11"/>
      <c r="BY808" s="11"/>
      <c r="BZ808" s="11"/>
      <c r="CA808" s="11"/>
      <c r="CB808" s="11"/>
    </row>
    <row r="809" ht="15.75" customHeight="1">
      <c r="BQ809" s="11"/>
      <c r="BR809" s="11"/>
      <c r="BS809" s="11"/>
      <c r="BT809" s="11"/>
      <c r="BU809" s="11"/>
      <c r="BV809" s="11"/>
      <c r="BW809" s="11"/>
      <c r="BX809" s="11"/>
      <c r="BY809" s="11"/>
      <c r="BZ809" s="11"/>
      <c r="CA809" s="11"/>
      <c r="CB809" s="11"/>
    </row>
    <row r="810" ht="15.75" customHeight="1">
      <c r="BQ810" s="11"/>
      <c r="BR810" s="11"/>
      <c r="BS810" s="11"/>
      <c r="BT810" s="11"/>
      <c r="BU810" s="11"/>
      <c r="BV810" s="11"/>
      <c r="BW810" s="11"/>
      <c r="BX810" s="11"/>
      <c r="BY810" s="11"/>
      <c r="BZ810" s="11"/>
      <c r="CA810" s="11"/>
      <c r="CB810" s="11"/>
    </row>
    <row r="811" ht="15.75" customHeight="1">
      <c r="BQ811" s="11"/>
      <c r="BR811" s="11"/>
      <c r="BS811" s="11"/>
      <c r="BT811" s="11"/>
      <c r="BU811" s="11"/>
      <c r="BV811" s="11"/>
      <c r="BW811" s="11"/>
      <c r="BX811" s="11"/>
      <c r="BY811" s="11"/>
      <c r="BZ811" s="11"/>
      <c r="CA811" s="11"/>
      <c r="CB811" s="11"/>
    </row>
    <row r="812" ht="15.75" customHeight="1">
      <c r="BQ812" s="11"/>
      <c r="BR812" s="11"/>
      <c r="BS812" s="11"/>
      <c r="BT812" s="11"/>
      <c r="BU812" s="11"/>
      <c r="BV812" s="11"/>
      <c r="BW812" s="11"/>
      <c r="BX812" s="11"/>
      <c r="BY812" s="11"/>
      <c r="BZ812" s="11"/>
      <c r="CA812" s="11"/>
      <c r="CB812" s="11"/>
    </row>
    <row r="813" ht="15.75" customHeight="1">
      <c r="BQ813" s="11"/>
      <c r="BR813" s="11"/>
      <c r="BS813" s="11"/>
      <c r="BT813" s="11"/>
      <c r="BU813" s="11"/>
      <c r="BV813" s="11"/>
      <c r="BW813" s="11"/>
      <c r="BX813" s="11"/>
      <c r="BY813" s="11"/>
      <c r="BZ813" s="11"/>
      <c r="CA813" s="11"/>
      <c r="CB813" s="11"/>
    </row>
    <row r="814" ht="15.75" customHeight="1">
      <c r="BQ814" s="11"/>
      <c r="BR814" s="11"/>
      <c r="BS814" s="11"/>
      <c r="BT814" s="11"/>
      <c r="BU814" s="11"/>
      <c r="BV814" s="11"/>
      <c r="BW814" s="11"/>
      <c r="BX814" s="11"/>
      <c r="BY814" s="11"/>
      <c r="BZ814" s="11"/>
      <c r="CA814" s="11"/>
      <c r="CB814" s="11"/>
    </row>
    <row r="815" ht="15.75" customHeight="1">
      <c r="BQ815" s="11"/>
      <c r="BR815" s="11"/>
      <c r="BS815" s="11"/>
      <c r="BT815" s="11"/>
      <c r="BU815" s="11"/>
      <c r="BV815" s="11"/>
      <c r="BW815" s="11"/>
      <c r="BX815" s="11"/>
      <c r="BY815" s="11"/>
      <c r="BZ815" s="11"/>
      <c r="CA815" s="11"/>
      <c r="CB815" s="11"/>
    </row>
    <row r="816" ht="15.75" customHeight="1">
      <c r="BQ816" s="11"/>
      <c r="BR816" s="11"/>
      <c r="BS816" s="11"/>
      <c r="BT816" s="11"/>
      <c r="BU816" s="11"/>
      <c r="BV816" s="11"/>
      <c r="BW816" s="11"/>
      <c r="BX816" s="11"/>
      <c r="BY816" s="11"/>
      <c r="BZ816" s="11"/>
      <c r="CA816" s="11"/>
      <c r="CB816" s="11"/>
    </row>
    <row r="817" ht="15.75" customHeight="1">
      <c r="BQ817" s="11"/>
      <c r="BR817" s="11"/>
      <c r="BS817" s="11"/>
      <c r="BT817" s="11"/>
      <c r="BU817" s="11"/>
      <c r="BV817" s="11"/>
      <c r="BW817" s="11"/>
      <c r="BX817" s="11"/>
      <c r="BY817" s="11"/>
      <c r="BZ817" s="11"/>
      <c r="CA817" s="11"/>
      <c r="CB817" s="11"/>
    </row>
    <row r="818" ht="15.75" customHeight="1">
      <c r="BQ818" s="11"/>
      <c r="BR818" s="11"/>
      <c r="BS818" s="11"/>
      <c r="BT818" s="11"/>
      <c r="BU818" s="11"/>
      <c r="BV818" s="11"/>
      <c r="BW818" s="11"/>
      <c r="BX818" s="11"/>
      <c r="BY818" s="11"/>
      <c r="BZ818" s="11"/>
      <c r="CA818" s="11"/>
      <c r="CB818" s="11"/>
    </row>
    <row r="819" ht="15.75" customHeight="1">
      <c r="BQ819" s="11"/>
      <c r="BR819" s="11"/>
      <c r="BS819" s="11"/>
      <c r="BT819" s="11"/>
      <c r="BU819" s="11"/>
      <c r="BV819" s="11"/>
      <c r="BW819" s="11"/>
      <c r="BX819" s="11"/>
      <c r="BY819" s="11"/>
      <c r="BZ819" s="11"/>
      <c r="CA819" s="11"/>
      <c r="CB819" s="11"/>
    </row>
    <row r="820" ht="15.75" customHeight="1">
      <c r="BQ820" s="11"/>
      <c r="BR820" s="11"/>
      <c r="BS820" s="11"/>
      <c r="BT820" s="11"/>
      <c r="BU820" s="11"/>
      <c r="BV820" s="11"/>
      <c r="BW820" s="11"/>
      <c r="BX820" s="11"/>
      <c r="BY820" s="11"/>
      <c r="BZ820" s="11"/>
      <c r="CA820" s="11"/>
      <c r="CB820" s="11"/>
    </row>
    <row r="821" ht="15.75" customHeight="1">
      <c r="BQ821" s="11"/>
      <c r="BR821" s="11"/>
      <c r="BS821" s="11"/>
      <c r="BT821" s="11"/>
      <c r="BU821" s="11"/>
      <c r="BV821" s="11"/>
      <c r="BW821" s="11"/>
      <c r="BX821" s="11"/>
      <c r="BY821" s="11"/>
      <c r="BZ821" s="11"/>
      <c r="CA821" s="11"/>
      <c r="CB821" s="11"/>
    </row>
    <row r="822" ht="15.75" customHeight="1">
      <c r="BQ822" s="11"/>
      <c r="BR822" s="11"/>
      <c r="BS822" s="11"/>
      <c r="BT822" s="11"/>
      <c r="BU822" s="11"/>
      <c r="BV822" s="11"/>
      <c r="BW822" s="11"/>
      <c r="BX822" s="11"/>
      <c r="BY822" s="11"/>
      <c r="BZ822" s="11"/>
      <c r="CA822" s="11"/>
      <c r="CB822" s="11"/>
    </row>
    <row r="823" ht="15.75" customHeight="1">
      <c r="BQ823" s="11"/>
      <c r="BR823" s="11"/>
      <c r="BS823" s="11"/>
      <c r="BT823" s="11"/>
      <c r="BU823" s="11"/>
      <c r="BV823" s="11"/>
      <c r="BW823" s="11"/>
      <c r="BX823" s="11"/>
      <c r="BY823" s="11"/>
      <c r="BZ823" s="11"/>
      <c r="CA823" s="11"/>
      <c r="CB823" s="11"/>
    </row>
    <row r="824" ht="15.75" customHeight="1">
      <c r="BQ824" s="11"/>
      <c r="BR824" s="11"/>
      <c r="BS824" s="11"/>
      <c r="BT824" s="11"/>
      <c r="BU824" s="11"/>
      <c r="BV824" s="11"/>
      <c r="BW824" s="11"/>
      <c r="BX824" s="11"/>
      <c r="BY824" s="11"/>
      <c r="BZ824" s="11"/>
      <c r="CA824" s="11"/>
      <c r="CB824" s="11"/>
    </row>
    <row r="825" ht="15.75" customHeight="1">
      <c r="BQ825" s="11"/>
      <c r="BR825" s="11"/>
      <c r="BS825" s="11"/>
      <c r="BT825" s="11"/>
      <c r="BU825" s="11"/>
      <c r="BV825" s="11"/>
      <c r="BW825" s="11"/>
      <c r="BX825" s="11"/>
      <c r="BY825" s="11"/>
      <c r="BZ825" s="11"/>
      <c r="CA825" s="11"/>
      <c r="CB825" s="11"/>
    </row>
    <row r="826" ht="15.75" customHeight="1">
      <c r="BQ826" s="11"/>
      <c r="BR826" s="11"/>
      <c r="BS826" s="11"/>
      <c r="BT826" s="11"/>
      <c r="BU826" s="11"/>
      <c r="BV826" s="11"/>
      <c r="BW826" s="11"/>
      <c r="BX826" s="11"/>
      <c r="BY826" s="11"/>
      <c r="BZ826" s="11"/>
      <c r="CA826" s="11"/>
      <c r="CB826" s="11"/>
    </row>
    <row r="827" ht="15.75" customHeight="1">
      <c r="BQ827" s="11"/>
      <c r="BR827" s="11"/>
      <c r="BS827" s="11"/>
      <c r="BT827" s="11"/>
      <c r="BU827" s="11"/>
      <c r="BV827" s="11"/>
      <c r="BW827" s="11"/>
      <c r="BX827" s="11"/>
      <c r="BY827" s="11"/>
      <c r="BZ827" s="11"/>
      <c r="CA827" s="11"/>
      <c r="CB827" s="11"/>
    </row>
    <row r="828" ht="15.75" customHeight="1">
      <c r="BQ828" s="11"/>
      <c r="BR828" s="11"/>
      <c r="BS828" s="11"/>
      <c r="BT828" s="11"/>
      <c r="BU828" s="11"/>
      <c r="BV828" s="11"/>
      <c r="BW828" s="11"/>
      <c r="BX828" s="11"/>
      <c r="BY828" s="11"/>
      <c r="BZ828" s="11"/>
      <c r="CA828" s="11"/>
      <c r="CB828" s="11"/>
    </row>
    <row r="829" ht="15.75" customHeight="1">
      <c r="BQ829" s="11"/>
      <c r="BR829" s="11"/>
      <c r="BS829" s="11"/>
      <c r="BT829" s="11"/>
      <c r="BU829" s="11"/>
      <c r="BV829" s="11"/>
      <c r="BW829" s="11"/>
      <c r="BX829" s="11"/>
      <c r="BY829" s="11"/>
      <c r="BZ829" s="11"/>
      <c r="CA829" s="11"/>
      <c r="CB829" s="11"/>
    </row>
    <row r="830" ht="15.75" customHeight="1">
      <c r="BQ830" s="11"/>
      <c r="BR830" s="11"/>
      <c r="BS830" s="11"/>
      <c r="BT830" s="11"/>
      <c r="BU830" s="11"/>
      <c r="BV830" s="11"/>
      <c r="BW830" s="11"/>
      <c r="BX830" s="11"/>
      <c r="BY830" s="11"/>
      <c r="BZ830" s="11"/>
      <c r="CA830" s="11"/>
      <c r="CB830" s="11"/>
    </row>
    <row r="831" ht="15.75" customHeight="1">
      <c r="BQ831" s="11"/>
      <c r="BR831" s="11"/>
      <c r="BS831" s="11"/>
      <c r="BT831" s="11"/>
      <c r="BU831" s="11"/>
      <c r="BV831" s="11"/>
      <c r="BW831" s="11"/>
      <c r="BX831" s="11"/>
      <c r="BY831" s="11"/>
      <c r="BZ831" s="11"/>
      <c r="CA831" s="11"/>
      <c r="CB831" s="11"/>
    </row>
    <row r="832" ht="15.75" customHeight="1">
      <c r="BQ832" s="11"/>
      <c r="BR832" s="11"/>
      <c r="BS832" s="11"/>
      <c r="BT832" s="11"/>
      <c r="BU832" s="11"/>
      <c r="BV832" s="11"/>
      <c r="BW832" s="11"/>
      <c r="BX832" s="11"/>
      <c r="BY832" s="11"/>
      <c r="BZ832" s="11"/>
      <c r="CA832" s="11"/>
      <c r="CB832" s="11"/>
    </row>
    <row r="833" ht="15.75" customHeight="1">
      <c r="BQ833" s="11"/>
      <c r="BR833" s="11"/>
      <c r="BS833" s="11"/>
      <c r="BT833" s="11"/>
      <c r="BU833" s="11"/>
      <c r="BV833" s="11"/>
      <c r="BW833" s="11"/>
      <c r="BX833" s="11"/>
      <c r="BY833" s="11"/>
      <c r="BZ833" s="11"/>
      <c r="CA833" s="11"/>
      <c r="CB833" s="11"/>
    </row>
    <row r="834" ht="15.75" customHeight="1">
      <c r="BQ834" s="11"/>
      <c r="BR834" s="11"/>
      <c r="BS834" s="11"/>
      <c r="BT834" s="11"/>
      <c r="BU834" s="11"/>
      <c r="BV834" s="11"/>
      <c r="BW834" s="11"/>
      <c r="BX834" s="11"/>
      <c r="BY834" s="11"/>
      <c r="BZ834" s="11"/>
      <c r="CA834" s="11"/>
      <c r="CB834" s="11"/>
    </row>
    <row r="835" ht="15.75" customHeight="1">
      <c r="BQ835" s="11"/>
      <c r="BR835" s="11"/>
      <c r="BS835" s="11"/>
      <c r="BT835" s="11"/>
      <c r="BU835" s="11"/>
      <c r="BV835" s="11"/>
      <c r="BW835" s="11"/>
      <c r="BX835" s="11"/>
      <c r="BY835" s="11"/>
      <c r="BZ835" s="11"/>
      <c r="CA835" s="11"/>
      <c r="CB835" s="11"/>
    </row>
    <row r="836" ht="15.75" customHeight="1">
      <c r="BQ836" s="11"/>
      <c r="BR836" s="11"/>
      <c r="BS836" s="11"/>
      <c r="BT836" s="11"/>
      <c r="BU836" s="11"/>
      <c r="BV836" s="11"/>
      <c r="BW836" s="11"/>
      <c r="BX836" s="11"/>
      <c r="BY836" s="11"/>
      <c r="BZ836" s="11"/>
      <c r="CA836" s="11"/>
      <c r="CB836" s="11"/>
    </row>
    <row r="837" ht="15.75" customHeight="1">
      <c r="BQ837" s="11"/>
      <c r="BR837" s="11"/>
      <c r="BS837" s="11"/>
      <c r="BT837" s="11"/>
      <c r="BU837" s="11"/>
      <c r="BV837" s="11"/>
      <c r="BW837" s="11"/>
      <c r="BX837" s="11"/>
      <c r="BY837" s="11"/>
      <c r="BZ837" s="11"/>
      <c r="CA837" s="11"/>
      <c r="CB837" s="11"/>
    </row>
    <row r="838" ht="15.75" customHeight="1">
      <c r="BQ838" s="11"/>
      <c r="BR838" s="11"/>
      <c r="BS838" s="11"/>
      <c r="BT838" s="11"/>
      <c r="BU838" s="11"/>
      <c r="BV838" s="11"/>
      <c r="BW838" s="11"/>
      <c r="BX838" s="11"/>
      <c r="BY838" s="11"/>
      <c r="BZ838" s="11"/>
      <c r="CA838" s="11"/>
      <c r="CB838" s="11"/>
    </row>
    <row r="839" ht="15.75" customHeight="1">
      <c r="BQ839" s="11"/>
      <c r="BR839" s="11"/>
      <c r="BS839" s="11"/>
      <c r="BT839" s="11"/>
      <c r="BU839" s="11"/>
      <c r="BV839" s="11"/>
      <c r="BW839" s="11"/>
      <c r="BX839" s="11"/>
      <c r="BY839" s="11"/>
      <c r="BZ839" s="11"/>
      <c r="CA839" s="11"/>
      <c r="CB839" s="11"/>
    </row>
    <row r="840" ht="15.75" customHeight="1">
      <c r="BQ840" s="11"/>
      <c r="BR840" s="11"/>
      <c r="BS840" s="11"/>
      <c r="BT840" s="11"/>
      <c r="BU840" s="11"/>
      <c r="BV840" s="11"/>
      <c r="BW840" s="11"/>
      <c r="BX840" s="11"/>
      <c r="BY840" s="11"/>
      <c r="BZ840" s="11"/>
      <c r="CA840" s="11"/>
      <c r="CB840" s="11"/>
    </row>
    <row r="841" ht="15.75" customHeight="1">
      <c r="BQ841" s="11"/>
      <c r="BR841" s="11"/>
      <c r="BS841" s="11"/>
      <c r="BT841" s="11"/>
      <c r="BU841" s="11"/>
      <c r="BV841" s="11"/>
      <c r="BW841" s="11"/>
      <c r="BX841" s="11"/>
      <c r="BY841" s="11"/>
      <c r="BZ841" s="11"/>
      <c r="CA841" s="11"/>
      <c r="CB841" s="11"/>
    </row>
    <row r="842" ht="15.75" customHeight="1">
      <c r="BQ842" s="11"/>
      <c r="BR842" s="11"/>
      <c r="BS842" s="11"/>
      <c r="BT842" s="11"/>
      <c r="BU842" s="11"/>
      <c r="BV842" s="11"/>
      <c r="BW842" s="11"/>
      <c r="BX842" s="11"/>
      <c r="BY842" s="11"/>
      <c r="BZ842" s="11"/>
      <c r="CA842" s="11"/>
      <c r="CB842" s="11"/>
    </row>
    <row r="843" ht="15.75" customHeight="1">
      <c r="BQ843" s="11"/>
      <c r="BR843" s="11"/>
      <c r="BS843" s="11"/>
      <c r="BT843" s="11"/>
      <c r="BU843" s="11"/>
      <c r="BV843" s="11"/>
      <c r="BW843" s="11"/>
      <c r="BX843" s="11"/>
      <c r="BY843" s="11"/>
      <c r="BZ843" s="11"/>
      <c r="CA843" s="11"/>
      <c r="CB843" s="11"/>
    </row>
    <row r="844" ht="15.75" customHeight="1">
      <c r="BQ844" s="11"/>
      <c r="BR844" s="11"/>
      <c r="BS844" s="11"/>
      <c r="BT844" s="11"/>
      <c r="BU844" s="11"/>
      <c r="BV844" s="11"/>
      <c r="BW844" s="11"/>
      <c r="BX844" s="11"/>
      <c r="BY844" s="11"/>
      <c r="BZ844" s="11"/>
      <c r="CA844" s="11"/>
      <c r="CB844" s="11"/>
    </row>
    <row r="845" ht="15.75" customHeight="1">
      <c r="BQ845" s="11"/>
      <c r="BR845" s="11"/>
      <c r="BS845" s="11"/>
      <c r="BT845" s="11"/>
      <c r="BU845" s="11"/>
      <c r="BV845" s="11"/>
      <c r="BW845" s="11"/>
      <c r="BX845" s="11"/>
      <c r="BY845" s="11"/>
      <c r="BZ845" s="11"/>
      <c r="CA845" s="11"/>
      <c r="CB845" s="11"/>
    </row>
    <row r="846" ht="15.75" customHeight="1">
      <c r="BQ846" s="11"/>
      <c r="BR846" s="11"/>
      <c r="BS846" s="11"/>
      <c r="BT846" s="11"/>
      <c r="BU846" s="11"/>
      <c r="BV846" s="11"/>
      <c r="BW846" s="11"/>
      <c r="BX846" s="11"/>
      <c r="BY846" s="11"/>
      <c r="BZ846" s="11"/>
      <c r="CA846" s="11"/>
      <c r="CB846" s="11"/>
    </row>
    <row r="847" ht="15.75" customHeight="1">
      <c r="BQ847" s="11"/>
      <c r="BR847" s="11"/>
      <c r="BS847" s="11"/>
      <c r="BT847" s="11"/>
      <c r="BU847" s="11"/>
      <c r="BV847" s="11"/>
      <c r="BW847" s="11"/>
      <c r="BX847" s="11"/>
      <c r="BY847" s="11"/>
      <c r="BZ847" s="11"/>
      <c r="CA847" s="11"/>
      <c r="CB847" s="11"/>
    </row>
    <row r="848" ht="15.75" customHeight="1">
      <c r="BQ848" s="11"/>
      <c r="BR848" s="11"/>
      <c r="BS848" s="11"/>
      <c r="BT848" s="11"/>
      <c r="BU848" s="11"/>
      <c r="BV848" s="11"/>
      <c r="BW848" s="11"/>
      <c r="BX848" s="11"/>
      <c r="BY848" s="11"/>
      <c r="BZ848" s="11"/>
      <c r="CA848" s="11"/>
      <c r="CB848" s="11"/>
    </row>
    <row r="849" ht="15.75" customHeight="1">
      <c r="BQ849" s="11"/>
      <c r="BR849" s="11"/>
      <c r="BS849" s="11"/>
      <c r="BT849" s="11"/>
      <c r="BU849" s="11"/>
      <c r="BV849" s="11"/>
      <c r="BW849" s="11"/>
      <c r="BX849" s="11"/>
      <c r="BY849" s="11"/>
      <c r="BZ849" s="11"/>
      <c r="CA849" s="11"/>
      <c r="CB849" s="11"/>
    </row>
    <row r="850" ht="15.75" customHeight="1">
      <c r="BQ850" s="11"/>
      <c r="BR850" s="11"/>
      <c r="BS850" s="11"/>
      <c r="BT850" s="11"/>
      <c r="BU850" s="11"/>
      <c r="BV850" s="11"/>
      <c r="BW850" s="11"/>
      <c r="BX850" s="11"/>
      <c r="BY850" s="11"/>
      <c r="BZ850" s="11"/>
      <c r="CA850" s="11"/>
      <c r="CB850" s="11"/>
    </row>
    <row r="851" ht="15.75" customHeight="1">
      <c r="BQ851" s="11"/>
      <c r="BR851" s="11"/>
      <c r="BS851" s="11"/>
      <c r="BT851" s="11"/>
      <c r="BU851" s="11"/>
      <c r="BV851" s="11"/>
      <c r="BW851" s="11"/>
      <c r="BX851" s="11"/>
      <c r="BY851" s="11"/>
      <c r="BZ851" s="11"/>
      <c r="CA851" s="11"/>
      <c r="CB851" s="11"/>
    </row>
    <row r="852" ht="15.75" customHeight="1">
      <c r="BQ852" s="11"/>
      <c r="BR852" s="11"/>
      <c r="BS852" s="11"/>
      <c r="BT852" s="11"/>
      <c r="BU852" s="11"/>
      <c r="BV852" s="11"/>
      <c r="BW852" s="11"/>
      <c r="BX852" s="11"/>
      <c r="BY852" s="11"/>
      <c r="BZ852" s="11"/>
      <c r="CA852" s="11"/>
      <c r="CB852" s="11"/>
    </row>
    <row r="853" ht="15.75" customHeight="1">
      <c r="BQ853" s="11"/>
      <c r="BR853" s="11"/>
      <c r="BS853" s="11"/>
      <c r="BT853" s="11"/>
      <c r="BU853" s="11"/>
      <c r="BV853" s="11"/>
      <c r="BW853" s="11"/>
      <c r="BX853" s="11"/>
      <c r="BY853" s="11"/>
      <c r="BZ853" s="11"/>
      <c r="CA853" s="11"/>
      <c r="CB853" s="11"/>
    </row>
    <row r="854" ht="15.75" customHeight="1">
      <c r="BQ854" s="11"/>
      <c r="BR854" s="11"/>
      <c r="BS854" s="11"/>
      <c r="BT854" s="11"/>
      <c r="BU854" s="11"/>
      <c r="BV854" s="11"/>
      <c r="BW854" s="11"/>
      <c r="BX854" s="11"/>
      <c r="BY854" s="11"/>
      <c r="BZ854" s="11"/>
      <c r="CA854" s="11"/>
      <c r="CB854" s="11"/>
    </row>
    <row r="855" ht="15.75" customHeight="1">
      <c r="BQ855" s="11"/>
      <c r="BR855" s="11"/>
      <c r="BS855" s="11"/>
      <c r="BT855" s="11"/>
      <c r="BU855" s="11"/>
      <c r="BV855" s="11"/>
      <c r="BW855" s="11"/>
      <c r="BX855" s="11"/>
      <c r="BY855" s="11"/>
      <c r="BZ855" s="11"/>
      <c r="CA855" s="11"/>
      <c r="CB855" s="11"/>
    </row>
    <row r="856" ht="15.75" customHeight="1">
      <c r="BQ856" s="11"/>
      <c r="BR856" s="11"/>
      <c r="BS856" s="11"/>
      <c r="BT856" s="11"/>
      <c r="BU856" s="11"/>
      <c r="BV856" s="11"/>
      <c r="BW856" s="11"/>
      <c r="BX856" s="11"/>
      <c r="BY856" s="11"/>
      <c r="BZ856" s="11"/>
      <c r="CA856" s="11"/>
      <c r="CB856" s="11"/>
    </row>
    <row r="857" ht="15.75" customHeight="1">
      <c r="BQ857" s="11"/>
      <c r="BR857" s="11"/>
      <c r="BS857" s="11"/>
      <c r="BT857" s="11"/>
      <c r="BU857" s="11"/>
      <c r="BV857" s="11"/>
      <c r="BW857" s="11"/>
      <c r="BX857" s="11"/>
      <c r="BY857" s="11"/>
      <c r="BZ857" s="11"/>
      <c r="CA857" s="11"/>
      <c r="CB857" s="11"/>
    </row>
    <row r="858" ht="15.75" customHeight="1">
      <c r="BQ858" s="11"/>
      <c r="BR858" s="11"/>
      <c r="BS858" s="11"/>
      <c r="BT858" s="11"/>
      <c r="BU858" s="11"/>
      <c r="BV858" s="11"/>
      <c r="BW858" s="11"/>
      <c r="BX858" s="11"/>
      <c r="BY858" s="11"/>
      <c r="BZ858" s="11"/>
      <c r="CA858" s="11"/>
      <c r="CB858" s="11"/>
    </row>
    <row r="859" ht="15.75" customHeight="1">
      <c r="BQ859" s="11"/>
      <c r="BR859" s="11"/>
      <c r="BS859" s="11"/>
      <c r="BT859" s="11"/>
      <c r="BU859" s="11"/>
      <c r="BV859" s="11"/>
      <c r="BW859" s="11"/>
      <c r="BX859" s="11"/>
      <c r="BY859" s="11"/>
      <c r="BZ859" s="11"/>
      <c r="CA859" s="11"/>
      <c r="CB859" s="11"/>
    </row>
    <row r="860" ht="15.75" customHeight="1">
      <c r="BQ860" s="11"/>
      <c r="BR860" s="11"/>
      <c r="BS860" s="11"/>
      <c r="BT860" s="11"/>
      <c r="BU860" s="11"/>
      <c r="BV860" s="11"/>
      <c r="BW860" s="11"/>
      <c r="BX860" s="11"/>
      <c r="BY860" s="11"/>
      <c r="BZ860" s="11"/>
      <c r="CA860" s="11"/>
      <c r="CB860" s="11"/>
    </row>
    <row r="861" ht="15.75" customHeight="1">
      <c r="BQ861" s="11"/>
      <c r="BR861" s="11"/>
      <c r="BS861" s="11"/>
      <c r="BT861" s="11"/>
      <c r="BU861" s="11"/>
      <c r="BV861" s="11"/>
      <c r="BW861" s="11"/>
      <c r="BX861" s="11"/>
      <c r="BY861" s="11"/>
      <c r="BZ861" s="11"/>
      <c r="CA861" s="11"/>
      <c r="CB861" s="11"/>
    </row>
    <row r="862" ht="15.75" customHeight="1">
      <c r="BQ862" s="11"/>
      <c r="BR862" s="11"/>
      <c r="BS862" s="11"/>
      <c r="BT862" s="11"/>
      <c r="BU862" s="11"/>
      <c r="BV862" s="11"/>
      <c r="BW862" s="11"/>
      <c r="BX862" s="11"/>
      <c r="BY862" s="11"/>
      <c r="BZ862" s="11"/>
      <c r="CA862" s="11"/>
      <c r="CB862" s="11"/>
    </row>
    <row r="863" ht="15.75" customHeight="1">
      <c r="BQ863" s="11"/>
      <c r="BR863" s="11"/>
      <c r="BS863" s="11"/>
      <c r="BT863" s="11"/>
      <c r="BU863" s="11"/>
      <c r="BV863" s="11"/>
      <c r="BW863" s="11"/>
      <c r="BX863" s="11"/>
      <c r="BY863" s="11"/>
      <c r="BZ863" s="11"/>
      <c r="CA863" s="11"/>
      <c r="CB863" s="11"/>
    </row>
    <row r="864" ht="15.75" customHeight="1">
      <c r="BQ864" s="11"/>
      <c r="BR864" s="11"/>
      <c r="BS864" s="11"/>
      <c r="BT864" s="11"/>
      <c r="BU864" s="11"/>
      <c r="BV864" s="11"/>
      <c r="BW864" s="11"/>
      <c r="BX864" s="11"/>
      <c r="BY864" s="11"/>
      <c r="BZ864" s="11"/>
      <c r="CA864" s="11"/>
      <c r="CB864" s="11"/>
    </row>
    <row r="865" ht="15.75" customHeight="1">
      <c r="BQ865" s="11"/>
      <c r="BR865" s="11"/>
      <c r="BS865" s="11"/>
      <c r="BT865" s="11"/>
      <c r="BU865" s="11"/>
      <c r="BV865" s="11"/>
      <c r="BW865" s="11"/>
      <c r="BX865" s="11"/>
      <c r="BY865" s="11"/>
      <c r="BZ865" s="11"/>
      <c r="CA865" s="11"/>
      <c r="CB865" s="11"/>
    </row>
    <row r="866" ht="15.75" customHeight="1">
      <c r="BQ866" s="11"/>
      <c r="BR866" s="11"/>
      <c r="BS866" s="11"/>
      <c r="BT866" s="11"/>
      <c r="BU866" s="11"/>
      <c r="BV866" s="11"/>
      <c r="BW866" s="11"/>
      <c r="BX866" s="11"/>
      <c r="BY866" s="11"/>
      <c r="BZ866" s="11"/>
      <c r="CA866" s="11"/>
      <c r="CB866" s="11"/>
    </row>
    <row r="867" ht="15.75" customHeight="1">
      <c r="BQ867" s="11"/>
      <c r="BR867" s="11"/>
      <c r="BS867" s="11"/>
      <c r="BT867" s="11"/>
      <c r="BU867" s="11"/>
      <c r="BV867" s="11"/>
      <c r="BW867" s="11"/>
      <c r="BX867" s="11"/>
      <c r="BY867" s="11"/>
      <c r="BZ867" s="11"/>
      <c r="CA867" s="11"/>
      <c r="CB867" s="11"/>
    </row>
    <row r="868" ht="15.75" customHeight="1">
      <c r="BQ868" s="11"/>
      <c r="BR868" s="11"/>
      <c r="BS868" s="11"/>
      <c r="BT868" s="11"/>
      <c r="BU868" s="11"/>
      <c r="BV868" s="11"/>
      <c r="BW868" s="11"/>
      <c r="BX868" s="11"/>
      <c r="BY868" s="11"/>
      <c r="BZ868" s="11"/>
      <c r="CA868" s="11"/>
      <c r="CB868" s="11"/>
    </row>
    <row r="869" ht="15.75" customHeight="1">
      <c r="BQ869" s="11"/>
      <c r="BR869" s="11"/>
      <c r="BS869" s="11"/>
      <c r="BT869" s="11"/>
      <c r="BU869" s="11"/>
      <c r="BV869" s="11"/>
      <c r="BW869" s="11"/>
      <c r="BX869" s="11"/>
      <c r="BY869" s="11"/>
      <c r="BZ869" s="11"/>
      <c r="CA869" s="11"/>
      <c r="CB869" s="11"/>
    </row>
    <row r="870" ht="15.75" customHeight="1">
      <c r="BQ870" s="11"/>
      <c r="BR870" s="11"/>
      <c r="BS870" s="11"/>
      <c r="BT870" s="11"/>
      <c r="BU870" s="11"/>
      <c r="BV870" s="11"/>
      <c r="BW870" s="11"/>
      <c r="BX870" s="11"/>
      <c r="BY870" s="11"/>
      <c r="BZ870" s="11"/>
      <c r="CA870" s="11"/>
      <c r="CB870" s="11"/>
    </row>
    <row r="871" ht="15.75" customHeight="1">
      <c r="BQ871" s="11"/>
      <c r="BR871" s="11"/>
      <c r="BS871" s="11"/>
      <c r="BT871" s="11"/>
      <c r="BU871" s="11"/>
      <c r="BV871" s="11"/>
      <c r="BW871" s="11"/>
      <c r="BX871" s="11"/>
      <c r="BY871" s="11"/>
      <c r="BZ871" s="11"/>
      <c r="CA871" s="11"/>
      <c r="CB871" s="11"/>
    </row>
    <row r="872" ht="15.75" customHeight="1">
      <c r="BQ872" s="11"/>
      <c r="BR872" s="11"/>
      <c r="BS872" s="11"/>
      <c r="BT872" s="11"/>
      <c r="BU872" s="11"/>
      <c r="BV872" s="11"/>
      <c r="BW872" s="11"/>
      <c r="BX872" s="11"/>
      <c r="BY872" s="11"/>
      <c r="BZ872" s="11"/>
      <c r="CA872" s="11"/>
      <c r="CB872" s="11"/>
    </row>
    <row r="873" ht="15.75" customHeight="1">
      <c r="BQ873" s="11"/>
      <c r="BR873" s="11"/>
      <c r="BS873" s="11"/>
      <c r="BT873" s="11"/>
      <c r="BU873" s="11"/>
      <c r="BV873" s="11"/>
      <c r="BW873" s="11"/>
      <c r="BX873" s="11"/>
      <c r="BY873" s="11"/>
      <c r="BZ873" s="11"/>
      <c r="CA873" s="11"/>
      <c r="CB873" s="11"/>
    </row>
    <row r="874" ht="15.75" customHeight="1">
      <c r="BQ874" s="11"/>
      <c r="BR874" s="11"/>
      <c r="BS874" s="11"/>
      <c r="BT874" s="11"/>
      <c r="BU874" s="11"/>
      <c r="BV874" s="11"/>
      <c r="BW874" s="11"/>
      <c r="BX874" s="11"/>
      <c r="BY874" s="11"/>
      <c r="BZ874" s="11"/>
      <c r="CA874" s="11"/>
      <c r="CB874" s="11"/>
    </row>
    <row r="875" ht="15.75" customHeight="1">
      <c r="BQ875" s="11"/>
      <c r="BR875" s="11"/>
      <c r="BS875" s="11"/>
      <c r="BT875" s="11"/>
      <c r="BU875" s="11"/>
      <c r="BV875" s="11"/>
      <c r="BW875" s="11"/>
      <c r="BX875" s="11"/>
      <c r="BY875" s="11"/>
      <c r="BZ875" s="11"/>
      <c r="CA875" s="11"/>
      <c r="CB875" s="11"/>
    </row>
    <row r="876" ht="15.75" customHeight="1">
      <c r="BQ876" s="11"/>
      <c r="BR876" s="11"/>
      <c r="BS876" s="11"/>
      <c r="BT876" s="11"/>
      <c r="BU876" s="11"/>
      <c r="BV876" s="11"/>
      <c r="BW876" s="11"/>
      <c r="BX876" s="11"/>
      <c r="BY876" s="11"/>
      <c r="BZ876" s="11"/>
      <c r="CA876" s="11"/>
      <c r="CB876" s="11"/>
    </row>
    <row r="877" ht="15.75" customHeight="1">
      <c r="BQ877" s="11"/>
      <c r="BR877" s="11"/>
      <c r="BS877" s="11"/>
      <c r="BT877" s="11"/>
      <c r="BU877" s="11"/>
      <c r="BV877" s="11"/>
      <c r="BW877" s="11"/>
      <c r="BX877" s="11"/>
      <c r="BY877" s="11"/>
      <c r="BZ877" s="11"/>
      <c r="CA877" s="11"/>
      <c r="CB877" s="11"/>
    </row>
    <row r="878" ht="15.75" customHeight="1">
      <c r="BQ878" s="11"/>
      <c r="BR878" s="11"/>
      <c r="BS878" s="11"/>
      <c r="BT878" s="11"/>
      <c r="BU878" s="11"/>
      <c r="BV878" s="11"/>
      <c r="BW878" s="11"/>
      <c r="BX878" s="11"/>
      <c r="BY878" s="11"/>
      <c r="BZ878" s="11"/>
      <c r="CA878" s="11"/>
      <c r="CB878" s="11"/>
    </row>
    <row r="879" ht="15.75" customHeight="1">
      <c r="BQ879" s="11"/>
      <c r="BR879" s="11"/>
      <c r="BS879" s="11"/>
      <c r="BT879" s="11"/>
      <c r="BU879" s="11"/>
      <c r="BV879" s="11"/>
      <c r="BW879" s="11"/>
      <c r="BX879" s="11"/>
      <c r="BY879" s="11"/>
      <c r="BZ879" s="11"/>
      <c r="CA879" s="11"/>
      <c r="CB879" s="11"/>
    </row>
    <row r="880" ht="15.75" customHeight="1">
      <c r="BQ880" s="11"/>
      <c r="BR880" s="11"/>
      <c r="BS880" s="11"/>
      <c r="BT880" s="11"/>
      <c r="BU880" s="11"/>
      <c r="BV880" s="11"/>
      <c r="BW880" s="11"/>
      <c r="BX880" s="11"/>
      <c r="BY880" s="11"/>
      <c r="BZ880" s="11"/>
      <c r="CA880" s="11"/>
      <c r="CB880" s="11"/>
    </row>
    <row r="881" ht="15.75" customHeight="1">
      <c r="BQ881" s="11"/>
      <c r="BR881" s="11"/>
      <c r="BS881" s="11"/>
      <c r="BT881" s="11"/>
      <c r="BU881" s="11"/>
      <c r="BV881" s="11"/>
      <c r="BW881" s="11"/>
      <c r="BX881" s="11"/>
      <c r="BY881" s="11"/>
      <c r="BZ881" s="11"/>
      <c r="CA881" s="11"/>
      <c r="CB881" s="11"/>
    </row>
    <row r="882" ht="15.75" customHeight="1">
      <c r="BQ882" s="11"/>
      <c r="BR882" s="11"/>
      <c r="BS882" s="11"/>
      <c r="BT882" s="11"/>
      <c r="BU882" s="11"/>
      <c r="BV882" s="11"/>
      <c r="BW882" s="11"/>
      <c r="BX882" s="11"/>
      <c r="BY882" s="11"/>
      <c r="BZ882" s="11"/>
      <c r="CA882" s="11"/>
      <c r="CB882" s="11"/>
    </row>
    <row r="883" ht="15.75" customHeight="1">
      <c r="BQ883" s="11"/>
      <c r="BR883" s="11"/>
      <c r="BS883" s="11"/>
      <c r="BT883" s="11"/>
      <c r="BU883" s="11"/>
      <c r="BV883" s="11"/>
      <c r="BW883" s="11"/>
      <c r="BX883" s="11"/>
      <c r="BY883" s="11"/>
      <c r="BZ883" s="11"/>
      <c r="CA883" s="11"/>
      <c r="CB883" s="11"/>
    </row>
    <row r="884" ht="15.75" customHeight="1">
      <c r="BQ884" s="11"/>
      <c r="BR884" s="11"/>
      <c r="BS884" s="11"/>
      <c r="BT884" s="11"/>
      <c r="BU884" s="11"/>
      <c r="BV884" s="11"/>
      <c r="BW884" s="11"/>
      <c r="BX884" s="11"/>
      <c r="BY884" s="11"/>
      <c r="BZ884" s="11"/>
      <c r="CA884" s="11"/>
      <c r="CB884" s="11"/>
    </row>
    <row r="885" ht="15.75" customHeight="1">
      <c r="BQ885" s="11"/>
      <c r="BR885" s="11"/>
      <c r="BS885" s="11"/>
      <c r="BT885" s="11"/>
      <c r="BU885" s="11"/>
      <c r="BV885" s="11"/>
      <c r="BW885" s="11"/>
      <c r="BX885" s="11"/>
      <c r="BY885" s="11"/>
      <c r="BZ885" s="11"/>
      <c r="CA885" s="11"/>
      <c r="CB885" s="11"/>
    </row>
    <row r="886" ht="15.75" customHeight="1">
      <c r="BQ886" s="11"/>
      <c r="BR886" s="11"/>
      <c r="BS886" s="11"/>
      <c r="BT886" s="11"/>
      <c r="BU886" s="11"/>
      <c r="BV886" s="11"/>
      <c r="BW886" s="11"/>
      <c r="BX886" s="11"/>
      <c r="BY886" s="11"/>
      <c r="BZ886" s="11"/>
      <c r="CA886" s="11"/>
      <c r="CB886" s="11"/>
    </row>
    <row r="887" ht="15.75" customHeight="1">
      <c r="BQ887" s="11"/>
      <c r="BR887" s="11"/>
      <c r="BS887" s="11"/>
      <c r="BT887" s="11"/>
      <c r="BU887" s="11"/>
      <c r="BV887" s="11"/>
      <c r="BW887" s="11"/>
      <c r="BX887" s="11"/>
      <c r="BY887" s="11"/>
      <c r="BZ887" s="11"/>
      <c r="CA887" s="11"/>
      <c r="CB887" s="11"/>
    </row>
    <row r="888" ht="15.75" customHeight="1">
      <c r="BQ888" s="11"/>
      <c r="BR888" s="11"/>
      <c r="BS888" s="11"/>
      <c r="BT888" s="11"/>
      <c r="BU888" s="11"/>
      <c r="BV888" s="11"/>
      <c r="BW888" s="11"/>
      <c r="BX888" s="11"/>
      <c r="BY888" s="11"/>
      <c r="BZ888" s="11"/>
      <c r="CA888" s="11"/>
      <c r="CB888" s="11"/>
    </row>
    <row r="889" ht="15.75" customHeight="1">
      <c r="BQ889" s="11"/>
      <c r="BR889" s="11"/>
      <c r="BS889" s="11"/>
      <c r="BT889" s="11"/>
      <c r="BU889" s="11"/>
      <c r="BV889" s="11"/>
      <c r="BW889" s="11"/>
      <c r="BX889" s="11"/>
      <c r="BY889" s="11"/>
      <c r="BZ889" s="11"/>
      <c r="CA889" s="11"/>
      <c r="CB889" s="11"/>
    </row>
    <row r="890" ht="15.75" customHeight="1">
      <c r="BQ890" s="11"/>
      <c r="BR890" s="11"/>
      <c r="BS890" s="11"/>
      <c r="BT890" s="11"/>
      <c r="BU890" s="11"/>
      <c r="BV890" s="11"/>
      <c r="BW890" s="11"/>
      <c r="BX890" s="11"/>
      <c r="BY890" s="11"/>
      <c r="BZ890" s="11"/>
      <c r="CA890" s="11"/>
      <c r="CB890" s="11"/>
    </row>
    <row r="891" ht="15.75" customHeight="1">
      <c r="BQ891" s="11"/>
      <c r="BR891" s="11"/>
      <c r="BS891" s="11"/>
      <c r="BT891" s="11"/>
      <c r="BU891" s="11"/>
      <c r="BV891" s="11"/>
      <c r="BW891" s="11"/>
      <c r="BX891" s="11"/>
      <c r="BY891" s="11"/>
      <c r="BZ891" s="11"/>
      <c r="CA891" s="11"/>
      <c r="CB891" s="11"/>
    </row>
    <row r="892" ht="15.75" customHeight="1">
      <c r="BQ892" s="11"/>
      <c r="BR892" s="11"/>
      <c r="BS892" s="11"/>
      <c r="BT892" s="11"/>
      <c r="BU892" s="11"/>
      <c r="BV892" s="11"/>
      <c r="BW892" s="11"/>
      <c r="BX892" s="11"/>
      <c r="BY892" s="11"/>
      <c r="BZ892" s="11"/>
      <c r="CA892" s="11"/>
      <c r="CB892" s="11"/>
    </row>
    <row r="893" ht="15.75" customHeight="1">
      <c r="BQ893" s="11"/>
      <c r="BR893" s="11"/>
      <c r="BS893" s="11"/>
      <c r="BT893" s="11"/>
      <c r="BU893" s="11"/>
      <c r="BV893" s="11"/>
      <c r="BW893" s="11"/>
      <c r="BX893" s="11"/>
      <c r="BY893" s="11"/>
      <c r="BZ893" s="11"/>
      <c r="CA893" s="11"/>
      <c r="CB893" s="11"/>
    </row>
    <row r="894" ht="15.75" customHeight="1">
      <c r="BQ894" s="11"/>
      <c r="BR894" s="11"/>
      <c r="BS894" s="11"/>
      <c r="BT894" s="11"/>
      <c r="BU894" s="11"/>
      <c r="BV894" s="11"/>
      <c r="BW894" s="11"/>
      <c r="BX894" s="11"/>
      <c r="BY894" s="11"/>
      <c r="BZ894" s="11"/>
      <c r="CA894" s="11"/>
      <c r="CB894" s="11"/>
    </row>
    <row r="895" ht="15.75" customHeight="1">
      <c r="BQ895" s="11"/>
      <c r="BR895" s="11"/>
      <c r="BS895" s="11"/>
      <c r="BT895" s="11"/>
      <c r="BU895" s="11"/>
      <c r="BV895" s="11"/>
      <c r="BW895" s="11"/>
      <c r="BX895" s="11"/>
      <c r="BY895" s="11"/>
      <c r="BZ895" s="11"/>
      <c r="CA895" s="11"/>
      <c r="CB895" s="11"/>
    </row>
    <row r="896" ht="15.75" customHeight="1">
      <c r="BQ896" s="11"/>
      <c r="BR896" s="11"/>
      <c r="BS896" s="11"/>
      <c r="BT896" s="11"/>
      <c r="BU896" s="11"/>
      <c r="BV896" s="11"/>
      <c r="BW896" s="11"/>
      <c r="BX896" s="11"/>
      <c r="BY896" s="11"/>
      <c r="BZ896" s="11"/>
      <c r="CA896" s="11"/>
      <c r="CB896" s="11"/>
    </row>
    <row r="897" ht="15.75" customHeight="1">
      <c r="BQ897" s="11"/>
      <c r="BR897" s="11"/>
      <c r="BS897" s="11"/>
      <c r="BT897" s="11"/>
      <c r="BU897" s="11"/>
      <c r="BV897" s="11"/>
      <c r="BW897" s="11"/>
      <c r="BX897" s="11"/>
      <c r="BY897" s="11"/>
      <c r="BZ897" s="11"/>
      <c r="CA897" s="11"/>
      <c r="CB897" s="11"/>
    </row>
    <row r="898" ht="15.75" customHeight="1">
      <c r="BQ898" s="11"/>
      <c r="BR898" s="11"/>
      <c r="BS898" s="11"/>
      <c r="BT898" s="11"/>
      <c r="BU898" s="11"/>
      <c r="BV898" s="11"/>
      <c r="BW898" s="11"/>
      <c r="BX898" s="11"/>
      <c r="BY898" s="11"/>
      <c r="BZ898" s="11"/>
      <c r="CA898" s="11"/>
      <c r="CB898" s="11"/>
    </row>
    <row r="899" ht="15.75" customHeight="1">
      <c r="BQ899" s="11"/>
      <c r="BR899" s="11"/>
      <c r="BS899" s="11"/>
      <c r="BT899" s="11"/>
      <c r="BU899" s="11"/>
      <c r="BV899" s="11"/>
      <c r="BW899" s="11"/>
      <c r="BX899" s="11"/>
      <c r="BY899" s="11"/>
      <c r="BZ899" s="11"/>
      <c r="CA899" s="11"/>
      <c r="CB899" s="11"/>
    </row>
    <row r="900" ht="15.75" customHeight="1">
      <c r="BQ900" s="11"/>
      <c r="BR900" s="11"/>
      <c r="BS900" s="11"/>
      <c r="BT900" s="11"/>
      <c r="BU900" s="11"/>
      <c r="BV900" s="11"/>
      <c r="BW900" s="11"/>
      <c r="BX900" s="11"/>
      <c r="BY900" s="11"/>
      <c r="BZ900" s="11"/>
      <c r="CA900" s="11"/>
      <c r="CB900" s="11"/>
    </row>
    <row r="901" ht="15.75" customHeight="1">
      <c r="BQ901" s="11"/>
      <c r="BR901" s="11"/>
      <c r="BS901" s="11"/>
      <c r="BT901" s="11"/>
      <c r="BU901" s="11"/>
      <c r="BV901" s="11"/>
      <c r="BW901" s="11"/>
      <c r="BX901" s="11"/>
      <c r="BY901" s="11"/>
      <c r="BZ901" s="11"/>
      <c r="CA901" s="11"/>
      <c r="CB901" s="11"/>
    </row>
    <row r="902" ht="15.75" customHeight="1">
      <c r="BQ902" s="11"/>
      <c r="BR902" s="11"/>
      <c r="BS902" s="11"/>
      <c r="BT902" s="11"/>
      <c r="BU902" s="11"/>
      <c r="BV902" s="11"/>
      <c r="BW902" s="11"/>
      <c r="BX902" s="11"/>
      <c r="BY902" s="11"/>
      <c r="BZ902" s="11"/>
      <c r="CA902" s="11"/>
      <c r="CB902" s="11"/>
    </row>
    <row r="903" ht="15.75" customHeight="1">
      <c r="BQ903" s="11"/>
      <c r="BR903" s="11"/>
      <c r="BS903" s="11"/>
      <c r="BT903" s="11"/>
      <c r="BU903" s="11"/>
      <c r="BV903" s="11"/>
      <c r="BW903" s="11"/>
      <c r="BX903" s="11"/>
      <c r="BY903" s="11"/>
      <c r="BZ903" s="11"/>
      <c r="CA903" s="11"/>
      <c r="CB903" s="11"/>
    </row>
    <row r="904" ht="15.75" customHeight="1">
      <c r="BQ904" s="11"/>
      <c r="BR904" s="11"/>
      <c r="BS904" s="11"/>
      <c r="BT904" s="11"/>
      <c r="BU904" s="11"/>
      <c r="BV904" s="11"/>
      <c r="BW904" s="11"/>
      <c r="BX904" s="11"/>
      <c r="BY904" s="11"/>
      <c r="BZ904" s="11"/>
      <c r="CA904" s="11"/>
      <c r="CB904" s="11"/>
    </row>
    <row r="905" ht="15.75" customHeight="1">
      <c r="BQ905" s="11"/>
      <c r="BR905" s="11"/>
      <c r="BS905" s="11"/>
      <c r="BT905" s="11"/>
      <c r="BU905" s="11"/>
      <c r="BV905" s="11"/>
      <c r="BW905" s="11"/>
      <c r="BX905" s="11"/>
      <c r="BY905" s="11"/>
      <c r="BZ905" s="11"/>
      <c r="CA905" s="11"/>
      <c r="CB905" s="11"/>
    </row>
    <row r="906" ht="15.75" customHeight="1">
      <c r="BQ906" s="11"/>
      <c r="BR906" s="11"/>
      <c r="BS906" s="11"/>
      <c r="BT906" s="11"/>
      <c r="BU906" s="11"/>
      <c r="BV906" s="11"/>
      <c r="BW906" s="11"/>
      <c r="BX906" s="11"/>
      <c r="BY906" s="11"/>
      <c r="BZ906" s="11"/>
      <c r="CA906" s="11"/>
      <c r="CB906" s="11"/>
    </row>
    <row r="907" ht="15.75" customHeight="1">
      <c r="BQ907" s="11"/>
      <c r="BR907" s="11"/>
      <c r="BS907" s="11"/>
      <c r="BT907" s="11"/>
      <c r="BU907" s="11"/>
      <c r="BV907" s="11"/>
      <c r="BW907" s="11"/>
      <c r="BX907" s="11"/>
      <c r="BY907" s="11"/>
      <c r="BZ907" s="11"/>
      <c r="CA907" s="11"/>
      <c r="CB907" s="11"/>
    </row>
    <row r="908" ht="15.75" customHeight="1">
      <c r="BQ908" s="11"/>
      <c r="BR908" s="11"/>
      <c r="BS908" s="11"/>
      <c r="BT908" s="11"/>
      <c r="BU908" s="11"/>
      <c r="BV908" s="11"/>
      <c r="BW908" s="11"/>
      <c r="BX908" s="11"/>
      <c r="BY908" s="11"/>
      <c r="BZ908" s="11"/>
      <c r="CA908" s="11"/>
      <c r="CB908" s="11"/>
    </row>
    <row r="909" ht="15.75" customHeight="1">
      <c r="BQ909" s="11"/>
      <c r="BR909" s="11"/>
      <c r="BS909" s="11"/>
      <c r="BT909" s="11"/>
      <c r="BU909" s="11"/>
      <c r="BV909" s="11"/>
      <c r="BW909" s="11"/>
      <c r="BX909" s="11"/>
      <c r="BY909" s="11"/>
      <c r="BZ909" s="11"/>
      <c r="CA909" s="11"/>
      <c r="CB909" s="11"/>
    </row>
    <row r="910" ht="15.75" customHeight="1">
      <c r="BQ910" s="11"/>
      <c r="BR910" s="11"/>
      <c r="BS910" s="11"/>
      <c r="BT910" s="11"/>
      <c r="BU910" s="11"/>
      <c r="BV910" s="11"/>
      <c r="BW910" s="11"/>
      <c r="BX910" s="11"/>
      <c r="BY910" s="11"/>
      <c r="BZ910" s="11"/>
      <c r="CA910" s="11"/>
      <c r="CB910" s="11"/>
    </row>
    <row r="911" ht="15.75" customHeight="1">
      <c r="BQ911" s="11"/>
      <c r="BR911" s="11"/>
      <c r="BS911" s="11"/>
      <c r="BT911" s="11"/>
      <c r="BU911" s="11"/>
      <c r="BV911" s="11"/>
      <c r="BW911" s="11"/>
      <c r="BX911" s="11"/>
      <c r="BY911" s="11"/>
      <c r="BZ911" s="11"/>
      <c r="CA911" s="11"/>
      <c r="CB911" s="11"/>
    </row>
    <row r="912" ht="15.75" customHeight="1">
      <c r="BQ912" s="11"/>
      <c r="BR912" s="11"/>
      <c r="BS912" s="11"/>
      <c r="BT912" s="11"/>
      <c r="BU912" s="11"/>
      <c r="BV912" s="11"/>
      <c r="BW912" s="11"/>
      <c r="BX912" s="11"/>
      <c r="BY912" s="11"/>
      <c r="BZ912" s="11"/>
      <c r="CA912" s="11"/>
      <c r="CB912" s="11"/>
    </row>
    <row r="913" ht="15.75" customHeight="1">
      <c r="BQ913" s="11"/>
      <c r="BR913" s="11"/>
      <c r="BS913" s="11"/>
      <c r="BT913" s="11"/>
      <c r="BU913" s="11"/>
      <c r="BV913" s="11"/>
      <c r="BW913" s="11"/>
      <c r="BX913" s="11"/>
      <c r="BY913" s="11"/>
      <c r="BZ913" s="11"/>
      <c r="CA913" s="11"/>
      <c r="CB913" s="11"/>
    </row>
    <row r="914" ht="15.75" customHeight="1">
      <c r="BQ914" s="11"/>
      <c r="BR914" s="11"/>
      <c r="BS914" s="11"/>
      <c r="BT914" s="11"/>
      <c r="BU914" s="11"/>
      <c r="BV914" s="11"/>
      <c r="BW914" s="11"/>
      <c r="BX914" s="11"/>
      <c r="BY914" s="11"/>
      <c r="BZ914" s="11"/>
      <c r="CA914" s="11"/>
      <c r="CB914" s="11"/>
    </row>
    <row r="915" ht="15.75" customHeight="1">
      <c r="BQ915" s="11"/>
      <c r="BR915" s="11"/>
      <c r="BS915" s="11"/>
      <c r="BT915" s="11"/>
      <c r="BU915" s="11"/>
      <c r="BV915" s="11"/>
      <c r="BW915" s="11"/>
      <c r="BX915" s="11"/>
      <c r="BY915" s="11"/>
      <c r="BZ915" s="11"/>
      <c r="CA915" s="11"/>
      <c r="CB915" s="11"/>
    </row>
    <row r="916" ht="15.75" customHeight="1">
      <c r="BQ916" s="11"/>
      <c r="BR916" s="11"/>
      <c r="BS916" s="11"/>
      <c r="BT916" s="11"/>
      <c r="BU916" s="11"/>
      <c r="BV916" s="11"/>
      <c r="BW916" s="11"/>
      <c r="BX916" s="11"/>
      <c r="BY916" s="11"/>
      <c r="BZ916" s="11"/>
      <c r="CA916" s="11"/>
      <c r="CB916" s="11"/>
    </row>
    <row r="917" ht="15.75" customHeight="1">
      <c r="BQ917" s="11"/>
      <c r="BR917" s="11"/>
      <c r="BS917" s="11"/>
      <c r="BT917" s="11"/>
      <c r="BU917" s="11"/>
      <c r="BV917" s="11"/>
      <c r="BW917" s="11"/>
      <c r="BX917" s="11"/>
      <c r="BY917" s="11"/>
      <c r="BZ917" s="11"/>
      <c r="CA917" s="11"/>
      <c r="CB917" s="11"/>
    </row>
    <row r="918" ht="15.75" customHeight="1">
      <c r="BQ918" s="11"/>
      <c r="BR918" s="11"/>
      <c r="BS918" s="11"/>
      <c r="BT918" s="11"/>
      <c r="BU918" s="11"/>
      <c r="BV918" s="11"/>
      <c r="BW918" s="11"/>
      <c r="BX918" s="11"/>
      <c r="BY918" s="11"/>
      <c r="BZ918" s="11"/>
      <c r="CA918" s="11"/>
      <c r="CB918" s="11"/>
    </row>
    <row r="919" ht="15.75" customHeight="1">
      <c r="BQ919" s="11"/>
      <c r="BR919" s="11"/>
      <c r="BS919" s="11"/>
      <c r="BT919" s="11"/>
      <c r="BU919" s="11"/>
      <c r="BV919" s="11"/>
      <c r="BW919" s="11"/>
      <c r="BX919" s="11"/>
      <c r="BY919" s="11"/>
      <c r="BZ919" s="11"/>
      <c r="CA919" s="11"/>
      <c r="CB919" s="11"/>
    </row>
    <row r="920" ht="15.75" customHeight="1">
      <c r="BQ920" s="11"/>
      <c r="BR920" s="11"/>
      <c r="BS920" s="11"/>
      <c r="BT920" s="11"/>
      <c r="BU920" s="11"/>
      <c r="BV920" s="11"/>
      <c r="BW920" s="11"/>
      <c r="BX920" s="11"/>
      <c r="BY920" s="11"/>
      <c r="BZ920" s="11"/>
      <c r="CA920" s="11"/>
      <c r="CB920" s="11"/>
    </row>
    <row r="921" ht="15.75" customHeight="1">
      <c r="BQ921" s="11"/>
      <c r="BR921" s="11"/>
      <c r="BS921" s="11"/>
      <c r="BT921" s="11"/>
      <c r="BU921" s="11"/>
      <c r="BV921" s="11"/>
      <c r="BW921" s="11"/>
      <c r="BX921" s="11"/>
      <c r="BY921" s="11"/>
      <c r="BZ921" s="11"/>
      <c r="CA921" s="11"/>
      <c r="CB921" s="11"/>
    </row>
    <row r="922" ht="15.75" customHeight="1">
      <c r="BQ922" s="11"/>
      <c r="BR922" s="11"/>
      <c r="BS922" s="11"/>
      <c r="BT922" s="11"/>
      <c r="BU922" s="11"/>
      <c r="BV922" s="11"/>
      <c r="BW922" s="11"/>
      <c r="BX922" s="11"/>
      <c r="BY922" s="11"/>
      <c r="BZ922" s="11"/>
      <c r="CA922" s="11"/>
      <c r="CB922" s="11"/>
    </row>
    <row r="923" ht="15.75" customHeight="1">
      <c r="BQ923" s="11"/>
      <c r="BR923" s="11"/>
      <c r="BS923" s="11"/>
      <c r="BT923" s="11"/>
      <c r="BU923" s="11"/>
      <c r="BV923" s="11"/>
      <c r="BW923" s="11"/>
      <c r="BX923" s="11"/>
      <c r="BY923" s="11"/>
      <c r="BZ923" s="11"/>
      <c r="CA923" s="11"/>
      <c r="CB923" s="11"/>
    </row>
    <row r="924" ht="15.75" customHeight="1">
      <c r="BQ924" s="11"/>
      <c r="BR924" s="11"/>
      <c r="BS924" s="11"/>
      <c r="BT924" s="11"/>
      <c r="BU924" s="11"/>
      <c r="BV924" s="11"/>
      <c r="BW924" s="11"/>
      <c r="BX924" s="11"/>
      <c r="BY924" s="11"/>
      <c r="BZ924" s="11"/>
      <c r="CA924" s="11"/>
      <c r="CB924" s="11"/>
    </row>
    <row r="925" ht="15.75" customHeight="1">
      <c r="BQ925" s="11"/>
      <c r="BR925" s="11"/>
      <c r="BS925" s="11"/>
      <c r="BT925" s="11"/>
      <c r="BU925" s="11"/>
      <c r="BV925" s="11"/>
      <c r="BW925" s="11"/>
      <c r="BX925" s="11"/>
      <c r="BY925" s="11"/>
      <c r="BZ925" s="11"/>
      <c r="CA925" s="11"/>
      <c r="CB925" s="11"/>
    </row>
    <row r="926" ht="15.75" customHeight="1">
      <c r="BQ926" s="11"/>
      <c r="BR926" s="11"/>
      <c r="BS926" s="11"/>
      <c r="BT926" s="11"/>
      <c r="BU926" s="11"/>
      <c r="BV926" s="11"/>
      <c r="BW926" s="11"/>
      <c r="BX926" s="11"/>
      <c r="BY926" s="11"/>
      <c r="BZ926" s="11"/>
      <c r="CA926" s="11"/>
      <c r="CB926" s="11"/>
    </row>
    <row r="927" ht="15.75" customHeight="1">
      <c r="BQ927" s="11"/>
      <c r="BR927" s="11"/>
      <c r="BS927" s="11"/>
      <c r="BT927" s="11"/>
      <c r="BU927" s="11"/>
      <c r="BV927" s="11"/>
      <c r="BW927" s="11"/>
      <c r="BX927" s="11"/>
      <c r="BY927" s="11"/>
      <c r="BZ927" s="11"/>
      <c r="CA927" s="11"/>
      <c r="CB927" s="11"/>
    </row>
    <row r="928" ht="15.75" customHeight="1">
      <c r="BQ928" s="11"/>
      <c r="BR928" s="11"/>
      <c r="BS928" s="11"/>
      <c r="BT928" s="11"/>
      <c r="BU928" s="11"/>
      <c r="BV928" s="11"/>
      <c r="BW928" s="11"/>
      <c r="BX928" s="11"/>
      <c r="BY928" s="11"/>
      <c r="BZ928" s="11"/>
      <c r="CA928" s="11"/>
      <c r="CB928" s="11"/>
    </row>
    <row r="929" ht="15.75" customHeight="1">
      <c r="BQ929" s="11"/>
      <c r="BR929" s="11"/>
      <c r="BS929" s="11"/>
      <c r="BT929" s="11"/>
      <c r="BU929" s="11"/>
      <c r="BV929" s="11"/>
      <c r="BW929" s="11"/>
      <c r="BX929" s="11"/>
      <c r="BY929" s="11"/>
      <c r="BZ929" s="11"/>
      <c r="CA929" s="11"/>
      <c r="CB929" s="11"/>
    </row>
    <row r="930" ht="15.75" customHeight="1">
      <c r="BQ930" s="11"/>
      <c r="BR930" s="11"/>
      <c r="BS930" s="11"/>
      <c r="BT930" s="11"/>
      <c r="BU930" s="11"/>
      <c r="BV930" s="11"/>
      <c r="BW930" s="11"/>
      <c r="BX930" s="11"/>
      <c r="BY930" s="11"/>
      <c r="BZ930" s="11"/>
      <c r="CA930" s="11"/>
      <c r="CB930" s="11"/>
    </row>
    <row r="931" ht="15.75" customHeight="1">
      <c r="BQ931" s="11"/>
      <c r="BR931" s="11"/>
      <c r="BS931" s="11"/>
      <c r="BT931" s="11"/>
      <c r="BU931" s="11"/>
      <c r="BV931" s="11"/>
      <c r="BW931" s="11"/>
      <c r="BX931" s="11"/>
      <c r="BY931" s="11"/>
      <c r="BZ931" s="11"/>
      <c r="CA931" s="11"/>
      <c r="CB931" s="11"/>
    </row>
    <row r="932" ht="15.75" customHeight="1">
      <c r="BQ932" s="11"/>
      <c r="BR932" s="11"/>
      <c r="BS932" s="11"/>
      <c r="BT932" s="11"/>
      <c r="BU932" s="11"/>
      <c r="BV932" s="11"/>
      <c r="BW932" s="11"/>
      <c r="BX932" s="11"/>
      <c r="BY932" s="11"/>
      <c r="BZ932" s="11"/>
      <c r="CA932" s="11"/>
      <c r="CB932" s="11"/>
    </row>
    <row r="933" ht="15.75" customHeight="1">
      <c r="BQ933" s="11"/>
      <c r="BR933" s="11"/>
      <c r="BS933" s="11"/>
      <c r="BT933" s="11"/>
      <c r="BU933" s="11"/>
      <c r="BV933" s="11"/>
      <c r="BW933" s="11"/>
      <c r="BX933" s="11"/>
      <c r="BY933" s="11"/>
      <c r="BZ933" s="11"/>
      <c r="CA933" s="11"/>
      <c r="CB933" s="11"/>
    </row>
    <row r="934" ht="15.75" customHeight="1">
      <c r="BQ934" s="11"/>
      <c r="BR934" s="11"/>
      <c r="BS934" s="11"/>
      <c r="BT934" s="11"/>
      <c r="BU934" s="11"/>
      <c r="BV934" s="11"/>
      <c r="BW934" s="11"/>
      <c r="BX934" s="11"/>
      <c r="BY934" s="11"/>
      <c r="BZ934" s="11"/>
      <c r="CA934" s="11"/>
      <c r="CB934" s="11"/>
    </row>
    <row r="935" ht="15.75" customHeight="1">
      <c r="BQ935" s="11"/>
      <c r="BR935" s="11"/>
      <c r="BS935" s="11"/>
      <c r="BT935" s="11"/>
      <c r="BU935" s="11"/>
      <c r="BV935" s="11"/>
      <c r="BW935" s="11"/>
      <c r="BX935" s="11"/>
      <c r="BY935" s="11"/>
      <c r="BZ935" s="11"/>
      <c r="CA935" s="11"/>
      <c r="CB935" s="11"/>
    </row>
    <row r="936" ht="15.75" customHeight="1">
      <c r="BQ936" s="11"/>
      <c r="BR936" s="11"/>
      <c r="BS936" s="11"/>
      <c r="BT936" s="11"/>
      <c r="BU936" s="11"/>
      <c r="BV936" s="11"/>
      <c r="BW936" s="11"/>
      <c r="BX936" s="11"/>
      <c r="BY936" s="11"/>
      <c r="BZ936" s="11"/>
      <c r="CA936" s="11"/>
      <c r="CB936" s="11"/>
    </row>
    <row r="937" ht="15.75" customHeight="1">
      <c r="BQ937" s="11"/>
      <c r="BR937" s="11"/>
      <c r="BS937" s="11"/>
      <c r="BT937" s="11"/>
      <c r="BU937" s="11"/>
      <c r="BV937" s="11"/>
      <c r="BW937" s="11"/>
      <c r="BX937" s="11"/>
      <c r="BY937" s="11"/>
      <c r="BZ937" s="11"/>
      <c r="CA937" s="11"/>
      <c r="CB937" s="11"/>
    </row>
    <row r="938" ht="15.75" customHeight="1">
      <c r="BQ938" s="11"/>
      <c r="BR938" s="11"/>
      <c r="BS938" s="11"/>
      <c r="BT938" s="11"/>
      <c r="BU938" s="11"/>
      <c r="BV938" s="11"/>
      <c r="BW938" s="11"/>
      <c r="BX938" s="11"/>
      <c r="BY938" s="11"/>
      <c r="BZ938" s="11"/>
      <c r="CA938" s="11"/>
      <c r="CB938" s="11"/>
    </row>
    <row r="939" ht="15.75" customHeight="1">
      <c r="BQ939" s="11"/>
      <c r="BR939" s="11"/>
      <c r="BS939" s="11"/>
      <c r="BT939" s="11"/>
      <c r="BU939" s="11"/>
      <c r="BV939" s="11"/>
      <c r="BW939" s="11"/>
      <c r="BX939" s="11"/>
      <c r="BY939" s="11"/>
      <c r="BZ939" s="11"/>
      <c r="CA939" s="11"/>
      <c r="CB939" s="11"/>
    </row>
    <row r="940" ht="15.75" customHeight="1">
      <c r="BQ940" s="11"/>
      <c r="BR940" s="11"/>
      <c r="BS940" s="11"/>
      <c r="BT940" s="11"/>
      <c r="BU940" s="11"/>
      <c r="BV940" s="11"/>
      <c r="BW940" s="11"/>
      <c r="BX940" s="11"/>
      <c r="BY940" s="11"/>
      <c r="BZ940" s="11"/>
      <c r="CA940" s="11"/>
      <c r="CB940" s="11"/>
    </row>
    <row r="941" ht="15.75" customHeight="1">
      <c r="BQ941" s="11"/>
      <c r="BR941" s="11"/>
      <c r="BS941" s="11"/>
      <c r="BT941" s="11"/>
      <c r="BU941" s="11"/>
      <c r="BV941" s="11"/>
      <c r="BW941" s="11"/>
      <c r="BX941" s="11"/>
      <c r="BY941" s="11"/>
      <c r="BZ941" s="11"/>
      <c r="CA941" s="11"/>
      <c r="CB941" s="11"/>
    </row>
    <row r="942" ht="15.75" customHeight="1">
      <c r="BQ942" s="11"/>
      <c r="BR942" s="11"/>
      <c r="BS942" s="11"/>
      <c r="BT942" s="11"/>
      <c r="BU942" s="11"/>
      <c r="BV942" s="11"/>
      <c r="BW942" s="11"/>
      <c r="BX942" s="11"/>
      <c r="BY942" s="11"/>
      <c r="BZ942" s="11"/>
      <c r="CA942" s="11"/>
      <c r="CB942" s="11"/>
    </row>
    <row r="943" ht="15.75" customHeight="1">
      <c r="BQ943" s="11"/>
      <c r="BR943" s="11"/>
      <c r="BS943" s="11"/>
      <c r="BT943" s="11"/>
      <c r="BU943" s="11"/>
      <c r="BV943" s="11"/>
      <c r="BW943" s="11"/>
      <c r="BX943" s="11"/>
      <c r="BY943" s="11"/>
      <c r="BZ943" s="11"/>
      <c r="CA943" s="11"/>
      <c r="CB943" s="11"/>
    </row>
    <row r="944" ht="15.75" customHeight="1">
      <c r="BQ944" s="11"/>
      <c r="BR944" s="11"/>
      <c r="BS944" s="11"/>
      <c r="BT944" s="11"/>
      <c r="BU944" s="11"/>
      <c r="BV944" s="11"/>
      <c r="BW944" s="11"/>
      <c r="BX944" s="11"/>
      <c r="BY944" s="11"/>
      <c r="BZ944" s="11"/>
      <c r="CA944" s="11"/>
      <c r="CB944" s="11"/>
    </row>
    <row r="945" ht="15.75" customHeight="1">
      <c r="BQ945" s="11"/>
      <c r="BR945" s="11"/>
      <c r="BS945" s="11"/>
      <c r="BT945" s="11"/>
      <c r="BU945" s="11"/>
      <c r="BV945" s="11"/>
      <c r="BW945" s="11"/>
      <c r="BX945" s="11"/>
      <c r="BY945" s="11"/>
      <c r="BZ945" s="11"/>
      <c r="CA945" s="11"/>
      <c r="CB945" s="11"/>
    </row>
    <row r="946" ht="15.75" customHeight="1">
      <c r="BQ946" s="11"/>
      <c r="BR946" s="11"/>
      <c r="BS946" s="11"/>
      <c r="BT946" s="11"/>
      <c r="BU946" s="11"/>
      <c r="BV946" s="11"/>
      <c r="BW946" s="11"/>
      <c r="BX946" s="11"/>
      <c r="BY946" s="11"/>
      <c r="BZ946" s="11"/>
      <c r="CA946" s="11"/>
      <c r="CB946" s="11"/>
    </row>
    <row r="947" ht="15.75" customHeight="1">
      <c r="BQ947" s="11"/>
      <c r="BR947" s="11"/>
      <c r="BS947" s="11"/>
      <c r="BT947" s="11"/>
      <c r="BU947" s="11"/>
      <c r="BV947" s="11"/>
      <c r="BW947" s="11"/>
      <c r="BX947" s="11"/>
      <c r="BY947" s="11"/>
      <c r="BZ947" s="11"/>
      <c r="CA947" s="11"/>
      <c r="CB947" s="11"/>
    </row>
    <row r="948" ht="15.75" customHeight="1">
      <c r="BQ948" s="11"/>
      <c r="BR948" s="11"/>
      <c r="BS948" s="11"/>
      <c r="BT948" s="11"/>
      <c r="BU948" s="11"/>
      <c r="BV948" s="11"/>
      <c r="BW948" s="11"/>
      <c r="BX948" s="11"/>
      <c r="BY948" s="11"/>
      <c r="BZ948" s="11"/>
      <c r="CA948" s="11"/>
      <c r="CB948" s="11"/>
    </row>
    <row r="949" ht="15.75" customHeight="1">
      <c r="BQ949" s="11"/>
      <c r="BR949" s="11"/>
      <c r="BS949" s="11"/>
      <c r="BT949" s="11"/>
      <c r="BU949" s="11"/>
      <c r="BV949" s="11"/>
      <c r="BW949" s="11"/>
      <c r="BX949" s="11"/>
      <c r="BY949" s="11"/>
      <c r="BZ949" s="11"/>
      <c r="CA949" s="11"/>
      <c r="CB949" s="11"/>
    </row>
    <row r="950" ht="15.75" customHeight="1">
      <c r="BQ950" s="11"/>
      <c r="BR950" s="11"/>
      <c r="BS950" s="11"/>
      <c r="BT950" s="11"/>
      <c r="BU950" s="11"/>
      <c r="BV950" s="11"/>
      <c r="BW950" s="11"/>
      <c r="BX950" s="11"/>
      <c r="BY950" s="11"/>
      <c r="BZ950" s="11"/>
      <c r="CA950" s="11"/>
      <c r="CB950" s="11"/>
    </row>
    <row r="951" ht="15.75" customHeight="1">
      <c r="BQ951" s="11"/>
      <c r="BR951" s="11"/>
      <c r="BS951" s="11"/>
      <c r="BT951" s="11"/>
      <c r="BU951" s="11"/>
      <c r="BV951" s="11"/>
      <c r="BW951" s="11"/>
      <c r="BX951" s="11"/>
      <c r="BY951" s="11"/>
      <c r="BZ951" s="11"/>
      <c r="CA951" s="11"/>
      <c r="CB951" s="11"/>
    </row>
    <row r="952" ht="15.75" customHeight="1">
      <c r="BQ952" s="11"/>
      <c r="BR952" s="11"/>
      <c r="BS952" s="11"/>
      <c r="BT952" s="11"/>
      <c r="BU952" s="11"/>
      <c r="BV952" s="11"/>
      <c r="BW952" s="11"/>
      <c r="BX952" s="11"/>
      <c r="BY952" s="11"/>
      <c r="BZ952" s="11"/>
      <c r="CA952" s="11"/>
      <c r="CB952" s="11"/>
    </row>
    <row r="953" ht="15.75" customHeight="1">
      <c r="BQ953" s="11"/>
      <c r="BR953" s="11"/>
      <c r="BS953" s="11"/>
      <c r="BT953" s="11"/>
      <c r="BU953" s="11"/>
      <c r="BV953" s="11"/>
      <c r="BW953" s="11"/>
      <c r="BX953" s="11"/>
      <c r="BY953" s="11"/>
      <c r="BZ953" s="11"/>
      <c r="CA953" s="11"/>
      <c r="CB953" s="11"/>
    </row>
    <row r="954" ht="15.75" customHeight="1">
      <c r="BQ954" s="11"/>
      <c r="BR954" s="11"/>
      <c r="BS954" s="11"/>
      <c r="BT954" s="11"/>
      <c r="BU954" s="11"/>
      <c r="BV954" s="11"/>
      <c r="BW954" s="11"/>
      <c r="BX954" s="11"/>
      <c r="BY954" s="11"/>
      <c r="BZ954" s="11"/>
      <c r="CA954" s="11"/>
      <c r="CB954" s="11"/>
    </row>
    <row r="955" ht="15.75" customHeight="1">
      <c r="BQ955" s="11"/>
      <c r="BR955" s="11"/>
      <c r="BS955" s="11"/>
      <c r="BT955" s="11"/>
      <c r="BU955" s="11"/>
      <c r="BV955" s="11"/>
      <c r="BW955" s="11"/>
      <c r="BX955" s="11"/>
      <c r="BY955" s="11"/>
      <c r="BZ955" s="11"/>
      <c r="CA955" s="11"/>
      <c r="CB955" s="11"/>
    </row>
    <row r="956" ht="15.75" customHeight="1">
      <c r="BQ956" s="11"/>
      <c r="BR956" s="11"/>
      <c r="BS956" s="11"/>
      <c r="BT956" s="11"/>
      <c r="BU956" s="11"/>
      <c r="BV956" s="11"/>
      <c r="BW956" s="11"/>
      <c r="BX956" s="11"/>
      <c r="BY956" s="11"/>
      <c r="BZ956" s="11"/>
      <c r="CA956" s="11"/>
      <c r="CB956" s="11"/>
    </row>
    <row r="957" ht="15.75" customHeight="1">
      <c r="BQ957" s="11"/>
      <c r="BR957" s="11"/>
      <c r="BS957" s="11"/>
      <c r="BT957" s="11"/>
      <c r="BU957" s="11"/>
      <c r="BV957" s="11"/>
      <c r="BW957" s="11"/>
      <c r="BX957" s="11"/>
      <c r="BY957" s="11"/>
      <c r="BZ957" s="11"/>
      <c r="CA957" s="11"/>
      <c r="CB957" s="11"/>
    </row>
    <row r="958" ht="15.75" customHeight="1">
      <c r="BQ958" s="11"/>
      <c r="BR958" s="11"/>
      <c r="BS958" s="11"/>
      <c r="BT958" s="11"/>
      <c r="BU958" s="11"/>
      <c r="BV958" s="11"/>
      <c r="BW958" s="11"/>
      <c r="BX958" s="11"/>
      <c r="BY958" s="11"/>
      <c r="BZ958" s="11"/>
      <c r="CA958" s="11"/>
      <c r="CB958" s="11"/>
    </row>
    <row r="959" ht="15.75" customHeight="1">
      <c r="BQ959" s="11"/>
      <c r="BR959" s="11"/>
      <c r="BS959" s="11"/>
      <c r="BT959" s="11"/>
      <c r="BU959" s="11"/>
      <c r="BV959" s="11"/>
      <c r="BW959" s="11"/>
      <c r="BX959" s="11"/>
      <c r="BY959" s="11"/>
      <c r="BZ959" s="11"/>
      <c r="CA959" s="11"/>
      <c r="CB959" s="11"/>
    </row>
    <row r="960" ht="15.75" customHeight="1">
      <c r="BQ960" s="11"/>
      <c r="BR960" s="11"/>
      <c r="BS960" s="11"/>
      <c r="BT960" s="11"/>
      <c r="BU960" s="11"/>
      <c r="BV960" s="11"/>
      <c r="BW960" s="11"/>
      <c r="BX960" s="11"/>
      <c r="BY960" s="11"/>
      <c r="BZ960" s="11"/>
      <c r="CA960" s="11"/>
      <c r="CB960" s="11"/>
    </row>
    <row r="961" ht="15.75" customHeight="1">
      <c r="BQ961" s="11"/>
      <c r="BR961" s="11"/>
      <c r="BS961" s="11"/>
      <c r="BT961" s="11"/>
      <c r="BU961" s="11"/>
      <c r="BV961" s="11"/>
      <c r="BW961" s="11"/>
      <c r="BX961" s="11"/>
      <c r="BY961" s="11"/>
      <c r="BZ961" s="11"/>
      <c r="CA961" s="11"/>
      <c r="CB961" s="11"/>
    </row>
    <row r="962" ht="15.75" customHeight="1">
      <c r="BQ962" s="11"/>
      <c r="BR962" s="11"/>
      <c r="BS962" s="11"/>
      <c r="BT962" s="11"/>
      <c r="BU962" s="11"/>
      <c r="BV962" s="11"/>
      <c r="BW962" s="11"/>
      <c r="BX962" s="11"/>
      <c r="BY962" s="11"/>
      <c r="BZ962" s="11"/>
      <c r="CA962" s="11"/>
      <c r="CB962" s="11"/>
    </row>
    <row r="963" ht="15.75" customHeight="1">
      <c r="BQ963" s="11"/>
      <c r="BR963" s="11"/>
      <c r="BS963" s="11"/>
      <c r="BT963" s="11"/>
      <c r="BU963" s="11"/>
      <c r="BV963" s="11"/>
      <c r="BW963" s="11"/>
      <c r="BX963" s="11"/>
      <c r="BY963" s="11"/>
      <c r="BZ963" s="11"/>
      <c r="CA963" s="11"/>
      <c r="CB963" s="11"/>
    </row>
    <row r="964" ht="15.75" customHeight="1">
      <c r="BQ964" s="11"/>
      <c r="BR964" s="11"/>
      <c r="BS964" s="11"/>
      <c r="BT964" s="11"/>
      <c r="BU964" s="11"/>
      <c r="BV964" s="11"/>
      <c r="BW964" s="11"/>
      <c r="BX964" s="11"/>
      <c r="BY964" s="11"/>
      <c r="BZ964" s="11"/>
      <c r="CA964" s="11"/>
      <c r="CB964" s="11"/>
    </row>
    <row r="965" ht="15.75" customHeight="1">
      <c r="BQ965" s="11"/>
      <c r="BR965" s="11"/>
      <c r="BS965" s="11"/>
      <c r="BT965" s="11"/>
      <c r="BU965" s="11"/>
      <c r="BV965" s="11"/>
      <c r="BW965" s="11"/>
      <c r="BX965" s="11"/>
      <c r="BY965" s="11"/>
      <c r="BZ965" s="11"/>
      <c r="CA965" s="11"/>
      <c r="CB965" s="11"/>
    </row>
    <row r="966" ht="15.75" customHeight="1">
      <c r="BQ966" s="11"/>
      <c r="BR966" s="11"/>
      <c r="BS966" s="11"/>
      <c r="BT966" s="11"/>
      <c r="BU966" s="11"/>
      <c r="BV966" s="11"/>
      <c r="BW966" s="11"/>
      <c r="BX966" s="11"/>
      <c r="BY966" s="11"/>
      <c r="BZ966" s="11"/>
      <c r="CA966" s="11"/>
      <c r="CB966" s="11"/>
    </row>
    <row r="967" ht="15.75" customHeight="1">
      <c r="BQ967" s="11"/>
      <c r="BR967" s="11"/>
      <c r="BS967" s="11"/>
      <c r="BT967" s="11"/>
      <c r="BU967" s="11"/>
      <c r="BV967" s="11"/>
      <c r="BW967" s="11"/>
      <c r="BX967" s="11"/>
      <c r="BY967" s="11"/>
      <c r="BZ967" s="11"/>
      <c r="CA967" s="11"/>
      <c r="CB967" s="11"/>
    </row>
    <row r="968" ht="15.75" customHeight="1">
      <c r="BQ968" s="11"/>
      <c r="BR968" s="11"/>
      <c r="BS968" s="11"/>
      <c r="BT968" s="11"/>
      <c r="BU968" s="11"/>
      <c r="BV968" s="11"/>
      <c r="BW968" s="11"/>
      <c r="BX968" s="11"/>
      <c r="BY968" s="11"/>
      <c r="BZ968" s="11"/>
      <c r="CA968" s="11"/>
      <c r="CB968" s="11"/>
    </row>
    <row r="969" ht="15.75" customHeight="1">
      <c r="BQ969" s="11"/>
      <c r="BR969" s="11"/>
      <c r="BS969" s="11"/>
      <c r="BT969" s="11"/>
      <c r="BU969" s="11"/>
      <c r="BV969" s="11"/>
      <c r="BW969" s="11"/>
      <c r="BX969" s="11"/>
      <c r="BY969" s="11"/>
      <c r="BZ969" s="11"/>
      <c r="CA969" s="11"/>
      <c r="CB969" s="11"/>
    </row>
    <row r="970" ht="15.75" customHeight="1">
      <c r="BQ970" s="11"/>
      <c r="BR970" s="11"/>
      <c r="BS970" s="11"/>
      <c r="BT970" s="11"/>
      <c r="BU970" s="11"/>
      <c r="BV970" s="11"/>
      <c r="BW970" s="11"/>
      <c r="BX970" s="11"/>
      <c r="BY970" s="11"/>
      <c r="BZ970" s="11"/>
      <c r="CA970" s="11"/>
      <c r="CB970" s="11"/>
    </row>
    <row r="971" ht="15.75" customHeight="1">
      <c r="BQ971" s="11"/>
      <c r="BR971" s="11"/>
      <c r="BS971" s="11"/>
      <c r="BT971" s="11"/>
      <c r="BU971" s="11"/>
      <c r="BV971" s="11"/>
      <c r="BW971" s="11"/>
      <c r="BX971" s="11"/>
      <c r="BY971" s="11"/>
      <c r="BZ971" s="11"/>
      <c r="CA971" s="11"/>
      <c r="CB971" s="11"/>
    </row>
    <row r="972" ht="15.75" customHeight="1">
      <c r="BQ972" s="11"/>
      <c r="BR972" s="11"/>
      <c r="BS972" s="11"/>
      <c r="BT972" s="11"/>
      <c r="BU972" s="11"/>
      <c r="BV972" s="11"/>
      <c r="BW972" s="11"/>
      <c r="BX972" s="11"/>
      <c r="BY972" s="11"/>
      <c r="BZ972" s="11"/>
      <c r="CA972" s="11"/>
      <c r="CB972" s="11"/>
    </row>
    <row r="973" ht="15.75" customHeight="1">
      <c r="BQ973" s="11"/>
      <c r="BR973" s="11"/>
      <c r="BS973" s="11"/>
      <c r="BT973" s="11"/>
      <c r="BU973" s="11"/>
      <c r="BV973" s="11"/>
      <c r="BW973" s="11"/>
      <c r="BX973" s="11"/>
      <c r="BY973" s="11"/>
      <c r="BZ973" s="11"/>
      <c r="CA973" s="11"/>
      <c r="CB973" s="11"/>
    </row>
    <row r="974" ht="15.75" customHeight="1">
      <c r="BQ974" s="11"/>
      <c r="BR974" s="11"/>
      <c r="BS974" s="11"/>
      <c r="BT974" s="11"/>
      <c r="BU974" s="11"/>
      <c r="BV974" s="11"/>
      <c r="BW974" s="11"/>
      <c r="BX974" s="11"/>
      <c r="BY974" s="11"/>
      <c r="BZ974" s="11"/>
      <c r="CA974" s="11"/>
      <c r="CB974" s="11"/>
    </row>
    <row r="975" ht="15.75" customHeight="1">
      <c r="BQ975" s="11"/>
      <c r="BR975" s="11"/>
      <c r="BS975" s="11"/>
      <c r="BT975" s="11"/>
      <c r="BU975" s="11"/>
      <c r="BV975" s="11"/>
      <c r="BW975" s="11"/>
      <c r="BX975" s="11"/>
      <c r="BY975" s="11"/>
      <c r="BZ975" s="11"/>
      <c r="CA975" s="11"/>
      <c r="CB975" s="11"/>
    </row>
    <row r="976" ht="15.75" customHeight="1">
      <c r="BQ976" s="11"/>
      <c r="BR976" s="11"/>
      <c r="BS976" s="11"/>
      <c r="BT976" s="11"/>
      <c r="BU976" s="11"/>
      <c r="BV976" s="11"/>
      <c r="BW976" s="11"/>
      <c r="BX976" s="11"/>
      <c r="BY976" s="11"/>
      <c r="BZ976" s="11"/>
      <c r="CA976" s="11"/>
      <c r="CB976" s="11"/>
    </row>
    <row r="977" ht="15.75" customHeight="1">
      <c r="BQ977" s="11"/>
      <c r="BR977" s="11"/>
      <c r="BS977" s="11"/>
      <c r="BT977" s="11"/>
      <c r="BU977" s="11"/>
      <c r="BV977" s="11"/>
      <c r="BW977" s="11"/>
      <c r="BX977" s="11"/>
      <c r="BY977" s="11"/>
      <c r="BZ977" s="11"/>
      <c r="CA977" s="11"/>
      <c r="CB977" s="11"/>
    </row>
    <row r="978" ht="15.75" customHeight="1">
      <c r="BQ978" s="11"/>
      <c r="BR978" s="11"/>
      <c r="BS978" s="11"/>
      <c r="BT978" s="11"/>
      <c r="BU978" s="11"/>
      <c r="BV978" s="11"/>
      <c r="BW978" s="11"/>
      <c r="BX978" s="11"/>
      <c r="BY978" s="11"/>
      <c r="BZ978" s="11"/>
      <c r="CA978" s="11"/>
      <c r="CB978" s="11"/>
    </row>
    <row r="979" ht="15.75" customHeight="1">
      <c r="BQ979" s="11"/>
      <c r="BR979" s="11"/>
      <c r="BS979" s="11"/>
      <c r="BT979" s="11"/>
      <c r="BU979" s="11"/>
      <c r="BV979" s="11"/>
      <c r="BW979" s="11"/>
      <c r="BX979" s="11"/>
      <c r="BY979" s="11"/>
      <c r="BZ979" s="11"/>
      <c r="CA979" s="11"/>
      <c r="CB979" s="11"/>
    </row>
    <row r="980" ht="15.75" customHeight="1">
      <c r="BQ980" s="11"/>
      <c r="BR980" s="11"/>
      <c r="BS980" s="11"/>
      <c r="BT980" s="11"/>
      <c r="BU980" s="11"/>
      <c r="BV980" s="11"/>
      <c r="BW980" s="11"/>
      <c r="BX980" s="11"/>
      <c r="BY980" s="11"/>
      <c r="BZ980" s="11"/>
      <c r="CA980" s="11"/>
      <c r="CB980" s="11"/>
    </row>
    <row r="981" ht="15.75" customHeight="1">
      <c r="BQ981" s="11"/>
      <c r="BR981" s="11"/>
      <c r="BS981" s="11"/>
      <c r="BT981" s="11"/>
      <c r="BU981" s="11"/>
      <c r="BV981" s="11"/>
      <c r="BW981" s="11"/>
      <c r="BX981" s="11"/>
      <c r="BY981" s="11"/>
      <c r="BZ981" s="11"/>
      <c r="CA981" s="11"/>
      <c r="CB981" s="11"/>
    </row>
    <row r="982" ht="15.75" customHeight="1">
      <c r="BQ982" s="11"/>
      <c r="BR982" s="11"/>
      <c r="BS982" s="11"/>
      <c r="BT982" s="11"/>
      <c r="BU982" s="11"/>
      <c r="BV982" s="11"/>
      <c r="BW982" s="11"/>
      <c r="BX982" s="11"/>
      <c r="BY982" s="11"/>
      <c r="BZ982" s="11"/>
      <c r="CA982" s="11"/>
      <c r="CB982" s="11"/>
    </row>
    <row r="983" ht="15.75" customHeight="1">
      <c r="BQ983" s="11"/>
      <c r="BR983" s="11"/>
      <c r="BS983" s="11"/>
      <c r="BT983" s="11"/>
      <c r="BU983" s="11"/>
      <c r="BV983" s="11"/>
      <c r="BW983" s="11"/>
      <c r="BX983" s="11"/>
      <c r="BY983" s="11"/>
      <c r="BZ983" s="11"/>
      <c r="CA983" s="11"/>
      <c r="CB983" s="11"/>
    </row>
    <row r="984" ht="15.75" customHeight="1">
      <c r="BQ984" s="11"/>
      <c r="BR984" s="11"/>
      <c r="BS984" s="11"/>
      <c r="BT984" s="11"/>
      <c r="BU984" s="11"/>
      <c r="BV984" s="11"/>
      <c r="BW984" s="11"/>
      <c r="BX984" s="11"/>
      <c r="BY984" s="11"/>
      <c r="BZ984" s="11"/>
      <c r="CA984" s="11"/>
      <c r="CB984" s="11"/>
    </row>
    <row r="985" ht="15.75" customHeight="1">
      <c r="BQ985" s="11"/>
      <c r="BR985" s="11"/>
      <c r="BS985" s="11"/>
      <c r="BT985" s="11"/>
      <c r="BU985" s="11"/>
      <c r="BV985" s="11"/>
      <c r="BW985" s="11"/>
      <c r="BX985" s="11"/>
      <c r="BY985" s="11"/>
      <c r="BZ985" s="11"/>
      <c r="CA985" s="11"/>
      <c r="CB985" s="11"/>
    </row>
    <row r="986" ht="15.75" customHeight="1">
      <c r="BQ986" s="11"/>
      <c r="BR986" s="11"/>
      <c r="BS986" s="11"/>
      <c r="BT986" s="11"/>
      <c r="BU986" s="11"/>
      <c r="BV986" s="11"/>
      <c r="BW986" s="11"/>
      <c r="BX986" s="11"/>
      <c r="BY986" s="11"/>
      <c r="BZ986" s="11"/>
      <c r="CA986" s="11"/>
      <c r="CB986" s="11"/>
    </row>
    <row r="987" ht="15.75" customHeight="1">
      <c r="BQ987" s="11"/>
      <c r="BR987" s="11"/>
      <c r="BS987" s="11"/>
      <c r="BT987" s="11"/>
      <c r="BU987" s="11"/>
      <c r="BV987" s="11"/>
      <c r="BW987" s="11"/>
      <c r="BX987" s="11"/>
      <c r="BY987" s="11"/>
      <c r="BZ987" s="11"/>
      <c r="CA987" s="11"/>
      <c r="CB987" s="11"/>
    </row>
    <row r="988" ht="15.75" customHeight="1">
      <c r="BQ988" s="11"/>
      <c r="BR988" s="11"/>
      <c r="BS988" s="11"/>
      <c r="BT988" s="11"/>
      <c r="BU988" s="11"/>
      <c r="BV988" s="11"/>
      <c r="BW988" s="11"/>
      <c r="BX988" s="11"/>
      <c r="BY988" s="11"/>
      <c r="BZ988" s="11"/>
      <c r="CA988" s="11"/>
      <c r="CB988" s="11"/>
    </row>
    <row r="989" ht="15.75" customHeight="1">
      <c r="BQ989" s="11"/>
      <c r="BR989" s="11"/>
      <c r="BS989" s="11"/>
      <c r="BT989" s="11"/>
      <c r="BU989" s="11"/>
      <c r="BV989" s="11"/>
      <c r="BW989" s="11"/>
      <c r="BX989" s="11"/>
      <c r="BY989" s="11"/>
      <c r="BZ989" s="11"/>
      <c r="CA989" s="11"/>
      <c r="CB989" s="11"/>
    </row>
    <row r="990" ht="15.75" customHeight="1">
      <c r="BQ990" s="11"/>
      <c r="BR990" s="11"/>
      <c r="BS990" s="11"/>
      <c r="BT990" s="11"/>
      <c r="BU990" s="11"/>
      <c r="BV990" s="11"/>
      <c r="BW990" s="11"/>
      <c r="BX990" s="11"/>
      <c r="BY990" s="11"/>
      <c r="BZ990" s="11"/>
      <c r="CA990" s="11"/>
      <c r="CB990" s="11"/>
    </row>
    <row r="991" ht="15.75" customHeight="1">
      <c r="BQ991" s="11"/>
      <c r="BR991" s="11"/>
      <c r="BS991" s="11"/>
      <c r="BT991" s="11"/>
      <c r="BU991" s="11"/>
      <c r="BV991" s="11"/>
      <c r="BW991" s="11"/>
      <c r="BX991" s="11"/>
      <c r="BY991" s="11"/>
      <c r="BZ991" s="11"/>
      <c r="CA991" s="11"/>
      <c r="CB991" s="11"/>
    </row>
    <row r="992" ht="15.75" customHeight="1">
      <c r="BQ992" s="11"/>
      <c r="BR992" s="11"/>
      <c r="BS992" s="11"/>
      <c r="BT992" s="11"/>
      <c r="BU992" s="11"/>
      <c r="BV992" s="11"/>
      <c r="BW992" s="11"/>
      <c r="BX992" s="11"/>
      <c r="BY992" s="11"/>
      <c r="BZ992" s="11"/>
      <c r="CA992" s="11"/>
      <c r="CB992" s="11"/>
    </row>
    <row r="993" ht="15.75" customHeight="1">
      <c r="BQ993" s="11"/>
      <c r="BR993" s="11"/>
      <c r="BS993" s="11"/>
      <c r="BT993" s="11"/>
      <c r="BU993" s="11"/>
      <c r="BV993" s="11"/>
      <c r="BW993" s="11"/>
      <c r="BX993" s="11"/>
      <c r="BY993" s="11"/>
      <c r="BZ993" s="11"/>
      <c r="CA993" s="11"/>
      <c r="CB993" s="11"/>
    </row>
    <row r="994" ht="15.75" customHeight="1">
      <c r="BQ994" s="11"/>
      <c r="BR994" s="11"/>
      <c r="BS994" s="11"/>
      <c r="BT994" s="11"/>
      <c r="BU994" s="11"/>
      <c r="BV994" s="11"/>
      <c r="BW994" s="11"/>
      <c r="BX994" s="11"/>
      <c r="BY994" s="11"/>
      <c r="BZ994" s="11"/>
      <c r="CA994" s="11"/>
      <c r="CB994" s="11"/>
    </row>
    <row r="995" ht="15.75" customHeight="1">
      <c r="BQ995" s="11"/>
      <c r="BR995" s="11"/>
      <c r="BS995" s="11"/>
      <c r="BT995" s="11"/>
      <c r="BU995" s="11"/>
      <c r="BV995" s="11"/>
      <c r="BW995" s="11"/>
      <c r="BX995" s="11"/>
      <c r="BY995" s="11"/>
      <c r="BZ995" s="11"/>
      <c r="CA995" s="11"/>
      <c r="CB995" s="11"/>
    </row>
    <row r="996" ht="15.75" customHeight="1">
      <c r="BQ996" s="11"/>
      <c r="BR996" s="11"/>
      <c r="BS996" s="11"/>
      <c r="BT996" s="11"/>
      <c r="BU996" s="11"/>
      <c r="BV996" s="11"/>
      <c r="BW996" s="11"/>
      <c r="BX996" s="11"/>
      <c r="BY996" s="11"/>
      <c r="BZ996" s="11"/>
      <c r="CA996" s="11"/>
      <c r="CB996" s="11"/>
    </row>
    <row r="997" ht="15.75" customHeight="1">
      <c r="BQ997" s="11"/>
      <c r="BR997" s="11"/>
      <c r="BS997" s="11"/>
      <c r="BT997" s="11"/>
      <c r="BU997" s="11"/>
      <c r="BV997" s="11"/>
      <c r="BW997" s="11"/>
      <c r="BX997" s="11"/>
      <c r="BY997" s="11"/>
      <c r="BZ997" s="11"/>
      <c r="CA997" s="11"/>
      <c r="CB997" s="11"/>
    </row>
    <row r="998" ht="15.75" customHeight="1">
      <c r="BQ998" s="11"/>
      <c r="BR998" s="11"/>
      <c r="BS998" s="11"/>
      <c r="BT998" s="11"/>
      <c r="BU998" s="11"/>
      <c r="BV998" s="11"/>
      <c r="BW998" s="11"/>
      <c r="BX998" s="11"/>
      <c r="BY998" s="11"/>
      <c r="BZ998" s="11"/>
      <c r="CA998" s="11"/>
      <c r="CB998" s="11"/>
    </row>
    <row r="999" ht="15.75" customHeight="1">
      <c r="BQ999" s="11"/>
      <c r="BR999" s="11"/>
      <c r="BS999" s="11"/>
      <c r="BT999" s="11"/>
      <c r="BU999" s="11"/>
      <c r="BV999" s="11"/>
      <c r="BW999" s="11"/>
      <c r="BX999" s="11"/>
      <c r="BY999" s="11"/>
      <c r="BZ999" s="11"/>
      <c r="CA999" s="11"/>
      <c r="CB999" s="11"/>
    </row>
    <row r="1000" ht="15.75" customHeight="1">
      <c r="BQ1000" s="11"/>
      <c r="BR1000" s="11"/>
      <c r="BS1000" s="11"/>
      <c r="BT1000" s="11"/>
      <c r="BU1000" s="11"/>
      <c r="BV1000" s="11"/>
      <c r="BW1000" s="11"/>
      <c r="BX1000" s="11"/>
      <c r="BY1000" s="11"/>
      <c r="BZ1000" s="11"/>
      <c r="CA1000" s="11"/>
      <c r="CB1000" s="11"/>
    </row>
  </sheetData>
  <mergeCells count="576">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AB22:AC23"/>
    <mergeCell ref="AD22:AE23"/>
    <mergeCell ref="N22:O23"/>
    <mergeCell ref="P22:Q23"/>
    <mergeCell ref="R22:S23"/>
    <mergeCell ref="T22:U23"/>
    <mergeCell ref="V22:W23"/>
    <mergeCell ref="X22:Y23"/>
    <mergeCell ref="Z22:AA23"/>
    <mergeCell ref="AT22:AU23"/>
    <mergeCell ref="AV22:AW23"/>
    <mergeCell ref="AF22:AG23"/>
    <mergeCell ref="AH22:AI23"/>
    <mergeCell ref="AJ22:AK23"/>
    <mergeCell ref="AL22:AM23"/>
    <mergeCell ref="AN22:AO23"/>
    <mergeCell ref="AP22:AQ23"/>
    <mergeCell ref="AR22:AS23"/>
    <mergeCell ref="N36:O37"/>
    <mergeCell ref="P36:Q37"/>
    <mergeCell ref="R36:S37"/>
    <mergeCell ref="T36:U37"/>
    <mergeCell ref="V36:W37"/>
    <mergeCell ref="X36:Y37"/>
    <mergeCell ref="Z36:AA37"/>
    <mergeCell ref="B36:B37"/>
    <mergeCell ref="C36:C37"/>
    <mergeCell ref="D36:E37"/>
    <mergeCell ref="F36:G37"/>
    <mergeCell ref="H36:I37"/>
    <mergeCell ref="J36:K37"/>
    <mergeCell ref="L36:M37"/>
    <mergeCell ref="N34:O35"/>
    <mergeCell ref="P34:Q35"/>
    <mergeCell ref="R34:S35"/>
    <mergeCell ref="T34:U35"/>
    <mergeCell ref="V34:W35"/>
    <mergeCell ref="X34:Y35"/>
    <mergeCell ref="Z34:AA35"/>
    <mergeCell ref="AB34:AC35"/>
    <mergeCell ref="AD34:AE35"/>
    <mergeCell ref="AF34:AG35"/>
    <mergeCell ref="AH34:AI35"/>
    <mergeCell ref="AJ34:AK35"/>
    <mergeCell ref="AL34:AM35"/>
    <mergeCell ref="AN34:AO35"/>
    <mergeCell ref="BD34:BE35"/>
    <mergeCell ref="BF34:BG35"/>
    <mergeCell ref="BH34:BI35"/>
    <mergeCell ref="B34:B35"/>
    <mergeCell ref="C34:C35"/>
    <mergeCell ref="D34:E35"/>
    <mergeCell ref="F34:G35"/>
    <mergeCell ref="H34:I35"/>
    <mergeCell ref="J34:K35"/>
    <mergeCell ref="L34:M35"/>
    <mergeCell ref="AP34:AQ35"/>
    <mergeCell ref="AR34:AS35"/>
    <mergeCell ref="AT34:AU35"/>
    <mergeCell ref="AV34:AW35"/>
    <mergeCell ref="AX34:AY35"/>
    <mergeCell ref="AZ34:BA35"/>
    <mergeCell ref="BB34:BC35"/>
    <mergeCell ref="B38:B39"/>
    <mergeCell ref="C38:C39"/>
    <mergeCell ref="D38:E39"/>
    <mergeCell ref="F38:G39"/>
    <mergeCell ref="H38:I39"/>
    <mergeCell ref="J38:K39"/>
    <mergeCell ref="L38:M39"/>
    <mergeCell ref="AX36:AY37"/>
    <mergeCell ref="AX38:AY39"/>
    <mergeCell ref="AZ38:BA39"/>
    <mergeCell ref="BB38:BC39"/>
    <mergeCell ref="BD38:BE39"/>
    <mergeCell ref="BF38:BG39"/>
    <mergeCell ref="BH38:BI39"/>
    <mergeCell ref="AT36:AU37"/>
    <mergeCell ref="AV36:AW37"/>
    <mergeCell ref="AZ36:BA37"/>
    <mergeCell ref="BB36:BC37"/>
    <mergeCell ref="BD36:BE37"/>
    <mergeCell ref="BF36:BG37"/>
    <mergeCell ref="BH36:BI37"/>
    <mergeCell ref="AT46:AU47"/>
    <mergeCell ref="AV46:AW47"/>
    <mergeCell ref="AF46:AG47"/>
    <mergeCell ref="AH46:AI47"/>
    <mergeCell ref="AJ46:AK47"/>
    <mergeCell ref="AL46:AM47"/>
    <mergeCell ref="AN46:AO47"/>
    <mergeCell ref="AP46:AQ47"/>
    <mergeCell ref="AR46:AS47"/>
    <mergeCell ref="AB38:AC39"/>
    <mergeCell ref="AD38:AE39"/>
    <mergeCell ref="N38:O39"/>
    <mergeCell ref="P38:Q39"/>
    <mergeCell ref="R38:S39"/>
    <mergeCell ref="T38:U39"/>
    <mergeCell ref="V38:W39"/>
    <mergeCell ref="X38:Y39"/>
    <mergeCell ref="Z38:AA39"/>
    <mergeCell ref="T40:U41"/>
    <mergeCell ref="X40:Y41"/>
    <mergeCell ref="Z40:AA41"/>
    <mergeCell ref="AB40:AC41"/>
    <mergeCell ref="AD40:AE41"/>
    <mergeCell ref="AH40:AI41"/>
    <mergeCell ref="AJ40:AK41"/>
    <mergeCell ref="BD40:BE41"/>
    <mergeCell ref="BF40:BG41"/>
    <mergeCell ref="BH40:BI41"/>
    <mergeCell ref="AL40:AM41"/>
    <mergeCell ref="AN40:AO41"/>
    <mergeCell ref="AR40:AS41"/>
    <mergeCell ref="AT40:AU41"/>
    <mergeCell ref="AV40:AW41"/>
    <mergeCell ref="AX40:AY41"/>
    <mergeCell ref="BB40:BC41"/>
    <mergeCell ref="D40:E41"/>
    <mergeCell ref="F40:G41"/>
    <mergeCell ref="H40:I41"/>
    <mergeCell ref="J40:K41"/>
    <mergeCell ref="N40:O41"/>
    <mergeCell ref="P40:Q41"/>
    <mergeCell ref="R40:S41"/>
    <mergeCell ref="AX46:AY47"/>
    <mergeCell ref="AZ46:BA47"/>
    <mergeCell ref="BB46:BC47"/>
    <mergeCell ref="BD46:BE47"/>
    <mergeCell ref="BF46:BG47"/>
    <mergeCell ref="BH46:BI47"/>
    <mergeCell ref="B46:B47"/>
    <mergeCell ref="C46:C47"/>
    <mergeCell ref="D46:E47"/>
    <mergeCell ref="F46:G47"/>
    <mergeCell ref="H46:I47"/>
    <mergeCell ref="J46:K47"/>
    <mergeCell ref="L46:M47"/>
    <mergeCell ref="AP52:AQ53"/>
    <mergeCell ref="AR52:AS53"/>
    <mergeCell ref="AB52:AC53"/>
    <mergeCell ref="AD52:AE53"/>
    <mergeCell ref="AF52:AG53"/>
    <mergeCell ref="AH52:AI53"/>
    <mergeCell ref="AJ52:AK53"/>
    <mergeCell ref="AL52:AM53"/>
    <mergeCell ref="AN52:AO53"/>
    <mergeCell ref="N52:O53"/>
    <mergeCell ref="P52:Q53"/>
    <mergeCell ref="R52:S53"/>
    <mergeCell ref="T52:U53"/>
    <mergeCell ref="V52:W53"/>
    <mergeCell ref="X52:Y53"/>
    <mergeCell ref="Z52:AA53"/>
    <mergeCell ref="B52:B53"/>
    <mergeCell ref="C52:C53"/>
    <mergeCell ref="D52:E53"/>
    <mergeCell ref="F52:G53"/>
    <mergeCell ref="H52:I53"/>
    <mergeCell ref="J52:K53"/>
    <mergeCell ref="L52:M53"/>
    <mergeCell ref="AB54:AC55"/>
    <mergeCell ref="AD54:AE55"/>
    <mergeCell ref="N54:O55"/>
    <mergeCell ref="P54:Q55"/>
    <mergeCell ref="R54:S55"/>
    <mergeCell ref="T54:U55"/>
    <mergeCell ref="V54:W55"/>
    <mergeCell ref="X54:Y55"/>
    <mergeCell ref="Z54:AA55"/>
    <mergeCell ref="D56:E57"/>
    <mergeCell ref="F56:G57"/>
    <mergeCell ref="H56:I57"/>
    <mergeCell ref="J56:K57"/>
    <mergeCell ref="N56:O57"/>
    <mergeCell ref="P56:Q57"/>
    <mergeCell ref="R56:S57"/>
    <mergeCell ref="T56:U57"/>
    <mergeCell ref="X56:Y57"/>
    <mergeCell ref="Z56:AA57"/>
    <mergeCell ref="AB56:AC57"/>
    <mergeCell ref="AD56:AE57"/>
    <mergeCell ref="AH56:AI57"/>
    <mergeCell ref="AJ56:AK57"/>
    <mergeCell ref="BD56:BE57"/>
    <mergeCell ref="BF56:BG57"/>
    <mergeCell ref="BH56:BI57"/>
    <mergeCell ref="AL56:AM57"/>
    <mergeCell ref="AN56:AO57"/>
    <mergeCell ref="AR56:AS57"/>
    <mergeCell ref="AT56:AU57"/>
    <mergeCell ref="AV56:AW57"/>
    <mergeCell ref="AX56:AY57"/>
    <mergeCell ref="BB56:BC57"/>
    <mergeCell ref="AT54:AU55"/>
    <mergeCell ref="AV54:AW55"/>
    <mergeCell ref="AF54:AG55"/>
    <mergeCell ref="AH54:AI55"/>
    <mergeCell ref="AJ54:AK55"/>
    <mergeCell ref="AL54:AM55"/>
    <mergeCell ref="AN54:AO55"/>
    <mergeCell ref="AP54:AQ55"/>
    <mergeCell ref="AR54:AS55"/>
    <mergeCell ref="N50:O51"/>
    <mergeCell ref="P50:Q51"/>
    <mergeCell ref="R50:S51"/>
    <mergeCell ref="T50:U51"/>
    <mergeCell ref="V50:W51"/>
    <mergeCell ref="X50:Y51"/>
    <mergeCell ref="Z50:AA51"/>
    <mergeCell ref="AB50:AC51"/>
    <mergeCell ref="AD50:AE51"/>
    <mergeCell ref="AF50:AG51"/>
    <mergeCell ref="AH50:AI51"/>
    <mergeCell ref="AJ50:AK51"/>
    <mergeCell ref="AL50:AM51"/>
    <mergeCell ref="AN50:AO51"/>
    <mergeCell ref="BD50:BE51"/>
    <mergeCell ref="BF50:BG51"/>
    <mergeCell ref="BH50:BI51"/>
    <mergeCell ref="B50:B51"/>
    <mergeCell ref="C50:C51"/>
    <mergeCell ref="D50:E51"/>
    <mergeCell ref="F50:G51"/>
    <mergeCell ref="H50:I51"/>
    <mergeCell ref="J50:K51"/>
    <mergeCell ref="L50:M51"/>
    <mergeCell ref="AP50:AQ51"/>
    <mergeCell ref="AR50:AS51"/>
    <mergeCell ref="AT50:AU51"/>
    <mergeCell ref="AV50:AW51"/>
    <mergeCell ref="AX50:AY51"/>
    <mergeCell ref="AZ50:BA51"/>
    <mergeCell ref="BB50:BC51"/>
    <mergeCell ref="B54:B55"/>
    <mergeCell ref="C54:C55"/>
    <mergeCell ref="D54:E55"/>
    <mergeCell ref="F54:G55"/>
    <mergeCell ref="H54:I55"/>
    <mergeCell ref="J54:K55"/>
    <mergeCell ref="L54:M55"/>
    <mergeCell ref="AX52:AY53"/>
    <mergeCell ref="AX54:AY55"/>
    <mergeCell ref="AZ54:BA55"/>
    <mergeCell ref="BB54:BC55"/>
    <mergeCell ref="BD54:BE55"/>
    <mergeCell ref="BF54:BG55"/>
    <mergeCell ref="BH54:BI55"/>
    <mergeCell ref="AT52:AU53"/>
    <mergeCell ref="AV52:AW53"/>
    <mergeCell ref="AZ52:BA53"/>
    <mergeCell ref="BB52:BC53"/>
    <mergeCell ref="BD52:BE53"/>
    <mergeCell ref="BF52:BG53"/>
    <mergeCell ref="BH52:BI5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22:B23"/>
    <mergeCell ref="C22:C23"/>
    <mergeCell ref="D22:E23"/>
    <mergeCell ref="F22:G23"/>
    <mergeCell ref="H22:I23"/>
    <mergeCell ref="J22:K23"/>
    <mergeCell ref="L22:M23"/>
    <mergeCell ref="AX20:AY21"/>
    <mergeCell ref="AX22:AY23"/>
    <mergeCell ref="AZ22:BA23"/>
    <mergeCell ref="BB22:BC23"/>
    <mergeCell ref="BD22:BE23"/>
    <mergeCell ref="BF22:BG23"/>
    <mergeCell ref="BH22:BI23"/>
    <mergeCell ref="AT20:AU21"/>
    <mergeCell ref="AV20:AW21"/>
    <mergeCell ref="AZ20:BA21"/>
    <mergeCell ref="BB20:BC21"/>
    <mergeCell ref="BD20:BE21"/>
    <mergeCell ref="BF20:BG21"/>
    <mergeCell ref="BH20:BI21"/>
    <mergeCell ref="AT30:AU31"/>
    <mergeCell ref="AV30:AW31"/>
    <mergeCell ref="AF30:AG31"/>
    <mergeCell ref="AH30:AI31"/>
    <mergeCell ref="AJ30:AK31"/>
    <mergeCell ref="AL30:AM31"/>
    <mergeCell ref="AN30:AO31"/>
    <mergeCell ref="AP30:AQ31"/>
    <mergeCell ref="AR30:AS3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T24:U25"/>
    <mergeCell ref="X24:Y25"/>
    <mergeCell ref="Z24:AA25"/>
    <mergeCell ref="AB24:AC25"/>
    <mergeCell ref="AD24:AE25"/>
    <mergeCell ref="AH24:AI25"/>
    <mergeCell ref="AJ24:AK25"/>
    <mergeCell ref="BD24:BE25"/>
    <mergeCell ref="BF24:BG25"/>
    <mergeCell ref="BH24:BI25"/>
    <mergeCell ref="AL24:AM25"/>
    <mergeCell ref="AN24:AO25"/>
    <mergeCell ref="AR24:AS25"/>
    <mergeCell ref="AT24:AU25"/>
    <mergeCell ref="AV24:AW25"/>
    <mergeCell ref="AX24:AY25"/>
    <mergeCell ref="BB24:BC25"/>
    <mergeCell ref="D24:E25"/>
    <mergeCell ref="F24:G25"/>
    <mergeCell ref="H24:I25"/>
    <mergeCell ref="J24:K25"/>
    <mergeCell ref="N24:O25"/>
    <mergeCell ref="P24:Q25"/>
    <mergeCell ref="R24:S25"/>
    <mergeCell ref="AX30:AY31"/>
    <mergeCell ref="AZ30:BA31"/>
    <mergeCell ref="BB30:BC31"/>
    <mergeCell ref="BD30:BE31"/>
    <mergeCell ref="BF30:BG31"/>
    <mergeCell ref="BH30:BI31"/>
    <mergeCell ref="B30:B31"/>
    <mergeCell ref="C30:C31"/>
    <mergeCell ref="D30:E31"/>
    <mergeCell ref="F30:G31"/>
    <mergeCell ref="H30:I31"/>
    <mergeCell ref="J30:K31"/>
    <mergeCell ref="L30:M31"/>
    <mergeCell ref="AB30:AC31"/>
    <mergeCell ref="AD30:AE31"/>
    <mergeCell ref="N30:O31"/>
    <mergeCell ref="P30:Q31"/>
    <mergeCell ref="R30:S31"/>
    <mergeCell ref="T30:U31"/>
    <mergeCell ref="V30:W31"/>
    <mergeCell ref="X30:Y31"/>
    <mergeCell ref="Z30:AA31"/>
    <mergeCell ref="N32:O33"/>
    <mergeCell ref="P32:Q33"/>
    <mergeCell ref="R32:S33"/>
    <mergeCell ref="T32:U33"/>
    <mergeCell ref="V32:W33"/>
    <mergeCell ref="X32:Y33"/>
    <mergeCell ref="Z32:AA33"/>
    <mergeCell ref="AB32:AC33"/>
    <mergeCell ref="AD32:AE33"/>
    <mergeCell ref="AF32:AG33"/>
    <mergeCell ref="AH32:AI33"/>
    <mergeCell ref="AJ32:AK33"/>
    <mergeCell ref="AL32:AM33"/>
    <mergeCell ref="AN32:AO33"/>
    <mergeCell ref="BD32:BE33"/>
    <mergeCell ref="BF32:BG33"/>
    <mergeCell ref="BH32:BI33"/>
    <mergeCell ref="AP32:AQ33"/>
    <mergeCell ref="AR32:AS33"/>
    <mergeCell ref="AT32:AU33"/>
    <mergeCell ref="AV32:AW33"/>
    <mergeCell ref="AX32:AY33"/>
    <mergeCell ref="AZ32:BA33"/>
    <mergeCell ref="BB32:BC33"/>
    <mergeCell ref="B32:B33"/>
    <mergeCell ref="C32:C33"/>
    <mergeCell ref="D32:E33"/>
    <mergeCell ref="F32:G33"/>
    <mergeCell ref="H32:I33"/>
    <mergeCell ref="J32:K33"/>
    <mergeCell ref="L32:M33"/>
    <mergeCell ref="AP36:AQ37"/>
    <mergeCell ref="AR36:AS37"/>
    <mergeCell ref="AB36:AC37"/>
    <mergeCell ref="AD36:AE37"/>
    <mergeCell ref="AF36:AG37"/>
    <mergeCell ref="AH36:AI37"/>
    <mergeCell ref="AJ36:AK37"/>
    <mergeCell ref="AL36:AM37"/>
    <mergeCell ref="AN36:AO37"/>
    <mergeCell ref="AT38:AU39"/>
    <mergeCell ref="AV38:AW39"/>
    <mergeCell ref="AF38:AG39"/>
    <mergeCell ref="AH38:AI39"/>
    <mergeCell ref="AJ38:AK39"/>
    <mergeCell ref="AL38:AM39"/>
    <mergeCell ref="AN38:AO39"/>
    <mergeCell ref="AP38:AQ39"/>
    <mergeCell ref="AR38:AS39"/>
    <mergeCell ref="AB46:AC47"/>
    <mergeCell ref="AD46:AE47"/>
    <mergeCell ref="N46:O47"/>
    <mergeCell ref="P46:Q47"/>
    <mergeCell ref="R46:S47"/>
    <mergeCell ref="T46:U47"/>
    <mergeCell ref="V46:W47"/>
    <mergeCell ref="X46:Y47"/>
    <mergeCell ref="Z46:AA47"/>
    <mergeCell ref="N48:O49"/>
    <mergeCell ref="P48:Q49"/>
    <mergeCell ref="R48:S49"/>
    <mergeCell ref="T48:U49"/>
    <mergeCell ref="V48:W49"/>
    <mergeCell ref="X48:Y49"/>
    <mergeCell ref="Z48:AA49"/>
    <mergeCell ref="AB48:AC49"/>
    <mergeCell ref="AD48:AE49"/>
    <mergeCell ref="AF48:AG49"/>
    <mergeCell ref="AH48:AI49"/>
    <mergeCell ref="AJ48:AK49"/>
    <mergeCell ref="AL48:AM49"/>
    <mergeCell ref="AN48:AO49"/>
    <mergeCell ref="BD48:BE49"/>
    <mergeCell ref="BF48:BG49"/>
    <mergeCell ref="BH48:BI49"/>
    <mergeCell ref="AP48:AQ49"/>
    <mergeCell ref="AR48:AS49"/>
    <mergeCell ref="AT48:AU49"/>
    <mergeCell ref="AV48:AW49"/>
    <mergeCell ref="AX48:AY49"/>
    <mergeCell ref="AZ48:BA49"/>
    <mergeCell ref="BB48:BC49"/>
    <mergeCell ref="B48:B49"/>
    <mergeCell ref="C48:C49"/>
    <mergeCell ref="D48:E49"/>
    <mergeCell ref="F48:G49"/>
    <mergeCell ref="H48:I49"/>
    <mergeCell ref="J48:K49"/>
    <mergeCell ref="L48:M49"/>
  </mergeCells>
  <conditionalFormatting sqref="D14:E23 D30:E39 D46:E55 N14:O23 N30:O39 N46:O55 X14:Y23 X30:Y39 X46:Y55 AH14:AI23 AH30:AI39 AH46:AI55 AR14:AS23 AR30:AS39 AR46:AS55 BB14:BC23 BB30:BC39 BB46:BC55">
    <cfRule type="cellIs" dxfId="0" priority="1" operator="equal">
      <formula>1</formula>
    </cfRule>
  </conditionalFormatting>
  <conditionalFormatting sqref="F14:G23 F30:G39 F46:G55 P14:Q23 P30:Q39 P46:Q55 Z14:AA23 Z30:AA39 Z46:AA55 AJ14:AK23 AJ30:AK39 AJ46:AK55 AT14:AU23 AT30:AU39 AT46:AU55 BD14:BE23 BD30:BE39 BD46:BE55">
    <cfRule type="cellIs" dxfId="1" priority="2" operator="equal">
      <formula>2</formula>
    </cfRule>
  </conditionalFormatting>
  <conditionalFormatting sqref="H14:I23 H30:I39 H46:I55 R14:S23 R30:S39 R46:S55 AB14:AC23 AB30:AC39 AB46:AC55 AL14:AM23 AL30:AM39 AL46:AM55 AV14:AW23 AV30:AW39 AV46:AW55 BF14:BG23 BF30:BG39 BF46:BG55">
    <cfRule type="cellIs" dxfId="2" priority="3" operator="equal">
      <formula>3</formula>
    </cfRule>
  </conditionalFormatting>
  <conditionalFormatting sqref="J14:K23 J30:K39 J46:K55 T14:U23 T30:U39 T46:U55 AD14:AE23 AD30:AE39 AD46:AE55 AN14:AO23 AN30:AO39 AN46:AO55 AX14:AY23 AX30:AY39 AX46:AY55 BH14:BI23 BH30:BI39 BH46:BI55">
    <cfRule type="cellIs" dxfId="3" priority="4" operator="equal">
      <formula>4</formula>
    </cfRule>
  </conditionalFormatting>
  <conditionalFormatting sqref="AO6:AS9">
    <cfRule type="cellIs" dxfId="4" priority="5" operator="equal">
      <formula>0</formula>
    </cfRule>
  </conditionalFormatting>
  <conditionalFormatting sqref="H6:AE7">
    <cfRule type="cellIs" dxfId="4" priority="6" operator="equal">
      <formula>0</formula>
    </cfRule>
  </conditionalFormatting>
  <conditionalFormatting sqref="H6:AE7">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E36C09"/>
    <pageSetUpPr fitToPage="1"/>
  </sheetPr>
  <sheetViews>
    <sheetView showGridLines="0" workbookViewId="0"/>
  </sheetViews>
  <sheetFormatPr customHeight="1" defaultColWidth="14.43" defaultRowHeight="15.0"/>
  <cols>
    <col customWidth="1" min="1" max="1" width="7.0"/>
    <col customWidth="1" min="2" max="2" width="7.14"/>
    <col customWidth="1" min="3" max="3" width="1.29"/>
    <col customWidth="1" min="4" max="4" width="0.86"/>
    <col customWidth="1" min="5" max="5" width="1.29"/>
    <col customWidth="1" min="6" max="7" width="1.14"/>
    <col customWidth="1" min="8" max="69" width="1.86"/>
    <col customWidth="1" min="70" max="73" width="8.86"/>
  </cols>
  <sheetData>
    <row r="1" ht="15.0" customHeight="1">
      <c r="A1" s="129" t="s">
        <v>64</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130"/>
      <c r="BP1" s="130"/>
      <c r="BQ1" s="131"/>
      <c r="BR1" s="11">
        <f>SUM(BC26,BC41,BC54,BC67,BC80,BC93,BC106,BC119)</f>
        <v>0</v>
      </c>
      <c r="BS1" s="11">
        <f>SUM(BF26,BF41,BF54,BF67,BF80,BF93,BF106,BF119)</f>
        <v>0</v>
      </c>
      <c r="BT1" s="11">
        <f>SUM(BI26,BI41,BI54,BI67,BI80,BI93,BI106,BI119)</f>
        <v>0</v>
      </c>
      <c r="BU1" s="11">
        <f>SUM(BL26,BL41,BL54,BL67,BL80,BL93,BL106,BL119)</f>
        <v>0</v>
      </c>
    </row>
    <row r="2" ht="15.0" customHeight="1">
      <c r="A2" s="4"/>
      <c r="BO2" s="130"/>
      <c r="BP2" s="130"/>
      <c r="BQ2" s="131"/>
      <c r="BR2" s="11">
        <f t="shared" ref="BR2:BU2" si="1">SUM(BO26,BO41,BO54,BO67,BO80,BO93,BO106,BO119)</f>
        <v>0</v>
      </c>
      <c r="BS2" s="11">
        <f t="shared" si="1"/>
        <v>0</v>
      </c>
      <c r="BT2" s="11">
        <f t="shared" si="1"/>
        <v>0</v>
      </c>
      <c r="BU2" s="11">
        <f t="shared" si="1"/>
        <v>0</v>
      </c>
    </row>
    <row r="3" ht="15.0" customHeight="1">
      <c r="A3" s="4"/>
      <c r="BO3" s="130"/>
      <c r="BP3" s="130"/>
      <c r="BQ3" s="131"/>
      <c r="BR3" s="11"/>
      <c r="BS3" s="11"/>
      <c r="BT3" s="11"/>
      <c r="BU3" s="11" t="str">
        <f>IF(BU2&gt;0,4,IF(BT2&gt;0,3,IF(BS2&gt;0,2,IF(BR2&gt;0,1,"@"))))</f>
        <v>@</v>
      </c>
    </row>
    <row r="4">
      <c r="BQ4" s="11"/>
      <c r="BR4" s="11"/>
      <c r="BS4" s="11"/>
      <c r="BT4" s="11"/>
      <c r="BU4" s="11"/>
    </row>
    <row r="5">
      <c r="BQ5" s="11"/>
      <c r="BR5" s="11"/>
      <c r="BS5" s="11"/>
      <c r="BT5" s="11"/>
      <c r="BU5" s="11"/>
    </row>
    <row r="6" ht="19.5" customHeight="1">
      <c r="AK6" s="35" t="s">
        <v>10</v>
      </c>
      <c r="AL6" s="16"/>
      <c r="AM6" s="16"/>
      <c r="AN6" s="17"/>
      <c r="AO6" s="35" t="s">
        <v>12</v>
      </c>
      <c r="AP6" s="16"/>
      <c r="AQ6" s="16"/>
      <c r="AR6" s="16"/>
      <c r="AS6" s="16"/>
      <c r="AT6" s="16"/>
      <c r="AU6" s="17"/>
      <c r="AV6" s="35" t="s">
        <v>14</v>
      </c>
      <c r="AW6" s="16"/>
      <c r="AX6" s="16"/>
      <c r="AY6" s="16"/>
      <c r="AZ6" s="16"/>
      <c r="BA6" s="16"/>
      <c r="BB6" s="17"/>
      <c r="BC6" s="35" t="s">
        <v>16</v>
      </c>
      <c r="BD6" s="16"/>
      <c r="BE6" s="16"/>
      <c r="BF6" s="16"/>
      <c r="BG6" s="16"/>
      <c r="BH6" s="16"/>
      <c r="BI6" s="17"/>
      <c r="BQ6" s="11"/>
      <c r="BR6" s="11"/>
      <c r="BS6" s="11"/>
      <c r="BT6" s="11"/>
      <c r="BU6" s="11"/>
    </row>
    <row r="7" ht="19.5" customHeight="1">
      <c r="B7" s="35" t="s">
        <v>17</v>
      </c>
      <c r="C7" s="16"/>
      <c r="D7" s="16"/>
      <c r="E7" s="16"/>
      <c r="F7" s="16"/>
      <c r="G7" s="17"/>
      <c r="H7" s="29" t="str">
        <f>'Milestones Grid'!$H$6</f>
        <v>TEST NAME- GOLF</v>
      </c>
      <c r="I7" s="16"/>
      <c r="J7" s="16"/>
      <c r="K7" s="16"/>
      <c r="L7" s="16"/>
      <c r="M7" s="16"/>
      <c r="N7" s="16"/>
      <c r="O7" s="16"/>
      <c r="P7" s="16"/>
      <c r="Q7" s="16"/>
      <c r="R7" s="16"/>
      <c r="S7" s="16"/>
      <c r="T7" s="16"/>
      <c r="U7" s="16"/>
      <c r="V7" s="16"/>
      <c r="W7" s="16"/>
      <c r="X7" s="16"/>
      <c r="Y7" s="16"/>
      <c r="Z7" s="16"/>
      <c r="AA7" s="16"/>
      <c r="AB7" s="16"/>
      <c r="AC7" s="16"/>
      <c r="AD7" s="16"/>
      <c r="AE7" s="17"/>
      <c r="AK7" s="35" t="s">
        <v>19</v>
      </c>
      <c r="AL7" s="16"/>
      <c r="AM7" s="16"/>
      <c r="AN7" s="17"/>
      <c r="AO7" s="132" t="str">
        <f>IF(BR2&gt;0,BR1,"")</f>
        <v/>
      </c>
      <c r="AP7" s="16"/>
      <c r="AQ7" s="16"/>
      <c r="AR7" s="16"/>
      <c r="AS7" s="16"/>
      <c r="AT7" s="16"/>
      <c r="AU7" s="17"/>
      <c r="AV7" s="133"/>
      <c r="AW7" s="16"/>
      <c r="AX7" s="16"/>
      <c r="AY7" s="16"/>
      <c r="AZ7" s="16"/>
      <c r="BA7" s="16"/>
      <c r="BB7" s="17"/>
      <c r="BC7" s="134"/>
      <c r="BD7" s="16"/>
      <c r="BE7" s="16"/>
      <c r="BF7" s="16"/>
      <c r="BG7" s="16"/>
      <c r="BH7" s="16"/>
      <c r="BI7" s="17"/>
      <c r="BQ7" s="11"/>
      <c r="BR7" s="11"/>
      <c r="BS7" s="11"/>
      <c r="BT7" s="11"/>
      <c r="BU7" s="11"/>
    </row>
    <row r="8" ht="19.5" customHeight="1">
      <c r="B8" s="35" t="s">
        <v>22</v>
      </c>
      <c r="C8" s="16"/>
      <c r="D8" s="16"/>
      <c r="E8" s="16"/>
      <c r="F8" s="16"/>
      <c r="G8" s="17"/>
      <c r="H8" s="41">
        <f>'Milestones Grid'!$H$7</f>
        <v>45108</v>
      </c>
      <c r="I8" s="16"/>
      <c r="J8" s="16"/>
      <c r="K8" s="16"/>
      <c r="L8" s="16"/>
      <c r="M8" s="16"/>
      <c r="N8" s="16"/>
      <c r="O8" s="16"/>
      <c r="P8" s="16"/>
      <c r="Q8" s="16"/>
      <c r="R8" s="16"/>
      <c r="S8" s="16"/>
      <c r="T8" s="16"/>
      <c r="U8" s="16"/>
      <c r="V8" s="16"/>
      <c r="W8" s="16"/>
      <c r="X8" s="16"/>
      <c r="Y8" s="16"/>
      <c r="Z8" s="16"/>
      <c r="AA8" s="16"/>
      <c r="AB8" s="16"/>
      <c r="AC8" s="16"/>
      <c r="AD8" s="16"/>
      <c r="AE8" s="17"/>
      <c r="AK8" s="35" t="s">
        <v>23</v>
      </c>
      <c r="AL8" s="16"/>
      <c r="AM8" s="16"/>
      <c r="AN8" s="17"/>
      <c r="AO8" s="132" t="str">
        <f>IF(BS2&gt;0,BS1,"")</f>
        <v/>
      </c>
      <c r="AP8" s="16"/>
      <c r="AQ8" s="16"/>
      <c r="AR8" s="16"/>
      <c r="AS8" s="16"/>
      <c r="AT8" s="16"/>
      <c r="AU8" s="17"/>
      <c r="AV8" s="133"/>
      <c r="AW8" s="16"/>
      <c r="AX8" s="16"/>
      <c r="AY8" s="16"/>
      <c r="AZ8" s="16"/>
      <c r="BA8" s="16"/>
      <c r="BB8" s="17"/>
      <c r="BC8" s="134"/>
      <c r="BD8" s="16"/>
      <c r="BE8" s="16"/>
      <c r="BF8" s="16"/>
      <c r="BG8" s="16"/>
      <c r="BH8" s="16"/>
      <c r="BI8" s="17"/>
      <c r="BQ8" s="11"/>
      <c r="BR8" s="11"/>
      <c r="BS8" s="11"/>
      <c r="BT8" s="11"/>
      <c r="BU8" s="11"/>
    </row>
    <row r="9" ht="19.5" customHeight="1">
      <c r="B9" s="35" t="s">
        <v>24</v>
      </c>
      <c r="C9" s="16"/>
      <c r="D9" s="16"/>
      <c r="E9" s="16"/>
      <c r="F9" s="16"/>
      <c r="G9" s="17"/>
      <c r="H9" s="52">
        <v>1.0</v>
      </c>
      <c r="I9" s="17"/>
      <c r="J9" s="39" t="str">
        <f>IF(OR(ISBLANK($H$8),ISBLANK($AV$7)),"",INT(YEARFRAC($H$8,$AV$7))&amp;" y, "&amp;INT((YEARFRAC($H$8,$AV$7)-INT(YEARFRAC($H$8,$AV$7)))*12)&amp;" m")</f>
        <v/>
      </c>
      <c r="K9" s="16"/>
      <c r="L9" s="16"/>
      <c r="M9" s="17"/>
      <c r="N9" s="52">
        <v>2.0</v>
      </c>
      <c r="O9" s="17"/>
      <c r="P9" s="39" t="str">
        <f>IF(OR(ISBLANK($H$8),ISBLANK($AV$8)),"",INT(YEARFRAC($H$8,$AV$8))&amp;" y, "&amp;INT((YEARFRAC($H$8,$AV$8)-INT(YEARFRAC($H$8,$AV$8)))*12)&amp;" m")</f>
        <v/>
      </c>
      <c r="Q9" s="16"/>
      <c r="R9" s="16"/>
      <c r="S9" s="17"/>
      <c r="T9" s="52">
        <v>3.0</v>
      </c>
      <c r="U9" s="17"/>
      <c r="V9" s="39" t="str">
        <f>IF(OR(ISBLANK($H$8),ISBLANK($AV$9)),"",INT(YEARFRAC($H$8,$AV$9))&amp;" y, "&amp;INT((YEARFRAC($H$8,$AV$9)-INT(YEARFRAC($H$8,$AV$9)))*12)&amp;" m")</f>
        <v/>
      </c>
      <c r="W9" s="16"/>
      <c r="X9" s="16"/>
      <c r="Y9" s="17"/>
      <c r="Z9" s="52">
        <v>4.0</v>
      </c>
      <c r="AA9" s="17"/>
      <c r="AB9" s="39" t="str">
        <f>IF(OR(ISBLANK($H$8),ISBLANK($AV$10)),"",INT(YEARFRAC($H$8,$AV$10))&amp;" y, "&amp;INT((YEARFRAC($H$8,$AV$10)-INT(YEARFRAC($H$8,$AV$10)))*12)&amp;" m")</f>
        <v/>
      </c>
      <c r="AC9" s="16"/>
      <c r="AD9" s="16"/>
      <c r="AE9" s="17"/>
      <c r="AK9" s="35" t="s">
        <v>30</v>
      </c>
      <c r="AL9" s="16"/>
      <c r="AM9" s="16"/>
      <c r="AN9" s="17"/>
      <c r="AO9" s="132" t="str">
        <f>IF(BT2&gt;0,BT1,"")</f>
        <v/>
      </c>
      <c r="AP9" s="16"/>
      <c r="AQ9" s="16"/>
      <c r="AR9" s="16"/>
      <c r="AS9" s="16"/>
      <c r="AT9" s="16"/>
      <c r="AU9" s="17"/>
      <c r="AV9" s="133"/>
      <c r="AW9" s="16"/>
      <c r="AX9" s="16"/>
      <c r="AY9" s="16"/>
      <c r="AZ9" s="16"/>
      <c r="BA9" s="16"/>
      <c r="BB9" s="17"/>
      <c r="BC9" s="134"/>
      <c r="BD9" s="16"/>
      <c r="BE9" s="16"/>
      <c r="BF9" s="16"/>
      <c r="BG9" s="16"/>
      <c r="BH9" s="16"/>
      <c r="BI9" s="17"/>
      <c r="BQ9" s="11"/>
      <c r="BR9" s="11"/>
      <c r="BS9" s="11"/>
      <c r="BT9" s="11"/>
      <c r="BU9" s="11"/>
    </row>
    <row r="10" ht="19.5" customHeight="1">
      <c r="AK10" s="35" t="s">
        <v>32</v>
      </c>
      <c r="AL10" s="16"/>
      <c r="AM10" s="16"/>
      <c r="AN10" s="17"/>
      <c r="AO10" s="132" t="str">
        <f>IF(BU2&gt;0,BU1,"")</f>
        <v/>
      </c>
      <c r="AP10" s="16"/>
      <c r="AQ10" s="16"/>
      <c r="AR10" s="16"/>
      <c r="AS10" s="16"/>
      <c r="AT10" s="16"/>
      <c r="AU10" s="17"/>
      <c r="AV10" s="133"/>
      <c r="AW10" s="16"/>
      <c r="AX10" s="16"/>
      <c r="AY10" s="16"/>
      <c r="AZ10" s="16"/>
      <c r="BA10" s="16"/>
      <c r="BB10" s="17"/>
      <c r="BC10" s="134"/>
      <c r="BD10" s="16"/>
      <c r="BE10" s="16"/>
      <c r="BF10" s="16"/>
      <c r="BG10" s="16"/>
      <c r="BH10" s="16"/>
      <c r="BI10" s="17"/>
      <c r="BQ10" s="11"/>
      <c r="BR10" s="11"/>
      <c r="BS10" s="11"/>
      <c r="BT10" s="11"/>
      <c r="BU10" s="11"/>
    </row>
    <row r="11">
      <c r="BQ11" s="11"/>
      <c r="BR11" s="11"/>
      <c r="BS11" s="11"/>
      <c r="BT11" s="11"/>
      <c r="BU11" s="11"/>
    </row>
    <row r="12">
      <c r="BQ12" s="11"/>
      <c r="BR12" s="11"/>
      <c r="BS12" s="11"/>
      <c r="BT12" s="11"/>
      <c r="BU12" s="11"/>
    </row>
    <row r="13" ht="22.5" customHeight="1">
      <c r="B13" s="135" t="s">
        <v>65</v>
      </c>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7"/>
      <c r="AA13" s="138" t="s">
        <v>66</v>
      </c>
      <c r="AB13" s="136"/>
      <c r="AC13" s="136"/>
      <c r="AD13" s="136"/>
      <c r="AE13" s="136"/>
      <c r="AF13" s="136"/>
      <c r="AG13" s="136"/>
      <c r="AH13" s="136"/>
      <c r="AI13" s="136"/>
      <c r="AJ13" s="136"/>
      <c r="AK13" s="136"/>
      <c r="AL13" s="136"/>
      <c r="AM13" s="136"/>
      <c r="AN13" s="136"/>
      <c r="AO13" s="136"/>
      <c r="AP13" s="136"/>
      <c r="AQ13" s="136"/>
      <c r="AR13" s="136"/>
      <c r="AS13" s="136"/>
      <c r="AT13" s="136"/>
      <c r="AU13" s="136"/>
      <c r="AV13" s="136"/>
      <c r="AW13" s="136"/>
      <c r="AX13" s="136"/>
      <c r="AY13" s="136"/>
      <c r="AZ13" s="136"/>
      <c r="BA13" s="136"/>
      <c r="BB13" s="139"/>
      <c r="BC13" s="140" t="s">
        <v>67</v>
      </c>
      <c r="BD13" s="136"/>
      <c r="BE13" s="139"/>
      <c r="BF13" s="140" t="s">
        <v>68</v>
      </c>
      <c r="BG13" s="136"/>
      <c r="BH13" s="139"/>
      <c r="BI13" s="140" t="s">
        <v>69</v>
      </c>
      <c r="BJ13" s="136"/>
      <c r="BK13" s="139"/>
      <c r="BL13" s="140" t="s">
        <v>70</v>
      </c>
      <c r="BM13" s="136"/>
      <c r="BN13" s="139"/>
      <c r="BO13" s="6"/>
      <c r="BP13" s="6"/>
      <c r="BQ13" s="11"/>
      <c r="BR13" s="11"/>
      <c r="BS13" s="11"/>
      <c r="BT13" s="11"/>
      <c r="BU13" s="11"/>
    </row>
    <row r="14" ht="22.5" customHeight="1">
      <c r="B14" s="141" t="s">
        <v>71</v>
      </c>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3"/>
      <c r="AA14" s="144"/>
      <c r="AB14" s="142"/>
      <c r="AC14" s="142"/>
      <c r="AD14" s="142"/>
      <c r="AE14" s="142"/>
      <c r="AF14" s="142"/>
      <c r="AG14" s="142"/>
      <c r="AH14" s="142"/>
      <c r="AI14" s="142"/>
      <c r="AJ14" s="142"/>
      <c r="AK14" s="142"/>
      <c r="AL14" s="142"/>
      <c r="AM14" s="142"/>
      <c r="AN14" s="142"/>
      <c r="AO14" s="142"/>
      <c r="AP14" s="142"/>
      <c r="AQ14" s="142"/>
      <c r="AR14" s="142"/>
      <c r="AS14" s="142"/>
      <c r="AT14" s="142"/>
      <c r="AU14" s="142"/>
      <c r="AV14" s="142"/>
      <c r="AW14" s="142"/>
      <c r="AX14" s="142"/>
      <c r="AY14" s="142"/>
      <c r="AZ14" s="142"/>
      <c r="BA14" s="142"/>
      <c r="BB14" s="145"/>
      <c r="BC14" s="146"/>
      <c r="BD14" s="142"/>
      <c r="BE14" s="143"/>
      <c r="BF14" s="147"/>
      <c r="BG14" s="142"/>
      <c r="BH14" s="145"/>
      <c r="BI14" s="147"/>
      <c r="BJ14" s="142"/>
      <c r="BK14" s="145"/>
      <c r="BL14" s="146"/>
      <c r="BM14" s="142"/>
      <c r="BN14" s="145"/>
      <c r="BO14" s="14">
        <f t="shared" ref="BO14:BO25" si="2">IF(OR(BC14=" ",ISBLANK(BC14)),0,1)</f>
        <v>0</v>
      </c>
      <c r="BP14" s="14">
        <f t="shared" ref="BP14:BP25" si="3">IF(OR(BF14=" ",ISBLANK(BF14)),0,1)</f>
        <v>0</v>
      </c>
      <c r="BQ14" s="11">
        <f t="shared" ref="BQ14:BQ25" si="4">IF(OR(BI14=" ",ISBLANK(BI14)),0,1)</f>
        <v>0</v>
      </c>
      <c r="BR14" s="11">
        <f t="shared" ref="BR14:BR25" si="5">IF(OR(BL14=" ",ISBLANK(BL14)),0,1)</f>
        <v>0</v>
      </c>
      <c r="BS14" s="11"/>
      <c r="BT14" s="11"/>
      <c r="BU14" s="11"/>
    </row>
    <row r="15" ht="22.5" customHeight="1">
      <c r="B15" s="148" t="s">
        <v>72</v>
      </c>
      <c r="C15" s="149"/>
      <c r="D15" s="149"/>
      <c r="E15" s="149"/>
      <c r="F15" s="149"/>
      <c r="G15" s="149"/>
      <c r="H15" s="149"/>
      <c r="I15" s="149"/>
      <c r="J15" s="149"/>
      <c r="K15" s="149"/>
      <c r="L15" s="149"/>
      <c r="M15" s="149"/>
      <c r="N15" s="149"/>
      <c r="O15" s="149"/>
      <c r="P15" s="149"/>
      <c r="Q15" s="149"/>
      <c r="R15" s="149"/>
      <c r="S15" s="149"/>
      <c r="T15" s="149"/>
      <c r="U15" s="149"/>
      <c r="V15" s="149"/>
      <c r="W15" s="149"/>
      <c r="X15" s="149"/>
      <c r="Y15" s="149"/>
      <c r="Z15" s="150"/>
      <c r="AA15" s="151"/>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52"/>
      <c r="BC15" s="153"/>
      <c r="BD15" s="149"/>
      <c r="BE15" s="150"/>
      <c r="BF15" s="154"/>
      <c r="BG15" s="149"/>
      <c r="BH15" s="152"/>
      <c r="BI15" s="154"/>
      <c r="BJ15" s="149"/>
      <c r="BK15" s="152"/>
      <c r="BL15" s="153"/>
      <c r="BM15" s="149"/>
      <c r="BN15" s="152"/>
      <c r="BO15" s="14">
        <f t="shared" si="2"/>
        <v>0</v>
      </c>
      <c r="BP15" s="14">
        <f t="shared" si="3"/>
        <v>0</v>
      </c>
      <c r="BQ15" s="11">
        <f t="shared" si="4"/>
        <v>0</v>
      </c>
      <c r="BR15" s="11">
        <f t="shared" si="5"/>
        <v>0</v>
      </c>
      <c r="BS15" s="11"/>
      <c r="BT15" s="11"/>
      <c r="BU15" s="11"/>
    </row>
    <row r="16" ht="22.5" customHeight="1">
      <c r="B16" s="148" t="s">
        <v>73</v>
      </c>
      <c r="C16" s="149"/>
      <c r="D16" s="149"/>
      <c r="E16" s="149"/>
      <c r="F16" s="149"/>
      <c r="G16" s="149"/>
      <c r="H16" s="149"/>
      <c r="I16" s="149"/>
      <c r="J16" s="149"/>
      <c r="K16" s="149"/>
      <c r="L16" s="149"/>
      <c r="M16" s="149"/>
      <c r="N16" s="149"/>
      <c r="O16" s="149"/>
      <c r="P16" s="149"/>
      <c r="Q16" s="149"/>
      <c r="R16" s="149"/>
      <c r="S16" s="149"/>
      <c r="T16" s="149"/>
      <c r="U16" s="149"/>
      <c r="V16" s="149"/>
      <c r="W16" s="149"/>
      <c r="X16" s="149"/>
      <c r="Y16" s="149"/>
      <c r="Z16" s="150"/>
      <c r="AA16" s="151"/>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52"/>
      <c r="BC16" s="153"/>
      <c r="BD16" s="149"/>
      <c r="BE16" s="150"/>
      <c r="BF16" s="154"/>
      <c r="BG16" s="149"/>
      <c r="BH16" s="152"/>
      <c r="BI16" s="154"/>
      <c r="BJ16" s="149"/>
      <c r="BK16" s="152"/>
      <c r="BL16" s="153"/>
      <c r="BM16" s="149"/>
      <c r="BN16" s="152"/>
      <c r="BO16" s="14">
        <f t="shared" si="2"/>
        <v>0</v>
      </c>
      <c r="BP16" s="14">
        <f t="shared" si="3"/>
        <v>0</v>
      </c>
      <c r="BQ16" s="11">
        <f t="shared" si="4"/>
        <v>0</v>
      </c>
      <c r="BR16" s="11">
        <f t="shared" si="5"/>
        <v>0</v>
      </c>
      <c r="BS16" s="11"/>
      <c r="BT16" s="11"/>
      <c r="BU16" s="11"/>
    </row>
    <row r="17" ht="22.5" customHeight="1">
      <c r="B17" s="148" t="s">
        <v>74</v>
      </c>
      <c r="C17" s="149"/>
      <c r="D17" s="149"/>
      <c r="E17" s="149"/>
      <c r="F17" s="149"/>
      <c r="G17" s="149"/>
      <c r="H17" s="149"/>
      <c r="I17" s="149"/>
      <c r="J17" s="149"/>
      <c r="K17" s="149"/>
      <c r="L17" s="149"/>
      <c r="M17" s="149"/>
      <c r="N17" s="149"/>
      <c r="O17" s="149"/>
      <c r="P17" s="149"/>
      <c r="Q17" s="149"/>
      <c r="R17" s="149"/>
      <c r="S17" s="149"/>
      <c r="T17" s="149"/>
      <c r="U17" s="149"/>
      <c r="V17" s="149"/>
      <c r="W17" s="149"/>
      <c r="X17" s="149"/>
      <c r="Y17" s="149"/>
      <c r="Z17" s="150"/>
      <c r="AA17" s="151"/>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52"/>
      <c r="BC17" s="153"/>
      <c r="BD17" s="149"/>
      <c r="BE17" s="150"/>
      <c r="BF17" s="154"/>
      <c r="BG17" s="149"/>
      <c r="BH17" s="152"/>
      <c r="BI17" s="154"/>
      <c r="BJ17" s="149"/>
      <c r="BK17" s="152"/>
      <c r="BL17" s="153"/>
      <c r="BM17" s="149"/>
      <c r="BN17" s="152"/>
      <c r="BO17" s="14">
        <f t="shared" si="2"/>
        <v>0</v>
      </c>
      <c r="BP17" s="14">
        <f t="shared" si="3"/>
        <v>0</v>
      </c>
      <c r="BQ17" s="11">
        <f t="shared" si="4"/>
        <v>0</v>
      </c>
      <c r="BR17" s="11">
        <f t="shared" si="5"/>
        <v>0</v>
      </c>
      <c r="BS17" s="11"/>
      <c r="BT17" s="11"/>
      <c r="BU17" s="11"/>
    </row>
    <row r="18" ht="22.5" customHeight="1">
      <c r="B18" s="148" t="s">
        <v>75</v>
      </c>
      <c r="C18" s="149"/>
      <c r="D18" s="149"/>
      <c r="E18" s="149"/>
      <c r="F18" s="149"/>
      <c r="G18" s="149"/>
      <c r="H18" s="149"/>
      <c r="I18" s="149"/>
      <c r="J18" s="149"/>
      <c r="K18" s="149"/>
      <c r="L18" s="149"/>
      <c r="M18" s="149"/>
      <c r="N18" s="149"/>
      <c r="O18" s="149"/>
      <c r="P18" s="149"/>
      <c r="Q18" s="149"/>
      <c r="R18" s="149"/>
      <c r="S18" s="149"/>
      <c r="T18" s="149"/>
      <c r="U18" s="149"/>
      <c r="V18" s="149"/>
      <c r="W18" s="149"/>
      <c r="X18" s="149"/>
      <c r="Y18" s="149"/>
      <c r="Z18" s="150"/>
      <c r="AA18" s="151"/>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52"/>
      <c r="BC18" s="153"/>
      <c r="BD18" s="149"/>
      <c r="BE18" s="150"/>
      <c r="BF18" s="154"/>
      <c r="BG18" s="149"/>
      <c r="BH18" s="152"/>
      <c r="BI18" s="154"/>
      <c r="BJ18" s="149"/>
      <c r="BK18" s="152"/>
      <c r="BL18" s="153"/>
      <c r="BM18" s="149"/>
      <c r="BN18" s="152"/>
      <c r="BO18" s="14">
        <f t="shared" si="2"/>
        <v>0</v>
      </c>
      <c r="BP18" s="14">
        <f t="shared" si="3"/>
        <v>0</v>
      </c>
      <c r="BQ18" s="11">
        <f t="shared" si="4"/>
        <v>0</v>
      </c>
      <c r="BR18" s="11">
        <f t="shared" si="5"/>
        <v>0</v>
      </c>
      <c r="BS18" s="11"/>
      <c r="BT18" s="11"/>
      <c r="BU18" s="11"/>
    </row>
    <row r="19" ht="22.5" customHeight="1">
      <c r="B19" s="148" t="s">
        <v>76</v>
      </c>
      <c r="C19" s="149"/>
      <c r="D19" s="149"/>
      <c r="E19" s="149"/>
      <c r="F19" s="149"/>
      <c r="G19" s="149"/>
      <c r="H19" s="149"/>
      <c r="I19" s="149"/>
      <c r="J19" s="149"/>
      <c r="K19" s="149"/>
      <c r="L19" s="149"/>
      <c r="M19" s="149"/>
      <c r="N19" s="149"/>
      <c r="O19" s="149"/>
      <c r="P19" s="149"/>
      <c r="Q19" s="149"/>
      <c r="R19" s="149"/>
      <c r="S19" s="149"/>
      <c r="T19" s="149"/>
      <c r="U19" s="149"/>
      <c r="V19" s="149"/>
      <c r="W19" s="149"/>
      <c r="X19" s="149"/>
      <c r="Y19" s="149"/>
      <c r="Z19" s="150"/>
      <c r="AA19" s="151"/>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52"/>
      <c r="BC19" s="153"/>
      <c r="BD19" s="149"/>
      <c r="BE19" s="150"/>
      <c r="BF19" s="154"/>
      <c r="BG19" s="149"/>
      <c r="BH19" s="152"/>
      <c r="BI19" s="154"/>
      <c r="BJ19" s="149"/>
      <c r="BK19" s="152"/>
      <c r="BL19" s="153"/>
      <c r="BM19" s="149"/>
      <c r="BN19" s="152"/>
      <c r="BO19" s="14">
        <f t="shared" si="2"/>
        <v>0</v>
      </c>
      <c r="BP19" s="14">
        <f t="shared" si="3"/>
        <v>0</v>
      </c>
      <c r="BQ19" s="11">
        <f t="shared" si="4"/>
        <v>0</v>
      </c>
      <c r="BR19" s="11">
        <f t="shared" si="5"/>
        <v>0</v>
      </c>
      <c r="BS19" s="11"/>
      <c r="BT19" s="11"/>
      <c r="BU19" s="11"/>
    </row>
    <row r="20" ht="22.5" customHeight="1">
      <c r="B20" s="148" t="s">
        <v>77</v>
      </c>
      <c r="C20" s="149"/>
      <c r="D20" s="149"/>
      <c r="E20" s="149"/>
      <c r="F20" s="149"/>
      <c r="G20" s="149"/>
      <c r="H20" s="149"/>
      <c r="I20" s="149"/>
      <c r="J20" s="149"/>
      <c r="K20" s="149"/>
      <c r="L20" s="149"/>
      <c r="M20" s="149"/>
      <c r="N20" s="149"/>
      <c r="O20" s="149"/>
      <c r="P20" s="149"/>
      <c r="Q20" s="149"/>
      <c r="R20" s="149"/>
      <c r="S20" s="149"/>
      <c r="T20" s="149"/>
      <c r="U20" s="149"/>
      <c r="V20" s="149"/>
      <c r="W20" s="149"/>
      <c r="X20" s="149"/>
      <c r="Y20" s="149"/>
      <c r="Z20" s="150"/>
      <c r="AA20" s="151"/>
      <c r="AB20" s="149"/>
      <c r="AC20" s="149"/>
      <c r="AD20" s="149"/>
      <c r="AE20" s="149"/>
      <c r="AF20" s="149"/>
      <c r="AG20" s="149"/>
      <c r="AH20" s="149"/>
      <c r="AI20" s="149"/>
      <c r="AJ20" s="149"/>
      <c r="AK20" s="149"/>
      <c r="AL20" s="149"/>
      <c r="AM20" s="149"/>
      <c r="AN20" s="149"/>
      <c r="AO20" s="149"/>
      <c r="AP20" s="149"/>
      <c r="AQ20" s="149"/>
      <c r="AR20" s="149"/>
      <c r="AS20" s="149"/>
      <c r="AT20" s="149"/>
      <c r="AU20" s="149"/>
      <c r="AV20" s="149"/>
      <c r="AW20" s="149"/>
      <c r="AX20" s="149"/>
      <c r="AY20" s="149"/>
      <c r="AZ20" s="149"/>
      <c r="BA20" s="149"/>
      <c r="BB20" s="152"/>
      <c r="BC20" s="153"/>
      <c r="BD20" s="149"/>
      <c r="BE20" s="150"/>
      <c r="BF20" s="154"/>
      <c r="BG20" s="149"/>
      <c r="BH20" s="152"/>
      <c r="BI20" s="154"/>
      <c r="BJ20" s="149"/>
      <c r="BK20" s="152"/>
      <c r="BL20" s="153"/>
      <c r="BM20" s="149"/>
      <c r="BN20" s="152"/>
      <c r="BO20" s="14">
        <f t="shared" si="2"/>
        <v>0</v>
      </c>
      <c r="BP20" s="14">
        <f t="shared" si="3"/>
        <v>0</v>
      </c>
      <c r="BQ20" s="11">
        <f t="shared" si="4"/>
        <v>0</v>
      </c>
      <c r="BR20" s="11">
        <f t="shared" si="5"/>
        <v>0</v>
      </c>
      <c r="BS20" s="11"/>
      <c r="BT20" s="11"/>
      <c r="BU20" s="11"/>
    </row>
    <row r="21" ht="22.5" customHeight="1">
      <c r="B21" s="148" t="s">
        <v>78</v>
      </c>
      <c r="C21" s="149"/>
      <c r="D21" s="149"/>
      <c r="E21" s="149"/>
      <c r="F21" s="149"/>
      <c r="G21" s="149"/>
      <c r="H21" s="149"/>
      <c r="I21" s="149"/>
      <c r="J21" s="149"/>
      <c r="K21" s="149"/>
      <c r="L21" s="149"/>
      <c r="M21" s="149"/>
      <c r="N21" s="149"/>
      <c r="O21" s="149"/>
      <c r="P21" s="149"/>
      <c r="Q21" s="149"/>
      <c r="R21" s="149"/>
      <c r="S21" s="149"/>
      <c r="T21" s="149"/>
      <c r="U21" s="149"/>
      <c r="V21" s="149"/>
      <c r="W21" s="149"/>
      <c r="X21" s="149"/>
      <c r="Y21" s="149"/>
      <c r="Z21" s="150"/>
      <c r="AA21" s="151"/>
      <c r="AB21" s="149"/>
      <c r="AC21" s="149"/>
      <c r="AD21" s="149"/>
      <c r="AE21" s="149"/>
      <c r="AF21" s="149"/>
      <c r="AG21" s="149"/>
      <c r="AH21" s="149"/>
      <c r="AI21" s="149"/>
      <c r="AJ21" s="149"/>
      <c r="AK21" s="149"/>
      <c r="AL21" s="149"/>
      <c r="AM21" s="149"/>
      <c r="AN21" s="149"/>
      <c r="AO21" s="149"/>
      <c r="AP21" s="149"/>
      <c r="AQ21" s="149"/>
      <c r="AR21" s="149"/>
      <c r="AS21" s="149"/>
      <c r="AT21" s="149"/>
      <c r="AU21" s="149"/>
      <c r="AV21" s="149"/>
      <c r="AW21" s="149"/>
      <c r="AX21" s="149"/>
      <c r="AY21" s="149"/>
      <c r="AZ21" s="149"/>
      <c r="BA21" s="149"/>
      <c r="BB21" s="152"/>
      <c r="BC21" s="153"/>
      <c r="BD21" s="149"/>
      <c r="BE21" s="150"/>
      <c r="BF21" s="154"/>
      <c r="BG21" s="149"/>
      <c r="BH21" s="152"/>
      <c r="BI21" s="154"/>
      <c r="BJ21" s="149"/>
      <c r="BK21" s="152"/>
      <c r="BL21" s="153"/>
      <c r="BM21" s="149"/>
      <c r="BN21" s="152"/>
      <c r="BO21" s="14">
        <f t="shared" si="2"/>
        <v>0</v>
      </c>
      <c r="BP21" s="14">
        <f t="shared" si="3"/>
        <v>0</v>
      </c>
      <c r="BQ21" s="11">
        <f t="shared" si="4"/>
        <v>0</v>
      </c>
      <c r="BR21" s="11">
        <f t="shared" si="5"/>
        <v>0</v>
      </c>
      <c r="BS21" s="11"/>
      <c r="BT21" s="11"/>
      <c r="BU21" s="11"/>
    </row>
    <row r="22" ht="22.5" customHeight="1">
      <c r="B22" s="148" t="s">
        <v>79</v>
      </c>
      <c r="C22" s="149"/>
      <c r="D22" s="149"/>
      <c r="E22" s="149"/>
      <c r="F22" s="149"/>
      <c r="G22" s="149"/>
      <c r="H22" s="149"/>
      <c r="I22" s="149"/>
      <c r="J22" s="149"/>
      <c r="K22" s="149"/>
      <c r="L22" s="149"/>
      <c r="M22" s="149"/>
      <c r="N22" s="149"/>
      <c r="O22" s="149"/>
      <c r="P22" s="149"/>
      <c r="Q22" s="149"/>
      <c r="R22" s="149"/>
      <c r="S22" s="149"/>
      <c r="T22" s="149"/>
      <c r="U22" s="149"/>
      <c r="V22" s="149"/>
      <c r="W22" s="149"/>
      <c r="X22" s="149"/>
      <c r="Y22" s="149"/>
      <c r="Z22" s="150"/>
      <c r="AA22" s="151"/>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52"/>
      <c r="BC22" s="153"/>
      <c r="BD22" s="149"/>
      <c r="BE22" s="150"/>
      <c r="BF22" s="154"/>
      <c r="BG22" s="149"/>
      <c r="BH22" s="152"/>
      <c r="BI22" s="154"/>
      <c r="BJ22" s="149"/>
      <c r="BK22" s="152"/>
      <c r="BL22" s="153"/>
      <c r="BM22" s="149"/>
      <c r="BN22" s="152"/>
      <c r="BO22" s="14">
        <f t="shared" si="2"/>
        <v>0</v>
      </c>
      <c r="BP22" s="14">
        <f t="shared" si="3"/>
        <v>0</v>
      </c>
      <c r="BQ22" s="11">
        <f t="shared" si="4"/>
        <v>0</v>
      </c>
      <c r="BR22" s="11">
        <f t="shared" si="5"/>
        <v>0</v>
      </c>
      <c r="BS22" s="11"/>
      <c r="BT22" s="11"/>
      <c r="BU22" s="11"/>
    </row>
    <row r="23" ht="22.5" customHeight="1">
      <c r="B23" s="148" t="s">
        <v>80</v>
      </c>
      <c r="C23" s="149"/>
      <c r="D23" s="149"/>
      <c r="E23" s="149"/>
      <c r="F23" s="149"/>
      <c r="G23" s="149"/>
      <c r="H23" s="149"/>
      <c r="I23" s="149"/>
      <c r="J23" s="149"/>
      <c r="K23" s="149"/>
      <c r="L23" s="149"/>
      <c r="M23" s="149"/>
      <c r="N23" s="149"/>
      <c r="O23" s="149"/>
      <c r="P23" s="149"/>
      <c r="Q23" s="149"/>
      <c r="R23" s="149"/>
      <c r="S23" s="149"/>
      <c r="T23" s="149"/>
      <c r="U23" s="149"/>
      <c r="V23" s="149"/>
      <c r="W23" s="149"/>
      <c r="X23" s="149"/>
      <c r="Y23" s="149"/>
      <c r="Z23" s="150"/>
      <c r="AA23" s="151"/>
      <c r="AB23" s="149"/>
      <c r="AC23" s="149"/>
      <c r="AD23" s="149"/>
      <c r="AE23" s="149"/>
      <c r="AF23" s="149"/>
      <c r="AG23" s="149"/>
      <c r="AH23" s="149"/>
      <c r="AI23" s="149"/>
      <c r="AJ23" s="149"/>
      <c r="AK23" s="149"/>
      <c r="AL23" s="149"/>
      <c r="AM23" s="149"/>
      <c r="AN23" s="149"/>
      <c r="AO23" s="149"/>
      <c r="AP23" s="149"/>
      <c r="AQ23" s="149"/>
      <c r="AR23" s="149"/>
      <c r="AS23" s="149"/>
      <c r="AT23" s="149"/>
      <c r="AU23" s="149"/>
      <c r="AV23" s="149"/>
      <c r="AW23" s="149"/>
      <c r="AX23" s="149"/>
      <c r="AY23" s="149"/>
      <c r="AZ23" s="149"/>
      <c r="BA23" s="149"/>
      <c r="BB23" s="152"/>
      <c r="BC23" s="153"/>
      <c r="BD23" s="149"/>
      <c r="BE23" s="150"/>
      <c r="BF23" s="154"/>
      <c r="BG23" s="149"/>
      <c r="BH23" s="152"/>
      <c r="BI23" s="154"/>
      <c r="BJ23" s="149"/>
      <c r="BK23" s="152"/>
      <c r="BL23" s="153"/>
      <c r="BM23" s="149"/>
      <c r="BN23" s="152"/>
      <c r="BO23" s="14">
        <f t="shared" si="2"/>
        <v>0</v>
      </c>
      <c r="BP23" s="14">
        <f t="shared" si="3"/>
        <v>0</v>
      </c>
      <c r="BQ23" s="11">
        <f t="shared" si="4"/>
        <v>0</v>
      </c>
      <c r="BR23" s="11">
        <f t="shared" si="5"/>
        <v>0</v>
      </c>
      <c r="BS23" s="11"/>
      <c r="BT23" s="11"/>
      <c r="BU23" s="11"/>
    </row>
    <row r="24" ht="22.5" customHeight="1">
      <c r="B24" s="155" t="s">
        <v>81</v>
      </c>
      <c r="C24" s="156"/>
      <c r="D24" s="149"/>
      <c r="E24" s="149"/>
      <c r="F24" s="149"/>
      <c r="G24" s="149"/>
      <c r="H24" s="149"/>
      <c r="I24" s="149"/>
      <c r="J24" s="149"/>
      <c r="K24" s="149"/>
      <c r="L24" s="149"/>
      <c r="M24" s="149"/>
      <c r="N24" s="149"/>
      <c r="O24" s="149"/>
      <c r="P24" s="149"/>
      <c r="Q24" s="149"/>
      <c r="R24" s="149"/>
      <c r="S24" s="149"/>
      <c r="T24" s="149"/>
      <c r="U24" s="149"/>
      <c r="V24" s="149"/>
      <c r="W24" s="149"/>
      <c r="X24" s="149"/>
      <c r="Y24" s="149"/>
      <c r="Z24" s="150"/>
      <c r="AA24" s="151"/>
      <c r="AB24" s="149"/>
      <c r="AC24" s="149"/>
      <c r="AD24" s="149"/>
      <c r="AE24" s="149"/>
      <c r="AF24" s="149"/>
      <c r="AG24" s="149"/>
      <c r="AH24" s="149"/>
      <c r="AI24" s="149"/>
      <c r="AJ24" s="149"/>
      <c r="AK24" s="149"/>
      <c r="AL24" s="149"/>
      <c r="AM24" s="149"/>
      <c r="AN24" s="149"/>
      <c r="AO24" s="149"/>
      <c r="AP24" s="149"/>
      <c r="AQ24" s="149"/>
      <c r="AR24" s="149"/>
      <c r="AS24" s="149"/>
      <c r="AT24" s="149"/>
      <c r="AU24" s="149"/>
      <c r="AV24" s="149"/>
      <c r="AW24" s="149"/>
      <c r="AX24" s="149"/>
      <c r="AY24" s="149"/>
      <c r="AZ24" s="149"/>
      <c r="BA24" s="149"/>
      <c r="BB24" s="152"/>
      <c r="BC24" s="153"/>
      <c r="BD24" s="149"/>
      <c r="BE24" s="150"/>
      <c r="BF24" s="154"/>
      <c r="BG24" s="149"/>
      <c r="BH24" s="152"/>
      <c r="BI24" s="154"/>
      <c r="BJ24" s="149"/>
      <c r="BK24" s="152"/>
      <c r="BL24" s="153"/>
      <c r="BM24" s="149"/>
      <c r="BN24" s="152"/>
      <c r="BO24" s="14">
        <f t="shared" si="2"/>
        <v>0</v>
      </c>
      <c r="BP24" s="14">
        <f t="shared" si="3"/>
        <v>0</v>
      </c>
      <c r="BQ24" s="11">
        <f t="shared" si="4"/>
        <v>0</v>
      </c>
      <c r="BR24" s="11">
        <f t="shared" si="5"/>
        <v>0</v>
      </c>
      <c r="BS24" s="11"/>
      <c r="BT24" s="11"/>
      <c r="BU24" s="11"/>
    </row>
    <row r="25" ht="22.5" customHeight="1">
      <c r="B25" s="155" t="s">
        <v>81</v>
      </c>
      <c r="C25" s="156"/>
      <c r="D25" s="149"/>
      <c r="E25" s="149"/>
      <c r="F25" s="149"/>
      <c r="G25" s="149"/>
      <c r="H25" s="149"/>
      <c r="I25" s="149"/>
      <c r="J25" s="149"/>
      <c r="K25" s="149"/>
      <c r="L25" s="149"/>
      <c r="M25" s="149"/>
      <c r="N25" s="149"/>
      <c r="O25" s="149"/>
      <c r="P25" s="149"/>
      <c r="Q25" s="149"/>
      <c r="R25" s="149"/>
      <c r="S25" s="149"/>
      <c r="T25" s="149"/>
      <c r="U25" s="149"/>
      <c r="V25" s="149"/>
      <c r="W25" s="149"/>
      <c r="X25" s="149"/>
      <c r="Y25" s="149"/>
      <c r="Z25" s="150"/>
      <c r="AA25" s="151"/>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52"/>
      <c r="BC25" s="157"/>
      <c r="BD25" s="158"/>
      <c r="BE25" s="159"/>
      <c r="BF25" s="160"/>
      <c r="BG25" s="158"/>
      <c r="BH25" s="161"/>
      <c r="BI25" s="160"/>
      <c r="BJ25" s="158"/>
      <c r="BK25" s="161"/>
      <c r="BL25" s="157"/>
      <c r="BM25" s="158"/>
      <c r="BN25" s="161"/>
      <c r="BO25" s="14">
        <f t="shared" si="2"/>
        <v>0</v>
      </c>
      <c r="BP25" s="14">
        <f t="shared" si="3"/>
        <v>0</v>
      </c>
      <c r="BQ25" s="11">
        <f t="shared" si="4"/>
        <v>0</v>
      </c>
      <c r="BR25" s="11">
        <f t="shared" si="5"/>
        <v>0</v>
      </c>
      <c r="BS25" s="11"/>
      <c r="BT25" s="11"/>
      <c r="BU25" s="11"/>
    </row>
    <row r="26" ht="22.5" customHeight="1">
      <c r="B26" s="162"/>
      <c r="C26" s="158"/>
      <c r="D26" s="158"/>
      <c r="E26" s="158"/>
      <c r="F26" s="158"/>
      <c r="G26" s="158"/>
      <c r="H26" s="158"/>
      <c r="I26" s="158"/>
      <c r="J26" s="158"/>
      <c r="K26" s="158"/>
      <c r="L26" s="158"/>
      <c r="M26" s="158"/>
      <c r="N26" s="158"/>
      <c r="O26" s="158"/>
      <c r="P26" s="158"/>
      <c r="Q26" s="158"/>
      <c r="R26" s="158"/>
      <c r="S26" s="158"/>
      <c r="T26" s="158"/>
      <c r="U26" s="158"/>
      <c r="V26" s="158"/>
      <c r="W26" s="158"/>
      <c r="X26" s="158"/>
      <c r="Y26" s="158"/>
      <c r="Z26" s="159"/>
      <c r="AA26" s="163" t="s">
        <v>82</v>
      </c>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61"/>
      <c r="BC26" s="164" t="str">
        <f>IF(BO26=0,"",IF(AND(BO26&gt;0,SUM(BC14:BE25)&lt;=10),SUM(BC14:BE25),10))</f>
        <v/>
      </c>
      <c r="BD26" s="136"/>
      <c r="BE26" s="139"/>
      <c r="BF26" s="164" t="str">
        <f>IF(BP26=0,"",IF(AND(BP26&gt;0,SUM(BF14:BH25)&lt;=10),SUM(BF14:BH25),10))</f>
        <v/>
      </c>
      <c r="BG26" s="136"/>
      <c r="BH26" s="139"/>
      <c r="BI26" s="164" t="str">
        <f>IF(BQ26=0,"",IF(AND(BQ26&gt;0,SUM(BI14:BK25)&lt;=10),SUM(BI14:BK25),10))</f>
        <v/>
      </c>
      <c r="BJ26" s="136"/>
      <c r="BK26" s="139"/>
      <c r="BL26" s="165" t="str">
        <f>IF(BR26=0,"",IF(AND(BR26&gt;0,SUM(BL14:BN25)&lt;=10),SUM(BL14:BN25),10))</f>
        <v/>
      </c>
      <c r="BM26" s="166"/>
      <c r="BN26" s="167"/>
      <c r="BO26" s="14">
        <f t="shared" ref="BO26:BR26" si="6">SUM(BO14:BO25)</f>
        <v>0</v>
      </c>
      <c r="BP26" s="14">
        <f t="shared" si="6"/>
        <v>0</v>
      </c>
      <c r="BQ26" s="11">
        <f t="shared" si="6"/>
        <v>0</v>
      </c>
      <c r="BR26" s="11">
        <f t="shared" si="6"/>
        <v>0</v>
      </c>
      <c r="BS26" s="11"/>
      <c r="BT26" s="11"/>
      <c r="BU26" s="11"/>
    </row>
    <row r="27" ht="22.5" customHeight="1">
      <c r="A27" s="6"/>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c r="AB27" s="169"/>
      <c r="AC27" s="169"/>
      <c r="AD27" s="169"/>
      <c r="AE27" s="169"/>
      <c r="AF27" s="169"/>
      <c r="AG27" s="169"/>
      <c r="AH27" s="169"/>
      <c r="AI27" s="169"/>
      <c r="AJ27" s="169"/>
      <c r="AK27" s="169"/>
      <c r="AL27" s="169"/>
      <c r="AM27" s="169"/>
      <c r="AN27" s="169"/>
      <c r="AO27" s="169"/>
      <c r="AP27" s="169"/>
      <c r="AQ27" s="169"/>
      <c r="AR27" s="169"/>
      <c r="AS27" s="169"/>
      <c r="AT27" s="169"/>
      <c r="AU27" s="169"/>
      <c r="AV27" s="169"/>
      <c r="AW27" s="169"/>
      <c r="AX27" s="169"/>
      <c r="AY27" s="169"/>
      <c r="AZ27" s="169"/>
      <c r="BA27" s="169"/>
      <c r="BB27" s="169"/>
      <c r="BC27" s="171"/>
      <c r="BD27" s="169"/>
      <c r="BE27" s="169"/>
      <c r="BF27" s="171"/>
      <c r="BG27" s="169"/>
      <c r="BH27" s="169"/>
      <c r="BI27" s="171"/>
      <c r="BJ27" s="169"/>
      <c r="BK27" s="169"/>
      <c r="BL27" s="171"/>
      <c r="BM27" s="169"/>
      <c r="BN27" s="169"/>
      <c r="BO27" s="14" t="str">
        <f>IF(ISNUMBER(BL26),BL26,IF(ISNUMBER(BI26),BI26,IF(ISNUMBER(BF26),BF26,IF(ISNUMBER(BC26),BC26,"@"))))</f>
        <v>@</v>
      </c>
      <c r="BP27" s="14"/>
      <c r="BQ27" s="11"/>
      <c r="BR27" s="11"/>
      <c r="BS27" s="11"/>
      <c r="BT27" s="11"/>
      <c r="BU27" s="11"/>
    </row>
    <row r="28" ht="22.5" customHeight="1">
      <c r="B28" s="135" t="s">
        <v>83</v>
      </c>
      <c r="C28" s="136"/>
      <c r="D28" s="136"/>
      <c r="E28" s="136"/>
      <c r="F28" s="136"/>
      <c r="G28" s="136"/>
      <c r="H28" s="136"/>
      <c r="I28" s="136"/>
      <c r="J28" s="136"/>
      <c r="K28" s="136"/>
      <c r="L28" s="136"/>
      <c r="M28" s="136"/>
      <c r="N28" s="136"/>
      <c r="O28" s="136"/>
      <c r="P28" s="136"/>
      <c r="Q28" s="136"/>
      <c r="R28" s="136"/>
      <c r="S28" s="136"/>
      <c r="T28" s="136"/>
      <c r="U28" s="136"/>
      <c r="V28" s="136"/>
      <c r="W28" s="136"/>
      <c r="X28" s="136"/>
      <c r="Y28" s="136"/>
      <c r="Z28" s="137"/>
      <c r="AA28" s="172" t="s">
        <v>66</v>
      </c>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9"/>
      <c r="BC28" s="140" t="s">
        <v>67</v>
      </c>
      <c r="BD28" s="136"/>
      <c r="BE28" s="139"/>
      <c r="BF28" s="173" t="s">
        <v>68</v>
      </c>
      <c r="BG28" s="136"/>
      <c r="BH28" s="139"/>
      <c r="BI28" s="173" t="s">
        <v>69</v>
      </c>
      <c r="BJ28" s="136"/>
      <c r="BK28" s="139"/>
      <c r="BL28" s="173" t="s">
        <v>70</v>
      </c>
      <c r="BM28" s="136"/>
      <c r="BN28" s="139"/>
      <c r="BO28" s="14"/>
      <c r="BP28" s="14"/>
      <c r="BQ28" s="11"/>
      <c r="BR28" s="11"/>
      <c r="BS28" s="11"/>
      <c r="BT28" s="11"/>
      <c r="BU28" s="11"/>
    </row>
    <row r="29" ht="22.5" customHeight="1">
      <c r="B29" s="174" t="s">
        <v>84</v>
      </c>
      <c r="C29" s="175"/>
      <c r="D29" s="175"/>
      <c r="E29" s="175"/>
      <c r="F29" s="175"/>
      <c r="G29" s="175"/>
      <c r="H29" s="175"/>
      <c r="I29" s="175"/>
      <c r="J29" s="175"/>
      <c r="K29" s="175"/>
      <c r="L29" s="175"/>
      <c r="M29" s="175"/>
      <c r="N29" s="175"/>
      <c r="O29" s="175"/>
      <c r="P29" s="175"/>
      <c r="Q29" s="175"/>
      <c r="R29" s="175"/>
      <c r="S29" s="175"/>
      <c r="T29" s="175"/>
      <c r="U29" s="175"/>
      <c r="V29" s="175"/>
      <c r="W29" s="175"/>
      <c r="X29" s="175"/>
      <c r="Y29" s="175"/>
      <c r="Z29" s="176"/>
      <c r="AA29" s="177"/>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8"/>
      <c r="BC29" s="147"/>
      <c r="BD29" s="142"/>
      <c r="BE29" s="145"/>
      <c r="BF29" s="147"/>
      <c r="BG29" s="142"/>
      <c r="BH29" s="145"/>
      <c r="BI29" s="179"/>
      <c r="BJ29" s="175"/>
      <c r="BK29" s="178"/>
      <c r="BL29" s="179"/>
      <c r="BM29" s="175"/>
      <c r="BN29" s="178"/>
      <c r="BO29" s="14">
        <f t="shared" ref="BO29:BO40" si="7">IF(OR(BC29=" ",ISBLANK(BC29)),0,1)</f>
        <v>0</v>
      </c>
      <c r="BP29" s="14">
        <f t="shared" ref="BP29:BP40" si="8">IF(OR(BF29=" ",ISBLANK(BF29)),0,1)</f>
        <v>0</v>
      </c>
      <c r="BQ29" s="11">
        <f t="shared" ref="BQ29:BQ40" si="9">IF(OR(BI29=" ",ISBLANK(BI29)),0,1)</f>
        <v>0</v>
      </c>
      <c r="BR29" s="11">
        <f t="shared" ref="BR29:BR40" si="10">IF(OR(BL29=" ",ISBLANK(BL29)),0,1)</f>
        <v>0</v>
      </c>
      <c r="BS29" s="11"/>
      <c r="BT29" s="11"/>
      <c r="BU29" s="11"/>
    </row>
    <row r="30" ht="22.5" customHeight="1">
      <c r="B30" s="148" t="s">
        <v>85</v>
      </c>
      <c r="C30" s="149"/>
      <c r="D30" s="149"/>
      <c r="E30" s="149"/>
      <c r="F30" s="149"/>
      <c r="G30" s="149"/>
      <c r="H30" s="149"/>
      <c r="I30" s="149"/>
      <c r="J30" s="149"/>
      <c r="K30" s="149"/>
      <c r="L30" s="149"/>
      <c r="M30" s="149"/>
      <c r="N30" s="149"/>
      <c r="O30" s="149"/>
      <c r="P30" s="149"/>
      <c r="Q30" s="149"/>
      <c r="R30" s="149"/>
      <c r="S30" s="149"/>
      <c r="T30" s="149"/>
      <c r="U30" s="149"/>
      <c r="V30" s="149"/>
      <c r="W30" s="149"/>
      <c r="X30" s="149"/>
      <c r="Y30" s="149"/>
      <c r="Z30" s="150"/>
      <c r="AA30" s="151"/>
      <c r="AB30" s="149"/>
      <c r="AC30" s="149"/>
      <c r="AD30" s="149"/>
      <c r="AE30" s="149"/>
      <c r="AF30" s="149"/>
      <c r="AG30" s="149"/>
      <c r="AH30" s="149"/>
      <c r="AI30" s="149"/>
      <c r="AJ30" s="149"/>
      <c r="AK30" s="149"/>
      <c r="AL30" s="149"/>
      <c r="AM30" s="149"/>
      <c r="AN30" s="149"/>
      <c r="AO30" s="149"/>
      <c r="AP30" s="149"/>
      <c r="AQ30" s="149"/>
      <c r="AR30" s="149"/>
      <c r="AS30" s="149"/>
      <c r="AT30" s="149"/>
      <c r="AU30" s="149"/>
      <c r="AV30" s="149"/>
      <c r="AW30" s="149"/>
      <c r="AX30" s="149"/>
      <c r="AY30" s="149"/>
      <c r="AZ30" s="149"/>
      <c r="BA30" s="149"/>
      <c r="BB30" s="152"/>
      <c r="BC30" s="154"/>
      <c r="BD30" s="149"/>
      <c r="BE30" s="152"/>
      <c r="BF30" s="154"/>
      <c r="BG30" s="149"/>
      <c r="BH30" s="152"/>
      <c r="BI30" s="153"/>
      <c r="BJ30" s="149"/>
      <c r="BK30" s="152"/>
      <c r="BL30" s="153"/>
      <c r="BM30" s="149"/>
      <c r="BN30" s="152"/>
      <c r="BO30" s="14">
        <f t="shared" si="7"/>
        <v>0</v>
      </c>
      <c r="BP30" s="14">
        <f t="shared" si="8"/>
        <v>0</v>
      </c>
      <c r="BQ30" s="11">
        <f t="shared" si="9"/>
        <v>0</v>
      </c>
      <c r="BR30" s="11">
        <f t="shared" si="10"/>
        <v>0</v>
      </c>
      <c r="BS30" s="11"/>
      <c r="BT30" s="11"/>
      <c r="BU30" s="11"/>
    </row>
    <row r="31" ht="22.5" customHeight="1">
      <c r="B31" s="148" t="s">
        <v>86</v>
      </c>
      <c r="C31" s="149"/>
      <c r="D31" s="149"/>
      <c r="E31" s="149"/>
      <c r="F31" s="149"/>
      <c r="G31" s="149"/>
      <c r="H31" s="149"/>
      <c r="I31" s="149"/>
      <c r="J31" s="149"/>
      <c r="K31" s="149"/>
      <c r="L31" s="149"/>
      <c r="M31" s="149"/>
      <c r="N31" s="149"/>
      <c r="O31" s="149"/>
      <c r="P31" s="149"/>
      <c r="Q31" s="149"/>
      <c r="R31" s="149"/>
      <c r="S31" s="149"/>
      <c r="T31" s="149"/>
      <c r="U31" s="149"/>
      <c r="V31" s="149"/>
      <c r="W31" s="149"/>
      <c r="X31" s="149"/>
      <c r="Y31" s="149"/>
      <c r="Z31" s="150"/>
      <c r="AA31" s="151"/>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149"/>
      <c r="BA31" s="149"/>
      <c r="BB31" s="152"/>
      <c r="BC31" s="154"/>
      <c r="BD31" s="149"/>
      <c r="BE31" s="152"/>
      <c r="BF31" s="154"/>
      <c r="BG31" s="149"/>
      <c r="BH31" s="152"/>
      <c r="BI31" s="153"/>
      <c r="BJ31" s="149"/>
      <c r="BK31" s="152"/>
      <c r="BL31" s="153"/>
      <c r="BM31" s="149"/>
      <c r="BN31" s="152"/>
      <c r="BO31" s="14">
        <f t="shared" si="7"/>
        <v>0</v>
      </c>
      <c r="BP31" s="14">
        <f t="shared" si="8"/>
        <v>0</v>
      </c>
      <c r="BQ31" s="11">
        <f t="shared" si="9"/>
        <v>0</v>
      </c>
      <c r="BR31" s="11">
        <f t="shared" si="10"/>
        <v>0</v>
      </c>
      <c r="BS31" s="11"/>
      <c r="BT31" s="11"/>
      <c r="BU31" s="11"/>
    </row>
    <row r="32" ht="22.5" customHeight="1">
      <c r="B32" s="148" t="s">
        <v>87</v>
      </c>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50"/>
      <c r="AA32" s="151"/>
      <c r="AB32" s="149"/>
      <c r="AC32" s="149"/>
      <c r="AD32" s="149"/>
      <c r="AE32" s="149"/>
      <c r="AF32" s="149"/>
      <c r="AG32" s="149"/>
      <c r="AH32" s="149"/>
      <c r="AI32" s="149"/>
      <c r="AJ32" s="149"/>
      <c r="AK32" s="149"/>
      <c r="AL32" s="149"/>
      <c r="AM32" s="149"/>
      <c r="AN32" s="149"/>
      <c r="AO32" s="149"/>
      <c r="AP32" s="149"/>
      <c r="AQ32" s="149"/>
      <c r="AR32" s="149"/>
      <c r="AS32" s="149"/>
      <c r="AT32" s="149"/>
      <c r="AU32" s="149"/>
      <c r="AV32" s="149"/>
      <c r="AW32" s="149"/>
      <c r="AX32" s="149"/>
      <c r="AY32" s="149"/>
      <c r="AZ32" s="149"/>
      <c r="BA32" s="149"/>
      <c r="BB32" s="152"/>
      <c r="BC32" s="154"/>
      <c r="BD32" s="149"/>
      <c r="BE32" s="152"/>
      <c r="BF32" s="154"/>
      <c r="BG32" s="149"/>
      <c r="BH32" s="152"/>
      <c r="BI32" s="153"/>
      <c r="BJ32" s="149"/>
      <c r="BK32" s="152"/>
      <c r="BL32" s="153"/>
      <c r="BM32" s="149"/>
      <c r="BN32" s="152"/>
      <c r="BO32" s="14">
        <f t="shared" si="7"/>
        <v>0</v>
      </c>
      <c r="BP32" s="14">
        <f t="shared" si="8"/>
        <v>0</v>
      </c>
      <c r="BQ32" s="11">
        <f t="shared" si="9"/>
        <v>0</v>
      </c>
      <c r="BR32" s="11">
        <f t="shared" si="10"/>
        <v>0</v>
      </c>
      <c r="BS32" s="11"/>
      <c r="BT32" s="11"/>
      <c r="BU32" s="11"/>
    </row>
    <row r="33" ht="22.5" customHeight="1">
      <c r="B33" s="148" t="s">
        <v>88</v>
      </c>
      <c r="C33" s="149"/>
      <c r="D33" s="149"/>
      <c r="E33" s="149"/>
      <c r="F33" s="149"/>
      <c r="G33" s="149"/>
      <c r="H33" s="149"/>
      <c r="I33" s="149"/>
      <c r="J33" s="149"/>
      <c r="K33" s="149"/>
      <c r="L33" s="149"/>
      <c r="M33" s="149"/>
      <c r="N33" s="149"/>
      <c r="O33" s="149"/>
      <c r="P33" s="149"/>
      <c r="Q33" s="149"/>
      <c r="R33" s="149"/>
      <c r="S33" s="149"/>
      <c r="T33" s="149"/>
      <c r="U33" s="149"/>
      <c r="V33" s="149"/>
      <c r="W33" s="149"/>
      <c r="X33" s="149"/>
      <c r="Y33" s="149"/>
      <c r="Z33" s="150"/>
      <c r="AA33" s="151"/>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149"/>
      <c r="BA33" s="149"/>
      <c r="BB33" s="152"/>
      <c r="BC33" s="154"/>
      <c r="BD33" s="149"/>
      <c r="BE33" s="152"/>
      <c r="BF33" s="154"/>
      <c r="BG33" s="149"/>
      <c r="BH33" s="152"/>
      <c r="BI33" s="153"/>
      <c r="BJ33" s="149"/>
      <c r="BK33" s="152"/>
      <c r="BL33" s="153"/>
      <c r="BM33" s="149"/>
      <c r="BN33" s="152"/>
      <c r="BO33" s="14">
        <f t="shared" si="7"/>
        <v>0</v>
      </c>
      <c r="BP33" s="14">
        <f t="shared" si="8"/>
        <v>0</v>
      </c>
      <c r="BQ33" s="11">
        <f t="shared" si="9"/>
        <v>0</v>
      </c>
      <c r="BR33" s="11">
        <f t="shared" si="10"/>
        <v>0</v>
      </c>
      <c r="BS33" s="11"/>
      <c r="BT33" s="11"/>
      <c r="BU33" s="11"/>
    </row>
    <row r="34" ht="22.5" customHeight="1">
      <c r="B34" s="148" t="s">
        <v>89</v>
      </c>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50"/>
      <c r="AA34" s="151"/>
      <c r="AB34" s="149"/>
      <c r="AC34" s="149"/>
      <c r="AD34" s="149"/>
      <c r="AE34" s="149"/>
      <c r="AF34" s="149"/>
      <c r="AG34" s="149"/>
      <c r="AH34" s="149"/>
      <c r="AI34" s="149"/>
      <c r="AJ34" s="149"/>
      <c r="AK34" s="149"/>
      <c r="AL34" s="149"/>
      <c r="AM34" s="149"/>
      <c r="AN34" s="149"/>
      <c r="AO34" s="149"/>
      <c r="AP34" s="149"/>
      <c r="AQ34" s="149"/>
      <c r="AR34" s="149"/>
      <c r="AS34" s="149"/>
      <c r="AT34" s="149"/>
      <c r="AU34" s="149"/>
      <c r="AV34" s="149"/>
      <c r="AW34" s="149"/>
      <c r="AX34" s="149"/>
      <c r="AY34" s="149"/>
      <c r="AZ34" s="149"/>
      <c r="BA34" s="149"/>
      <c r="BB34" s="152"/>
      <c r="BC34" s="154"/>
      <c r="BD34" s="149"/>
      <c r="BE34" s="152"/>
      <c r="BF34" s="154"/>
      <c r="BG34" s="149"/>
      <c r="BH34" s="152"/>
      <c r="BI34" s="153"/>
      <c r="BJ34" s="149"/>
      <c r="BK34" s="152"/>
      <c r="BL34" s="153"/>
      <c r="BM34" s="149"/>
      <c r="BN34" s="152"/>
      <c r="BO34" s="14">
        <f t="shared" si="7"/>
        <v>0</v>
      </c>
      <c r="BP34" s="14">
        <f t="shared" si="8"/>
        <v>0</v>
      </c>
      <c r="BQ34" s="11">
        <f t="shared" si="9"/>
        <v>0</v>
      </c>
      <c r="BR34" s="11">
        <f t="shared" si="10"/>
        <v>0</v>
      </c>
      <c r="BS34" s="11"/>
      <c r="BT34" s="11"/>
      <c r="BU34" s="11"/>
    </row>
    <row r="35" ht="22.5" customHeight="1">
      <c r="B35" s="148" t="s">
        <v>90</v>
      </c>
      <c r="C35" s="149"/>
      <c r="D35" s="149"/>
      <c r="E35" s="149"/>
      <c r="F35" s="149"/>
      <c r="G35" s="149"/>
      <c r="H35" s="149"/>
      <c r="I35" s="149"/>
      <c r="J35" s="149"/>
      <c r="K35" s="149"/>
      <c r="L35" s="149"/>
      <c r="M35" s="149"/>
      <c r="N35" s="149"/>
      <c r="O35" s="149"/>
      <c r="P35" s="149"/>
      <c r="Q35" s="149"/>
      <c r="R35" s="149"/>
      <c r="S35" s="149"/>
      <c r="T35" s="149"/>
      <c r="U35" s="149"/>
      <c r="V35" s="149"/>
      <c r="W35" s="149"/>
      <c r="X35" s="149"/>
      <c r="Y35" s="149"/>
      <c r="Z35" s="150"/>
      <c r="AA35" s="151"/>
      <c r="AB35" s="149"/>
      <c r="AC35" s="149"/>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52"/>
      <c r="BC35" s="154"/>
      <c r="BD35" s="149"/>
      <c r="BE35" s="152"/>
      <c r="BF35" s="154"/>
      <c r="BG35" s="149"/>
      <c r="BH35" s="152"/>
      <c r="BI35" s="153"/>
      <c r="BJ35" s="149"/>
      <c r="BK35" s="152"/>
      <c r="BL35" s="153"/>
      <c r="BM35" s="149"/>
      <c r="BN35" s="152"/>
      <c r="BO35" s="14">
        <f t="shared" si="7"/>
        <v>0</v>
      </c>
      <c r="BP35" s="14">
        <f t="shared" si="8"/>
        <v>0</v>
      </c>
      <c r="BQ35" s="11">
        <f t="shared" si="9"/>
        <v>0</v>
      </c>
      <c r="BR35" s="11">
        <f t="shared" si="10"/>
        <v>0</v>
      </c>
      <c r="BS35" s="11"/>
      <c r="BT35" s="11"/>
      <c r="BU35" s="11"/>
    </row>
    <row r="36" ht="22.5" customHeight="1">
      <c r="B36" s="148" t="s">
        <v>91</v>
      </c>
      <c r="C36" s="149"/>
      <c r="D36" s="149"/>
      <c r="E36" s="149"/>
      <c r="F36" s="149"/>
      <c r="G36" s="149"/>
      <c r="H36" s="149"/>
      <c r="I36" s="149"/>
      <c r="J36" s="149"/>
      <c r="K36" s="149"/>
      <c r="L36" s="149"/>
      <c r="M36" s="149"/>
      <c r="N36" s="149"/>
      <c r="O36" s="149"/>
      <c r="P36" s="149"/>
      <c r="Q36" s="149"/>
      <c r="R36" s="149"/>
      <c r="S36" s="149"/>
      <c r="T36" s="149"/>
      <c r="U36" s="149"/>
      <c r="V36" s="149"/>
      <c r="W36" s="149"/>
      <c r="X36" s="149"/>
      <c r="Y36" s="149"/>
      <c r="Z36" s="150"/>
      <c r="AA36" s="151"/>
      <c r="AB36" s="149"/>
      <c r="AC36" s="149"/>
      <c r="AD36" s="149"/>
      <c r="AE36" s="149"/>
      <c r="AF36" s="149"/>
      <c r="AG36" s="149"/>
      <c r="AH36" s="149"/>
      <c r="AI36" s="149"/>
      <c r="AJ36" s="149"/>
      <c r="AK36" s="149"/>
      <c r="AL36" s="149"/>
      <c r="AM36" s="149"/>
      <c r="AN36" s="149"/>
      <c r="AO36" s="149"/>
      <c r="AP36" s="149"/>
      <c r="AQ36" s="149"/>
      <c r="AR36" s="149"/>
      <c r="AS36" s="149"/>
      <c r="AT36" s="149"/>
      <c r="AU36" s="149"/>
      <c r="AV36" s="149"/>
      <c r="AW36" s="149"/>
      <c r="AX36" s="149"/>
      <c r="AY36" s="149"/>
      <c r="AZ36" s="149"/>
      <c r="BA36" s="149"/>
      <c r="BB36" s="152"/>
      <c r="BC36" s="154"/>
      <c r="BD36" s="149"/>
      <c r="BE36" s="152"/>
      <c r="BF36" s="154"/>
      <c r="BG36" s="149"/>
      <c r="BH36" s="152"/>
      <c r="BI36" s="153"/>
      <c r="BJ36" s="149"/>
      <c r="BK36" s="152"/>
      <c r="BL36" s="153"/>
      <c r="BM36" s="149"/>
      <c r="BN36" s="152"/>
      <c r="BO36" s="14">
        <f t="shared" si="7"/>
        <v>0</v>
      </c>
      <c r="BP36" s="14">
        <f t="shared" si="8"/>
        <v>0</v>
      </c>
      <c r="BQ36" s="11">
        <f t="shared" si="9"/>
        <v>0</v>
      </c>
      <c r="BR36" s="11">
        <f t="shared" si="10"/>
        <v>0</v>
      </c>
      <c r="BS36" s="11"/>
      <c r="BT36" s="11"/>
      <c r="BU36" s="11"/>
    </row>
    <row r="37" ht="22.5" customHeight="1">
      <c r="B37" s="148" t="s">
        <v>92</v>
      </c>
      <c r="C37" s="149"/>
      <c r="D37" s="149"/>
      <c r="E37" s="149"/>
      <c r="F37" s="149"/>
      <c r="G37" s="149"/>
      <c r="H37" s="149"/>
      <c r="I37" s="149"/>
      <c r="J37" s="149"/>
      <c r="K37" s="149"/>
      <c r="L37" s="149"/>
      <c r="M37" s="149"/>
      <c r="N37" s="149"/>
      <c r="O37" s="149"/>
      <c r="P37" s="149"/>
      <c r="Q37" s="149"/>
      <c r="R37" s="149"/>
      <c r="S37" s="149"/>
      <c r="T37" s="149"/>
      <c r="U37" s="149"/>
      <c r="V37" s="149"/>
      <c r="W37" s="149"/>
      <c r="X37" s="149"/>
      <c r="Y37" s="149"/>
      <c r="Z37" s="150"/>
      <c r="AA37" s="151"/>
      <c r="AB37" s="149"/>
      <c r="AC37" s="149"/>
      <c r="AD37" s="149"/>
      <c r="AE37" s="149"/>
      <c r="AF37" s="149"/>
      <c r="AG37" s="149"/>
      <c r="AH37" s="149"/>
      <c r="AI37" s="149"/>
      <c r="AJ37" s="149"/>
      <c r="AK37" s="149"/>
      <c r="AL37" s="149"/>
      <c r="AM37" s="149"/>
      <c r="AN37" s="149"/>
      <c r="AO37" s="149"/>
      <c r="AP37" s="149"/>
      <c r="AQ37" s="149"/>
      <c r="AR37" s="149"/>
      <c r="AS37" s="149"/>
      <c r="AT37" s="149"/>
      <c r="AU37" s="149"/>
      <c r="AV37" s="149"/>
      <c r="AW37" s="149"/>
      <c r="AX37" s="149"/>
      <c r="AY37" s="149"/>
      <c r="AZ37" s="149"/>
      <c r="BA37" s="149"/>
      <c r="BB37" s="152"/>
      <c r="BC37" s="154"/>
      <c r="BD37" s="149"/>
      <c r="BE37" s="152"/>
      <c r="BF37" s="154"/>
      <c r="BG37" s="149"/>
      <c r="BH37" s="152"/>
      <c r="BI37" s="153"/>
      <c r="BJ37" s="149"/>
      <c r="BK37" s="152"/>
      <c r="BL37" s="153"/>
      <c r="BM37" s="149"/>
      <c r="BN37" s="152"/>
      <c r="BO37" s="14">
        <f t="shared" si="7"/>
        <v>0</v>
      </c>
      <c r="BP37" s="14">
        <f t="shared" si="8"/>
        <v>0</v>
      </c>
      <c r="BQ37" s="11">
        <f t="shared" si="9"/>
        <v>0</v>
      </c>
      <c r="BR37" s="11">
        <f t="shared" si="10"/>
        <v>0</v>
      </c>
      <c r="BS37" s="11"/>
      <c r="BT37" s="11"/>
      <c r="BU37" s="11"/>
    </row>
    <row r="38" ht="22.5" customHeight="1">
      <c r="B38" s="148" t="s">
        <v>93</v>
      </c>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50"/>
      <c r="AA38" s="151"/>
      <c r="AB38" s="149"/>
      <c r="AC38" s="149"/>
      <c r="AD38" s="149"/>
      <c r="AE38" s="149"/>
      <c r="AF38" s="149"/>
      <c r="AG38" s="149"/>
      <c r="AH38" s="149"/>
      <c r="AI38" s="149"/>
      <c r="AJ38" s="149"/>
      <c r="AK38" s="149"/>
      <c r="AL38" s="149"/>
      <c r="AM38" s="149"/>
      <c r="AN38" s="149"/>
      <c r="AO38" s="149"/>
      <c r="AP38" s="149"/>
      <c r="AQ38" s="149"/>
      <c r="AR38" s="149"/>
      <c r="AS38" s="149"/>
      <c r="AT38" s="149"/>
      <c r="AU38" s="149"/>
      <c r="AV38" s="149"/>
      <c r="AW38" s="149"/>
      <c r="AX38" s="149"/>
      <c r="AY38" s="149"/>
      <c r="AZ38" s="149"/>
      <c r="BA38" s="149"/>
      <c r="BB38" s="152"/>
      <c r="BC38" s="154"/>
      <c r="BD38" s="149"/>
      <c r="BE38" s="152"/>
      <c r="BF38" s="154"/>
      <c r="BG38" s="149"/>
      <c r="BH38" s="152"/>
      <c r="BI38" s="153"/>
      <c r="BJ38" s="149"/>
      <c r="BK38" s="152"/>
      <c r="BL38" s="153"/>
      <c r="BM38" s="149"/>
      <c r="BN38" s="152"/>
      <c r="BO38" s="14">
        <f t="shared" si="7"/>
        <v>0</v>
      </c>
      <c r="BP38" s="14">
        <f t="shared" si="8"/>
        <v>0</v>
      </c>
      <c r="BQ38" s="11">
        <f t="shared" si="9"/>
        <v>0</v>
      </c>
      <c r="BR38" s="11">
        <f t="shared" si="10"/>
        <v>0</v>
      </c>
      <c r="BS38" s="11"/>
      <c r="BT38" s="11"/>
      <c r="BU38" s="11"/>
    </row>
    <row r="39" ht="22.5" customHeight="1">
      <c r="B39" s="155" t="s">
        <v>94</v>
      </c>
      <c r="C39" s="156"/>
      <c r="D39" s="149"/>
      <c r="E39" s="149"/>
      <c r="F39" s="149"/>
      <c r="G39" s="149"/>
      <c r="H39" s="149"/>
      <c r="I39" s="149"/>
      <c r="J39" s="149"/>
      <c r="K39" s="149"/>
      <c r="L39" s="149"/>
      <c r="M39" s="149"/>
      <c r="N39" s="149"/>
      <c r="O39" s="149"/>
      <c r="P39" s="149"/>
      <c r="Q39" s="149"/>
      <c r="R39" s="149"/>
      <c r="S39" s="149"/>
      <c r="T39" s="149"/>
      <c r="U39" s="149"/>
      <c r="V39" s="149"/>
      <c r="W39" s="149"/>
      <c r="X39" s="149"/>
      <c r="Y39" s="149"/>
      <c r="Z39" s="150"/>
      <c r="AA39" s="151"/>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52"/>
      <c r="BC39" s="154"/>
      <c r="BD39" s="149"/>
      <c r="BE39" s="152"/>
      <c r="BF39" s="154"/>
      <c r="BG39" s="149"/>
      <c r="BH39" s="152"/>
      <c r="BI39" s="153"/>
      <c r="BJ39" s="149"/>
      <c r="BK39" s="152"/>
      <c r="BL39" s="153"/>
      <c r="BM39" s="149"/>
      <c r="BN39" s="152"/>
      <c r="BO39" s="14">
        <f t="shared" si="7"/>
        <v>0</v>
      </c>
      <c r="BP39" s="14">
        <f t="shared" si="8"/>
        <v>0</v>
      </c>
      <c r="BQ39" s="11">
        <f t="shared" si="9"/>
        <v>0</v>
      </c>
      <c r="BR39" s="11">
        <f t="shared" si="10"/>
        <v>0</v>
      </c>
      <c r="BS39" s="11"/>
      <c r="BT39" s="11"/>
      <c r="BU39" s="11"/>
    </row>
    <row r="40" ht="22.5" customHeight="1">
      <c r="B40" s="155" t="s">
        <v>94</v>
      </c>
      <c r="C40" s="156"/>
      <c r="D40" s="149"/>
      <c r="E40" s="149"/>
      <c r="F40" s="149"/>
      <c r="G40" s="149"/>
      <c r="H40" s="149"/>
      <c r="I40" s="149"/>
      <c r="J40" s="149"/>
      <c r="K40" s="149"/>
      <c r="L40" s="149"/>
      <c r="M40" s="149"/>
      <c r="N40" s="149"/>
      <c r="O40" s="149"/>
      <c r="P40" s="149"/>
      <c r="Q40" s="149"/>
      <c r="R40" s="149"/>
      <c r="S40" s="149"/>
      <c r="T40" s="149"/>
      <c r="U40" s="149"/>
      <c r="V40" s="149"/>
      <c r="W40" s="149"/>
      <c r="X40" s="149"/>
      <c r="Y40" s="149"/>
      <c r="Z40" s="150"/>
      <c r="AA40" s="151"/>
      <c r="AB40" s="149"/>
      <c r="AC40" s="149"/>
      <c r="AD40" s="149"/>
      <c r="AE40" s="149"/>
      <c r="AF40" s="149"/>
      <c r="AG40" s="149"/>
      <c r="AH40" s="149"/>
      <c r="AI40" s="149"/>
      <c r="AJ40" s="149"/>
      <c r="AK40" s="149"/>
      <c r="AL40" s="149"/>
      <c r="AM40" s="149"/>
      <c r="AN40" s="149"/>
      <c r="AO40" s="149"/>
      <c r="AP40" s="149"/>
      <c r="AQ40" s="149"/>
      <c r="AR40" s="149"/>
      <c r="AS40" s="149"/>
      <c r="AT40" s="149"/>
      <c r="AU40" s="149"/>
      <c r="AV40" s="149"/>
      <c r="AW40" s="149"/>
      <c r="AX40" s="149"/>
      <c r="AY40" s="149"/>
      <c r="AZ40" s="149"/>
      <c r="BA40" s="149"/>
      <c r="BB40" s="152"/>
      <c r="BC40" s="160"/>
      <c r="BD40" s="158"/>
      <c r="BE40" s="161"/>
      <c r="BF40" s="160"/>
      <c r="BG40" s="158"/>
      <c r="BH40" s="161"/>
      <c r="BI40" s="157"/>
      <c r="BJ40" s="158"/>
      <c r="BK40" s="161"/>
      <c r="BL40" s="157"/>
      <c r="BM40" s="158"/>
      <c r="BN40" s="161"/>
      <c r="BO40" s="14">
        <f t="shared" si="7"/>
        <v>0</v>
      </c>
      <c r="BP40" s="14">
        <f t="shared" si="8"/>
        <v>0</v>
      </c>
      <c r="BQ40" s="11">
        <f t="shared" si="9"/>
        <v>0</v>
      </c>
      <c r="BR40" s="11">
        <f t="shared" si="10"/>
        <v>0</v>
      </c>
      <c r="BS40" s="11"/>
      <c r="BT40" s="11"/>
      <c r="BU40" s="11"/>
    </row>
    <row r="41" ht="22.5" customHeight="1">
      <c r="B41" s="162"/>
      <c r="C41" s="158"/>
      <c r="D41" s="158"/>
      <c r="E41" s="158"/>
      <c r="F41" s="158"/>
      <c r="G41" s="158"/>
      <c r="H41" s="158"/>
      <c r="I41" s="158"/>
      <c r="J41" s="158"/>
      <c r="K41" s="158"/>
      <c r="L41" s="158"/>
      <c r="M41" s="158"/>
      <c r="N41" s="158"/>
      <c r="O41" s="158"/>
      <c r="P41" s="158"/>
      <c r="Q41" s="158"/>
      <c r="R41" s="158"/>
      <c r="S41" s="158"/>
      <c r="T41" s="158"/>
      <c r="U41" s="158"/>
      <c r="V41" s="158"/>
      <c r="W41" s="158"/>
      <c r="X41" s="158"/>
      <c r="Y41" s="158"/>
      <c r="Z41" s="159"/>
      <c r="AA41" s="163" t="s">
        <v>82</v>
      </c>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61"/>
      <c r="BC41" s="164" t="str">
        <f>IF(BO41=0,"",IF(AND(BO41&gt;0,SUM(BC29:BE40)&lt;=10),SUM(BC29:BE40),10))</f>
        <v/>
      </c>
      <c r="BD41" s="136"/>
      <c r="BE41" s="139"/>
      <c r="BF41" s="164" t="str">
        <f>IF(BP41=0,"",IF(AND(BP41&gt;0,SUM(BF29:BH40)&lt;=10),SUM(BF29:BH40),10))</f>
        <v/>
      </c>
      <c r="BG41" s="136"/>
      <c r="BH41" s="139"/>
      <c r="BI41" s="164" t="str">
        <f>IF(BQ41=0,"",IF(AND(BQ41&gt;0,SUM(BI29:BK40)&lt;=10),SUM(BI29:BK40),10))</f>
        <v/>
      </c>
      <c r="BJ41" s="136"/>
      <c r="BK41" s="139"/>
      <c r="BL41" s="165" t="str">
        <f>IF(BR41=0,"",IF(AND(BR41&gt;0,SUM(BL29:BN40)&lt;=10),SUM(BL29:BN40),10))</f>
        <v/>
      </c>
      <c r="BM41" s="166"/>
      <c r="BN41" s="167"/>
      <c r="BO41" s="14">
        <f t="shared" ref="BO41:BR41" si="11">SUM(BO29:BO40)</f>
        <v>0</v>
      </c>
      <c r="BP41" s="14">
        <f t="shared" si="11"/>
        <v>0</v>
      </c>
      <c r="BQ41" s="11">
        <f t="shared" si="11"/>
        <v>0</v>
      </c>
      <c r="BR41" s="11">
        <f t="shared" si="11"/>
        <v>0</v>
      </c>
      <c r="BS41" s="11"/>
      <c r="BT41" s="11"/>
      <c r="BU41" s="11"/>
    </row>
    <row r="42" ht="22.5" customHeight="1">
      <c r="B42" s="168"/>
      <c r="C42" s="169"/>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70"/>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169"/>
      <c r="BA42" s="169"/>
      <c r="BB42" s="169"/>
      <c r="BC42" s="171"/>
      <c r="BD42" s="169"/>
      <c r="BE42" s="169"/>
      <c r="BF42" s="171"/>
      <c r="BG42" s="169"/>
      <c r="BH42" s="169"/>
      <c r="BI42" s="171"/>
      <c r="BJ42" s="169"/>
      <c r="BK42" s="169"/>
      <c r="BL42" s="171"/>
      <c r="BM42" s="169"/>
      <c r="BN42" s="169"/>
      <c r="BO42" s="14" t="str">
        <f>IF(ISNUMBER(BL41),BL41,IF(ISNUMBER(BI41),BI41,IF(ISNUMBER(BF41),BF41,IF(ISNUMBER(BC41),BC41,"@"))))</f>
        <v>@</v>
      </c>
      <c r="BP42" s="14"/>
      <c r="BQ42" s="11"/>
      <c r="BR42" s="11"/>
      <c r="BS42" s="11"/>
      <c r="BT42" s="11"/>
      <c r="BU42" s="11"/>
    </row>
    <row r="43" ht="22.5" customHeight="1">
      <c r="B43" s="135" t="s">
        <v>95</v>
      </c>
      <c r="C43" s="136"/>
      <c r="D43" s="136"/>
      <c r="E43" s="136"/>
      <c r="F43" s="136"/>
      <c r="G43" s="136"/>
      <c r="H43" s="136"/>
      <c r="I43" s="136"/>
      <c r="J43" s="136"/>
      <c r="K43" s="136"/>
      <c r="L43" s="136"/>
      <c r="M43" s="136"/>
      <c r="N43" s="136"/>
      <c r="O43" s="136"/>
      <c r="P43" s="136"/>
      <c r="Q43" s="136"/>
      <c r="R43" s="136"/>
      <c r="S43" s="136"/>
      <c r="T43" s="136"/>
      <c r="U43" s="136"/>
      <c r="V43" s="136"/>
      <c r="W43" s="136"/>
      <c r="X43" s="136"/>
      <c r="Y43" s="136"/>
      <c r="Z43" s="137"/>
      <c r="AA43" s="172" t="s">
        <v>66</v>
      </c>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9"/>
      <c r="BC43" s="173" t="s">
        <v>67</v>
      </c>
      <c r="BD43" s="136"/>
      <c r="BE43" s="137"/>
      <c r="BF43" s="140" t="s">
        <v>68</v>
      </c>
      <c r="BG43" s="136"/>
      <c r="BH43" s="139"/>
      <c r="BI43" s="173" t="s">
        <v>69</v>
      </c>
      <c r="BJ43" s="136"/>
      <c r="BK43" s="139"/>
      <c r="BL43" s="173" t="s">
        <v>70</v>
      </c>
      <c r="BM43" s="136"/>
      <c r="BN43" s="139"/>
      <c r="BO43" s="14"/>
      <c r="BP43" s="14"/>
      <c r="BQ43" s="11"/>
      <c r="BR43" s="11"/>
      <c r="BS43" s="11"/>
      <c r="BT43" s="11"/>
      <c r="BU43" s="11"/>
    </row>
    <row r="44" ht="22.5" customHeight="1">
      <c r="B44" s="174" t="s">
        <v>96</v>
      </c>
      <c r="C44" s="175"/>
      <c r="D44" s="175"/>
      <c r="E44" s="175"/>
      <c r="F44" s="175"/>
      <c r="G44" s="175"/>
      <c r="H44" s="175"/>
      <c r="I44" s="175"/>
      <c r="J44" s="175"/>
      <c r="K44" s="175"/>
      <c r="L44" s="175"/>
      <c r="M44" s="175"/>
      <c r="N44" s="175"/>
      <c r="O44" s="175"/>
      <c r="P44" s="175"/>
      <c r="Q44" s="175"/>
      <c r="R44" s="175"/>
      <c r="S44" s="175"/>
      <c r="T44" s="175"/>
      <c r="U44" s="175"/>
      <c r="V44" s="175"/>
      <c r="W44" s="175"/>
      <c r="X44" s="175"/>
      <c r="Y44" s="175"/>
      <c r="Z44" s="176"/>
      <c r="AA44" s="177"/>
      <c r="AB44" s="175"/>
      <c r="AC44" s="175"/>
      <c r="AD44" s="175"/>
      <c r="AE44" s="175"/>
      <c r="AF44" s="175"/>
      <c r="AG44" s="175"/>
      <c r="AH44" s="175"/>
      <c r="AI44" s="175"/>
      <c r="AJ44" s="175"/>
      <c r="AK44" s="175"/>
      <c r="AL44" s="175"/>
      <c r="AM44" s="175"/>
      <c r="AN44" s="175"/>
      <c r="AO44" s="175"/>
      <c r="AP44" s="175"/>
      <c r="AQ44" s="175"/>
      <c r="AR44" s="175"/>
      <c r="AS44" s="175"/>
      <c r="AT44" s="175"/>
      <c r="AU44" s="175"/>
      <c r="AV44" s="175"/>
      <c r="AW44" s="175"/>
      <c r="AX44" s="175"/>
      <c r="AY44" s="175"/>
      <c r="AZ44" s="175"/>
      <c r="BA44" s="175"/>
      <c r="BB44" s="178"/>
      <c r="BC44" s="179"/>
      <c r="BD44" s="175"/>
      <c r="BE44" s="176"/>
      <c r="BF44" s="180"/>
      <c r="BG44" s="175"/>
      <c r="BH44" s="178"/>
      <c r="BI44" s="179"/>
      <c r="BJ44" s="175"/>
      <c r="BK44" s="178"/>
      <c r="BL44" s="179"/>
      <c r="BM44" s="175"/>
      <c r="BN44" s="178"/>
      <c r="BO44" s="14">
        <f t="shared" ref="BO44:BO53" si="12">IF(OR(BC44=" ",ISBLANK(BC44)),0,1)</f>
        <v>0</v>
      </c>
      <c r="BP44" s="14">
        <f t="shared" ref="BP44:BP53" si="13">IF(OR(BF44=" ",ISBLANK(BF44)),0,1)</f>
        <v>0</v>
      </c>
      <c r="BQ44" s="11">
        <f t="shared" ref="BQ44:BQ53" si="14">IF(OR(BI44=" ",ISBLANK(BI44)),0,1)</f>
        <v>0</v>
      </c>
      <c r="BR44" s="11">
        <f t="shared" ref="BR44:BR53" si="15">IF(OR(BL44=" ",ISBLANK(BL44)),0,1)</f>
        <v>0</v>
      </c>
      <c r="BS44" s="11"/>
      <c r="BT44" s="11"/>
      <c r="BU44" s="11"/>
    </row>
    <row r="45" ht="22.5" customHeight="1">
      <c r="B45" s="148" t="s">
        <v>97</v>
      </c>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50"/>
      <c r="AA45" s="151"/>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52"/>
      <c r="BC45" s="153"/>
      <c r="BD45" s="149"/>
      <c r="BE45" s="150"/>
      <c r="BF45" s="154"/>
      <c r="BG45" s="149"/>
      <c r="BH45" s="152"/>
      <c r="BI45" s="153"/>
      <c r="BJ45" s="149"/>
      <c r="BK45" s="152"/>
      <c r="BL45" s="153"/>
      <c r="BM45" s="149"/>
      <c r="BN45" s="152"/>
      <c r="BO45" s="14">
        <f t="shared" si="12"/>
        <v>0</v>
      </c>
      <c r="BP45" s="14">
        <f t="shared" si="13"/>
        <v>0</v>
      </c>
      <c r="BQ45" s="11">
        <f t="shared" si="14"/>
        <v>0</v>
      </c>
      <c r="BR45" s="11">
        <f t="shared" si="15"/>
        <v>0</v>
      </c>
      <c r="BS45" s="11"/>
      <c r="BT45" s="11"/>
      <c r="BU45" s="11"/>
    </row>
    <row r="46" ht="22.5" customHeight="1">
      <c r="B46" s="148" t="s">
        <v>98</v>
      </c>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50"/>
      <c r="AA46" s="181"/>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52"/>
      <c r="BC46" s="153"/>
      <c r="BD46" s="149"/>
      <c r="BE46" s="150"/>
      <c r="BF46" s="154"/>
      <c r="BG46" s="149"/>
      <c r="BH46" s="152"/>
      <c r="BI46" s="153"/>
      <c r="BJ46" s="149"/>
      <c r="BK46" s="152"/>
      <c r="BL46" s="153"/>
      <c r="BM46" s="149"/>
      <c r="BN46" s="152"/>
      <c r="BO46" s="14">
        <f t="shared" si="12"/>
        <v>0</v>
      </c>
      <c r="BP46" s="14">
        <f t="shared" si="13"/>
        <v>0</v>
      </c>
      <c r="BQ46" s="11">
        <f t="shared" si="14"/>
        <v>0</v>
      </c>
      <c r="BR46" s="11">
        <f t="shared" si="15"/>
        <v>0</v>
      </c>
      <c r="BS46" s="11"/>
      <c r="BT46" s="11"/>
      <c r="BU46" s="11"/>
    </row>
    <row r="47" ht="22.5" customHeight="1">
      <c r="B47" s="148" t="s">
        <v>99</v>
      </c>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50"/>
      <c r="AA47" s="151"/>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52"/>
      <c r="BC47" s="153"/>
      <c r="BD47" s="149"/>
      <c r="BE47" s="150"/>
      <c r="BF47" s="154"/>
      <c r="BG47" s="149"/>
      <c r="BH47" s="152"/>
      <c r="BI47" s="153"/>
      <c r="BJ47" s="149"/>
      <c r="BK47" s="152"/>
      <c r="BL47" s="153"/>
      <c r="BM47" s="149"/>
      <c r="BN47" s="152"/>
      <c r="BO47" s="14">
        <f t="shared" si="12"/>
        <v>0</v>
      </c>
      <c r="BP47" s="14">
        <f t="shared" si="13"/>
        <v>0</v>
      </c>
      <c r="BQ47" s="11">
        <f t="shared" si="14"/>
        <v>0</v>
      </c>
      <c r="BR47" s="11">
        <f t="shared" si="15"/>
        <v>0</v>
      </c>
      <c r="BS47" s="11"/>
      <c r="BT47" s="11"/>
      <c r="BU47" s="11"/>
    </row>
    <row r="48" ht="22.5" customHeight="1">
      <c r="B48" s="148" t="s">
        <v>100</v>
      </c>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50"/>
      <c r="AA48" s="151"/>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52"/>
      <c r="BC48" s="153"/>
      <c r="BD48" s="149"/>
      <c r="BE48" s="150"/>
      <c r="BF48" s="154"/>
      <c r="BG48" s="149"/>
      <c r="BH48" s="152"/>
      <c r="BI48" s="153"/>
      <c r="BJ48" s="149"/>
      <c r="BK48" s="152"/>
      <c r="BL48" s="153"/>
      <c r="BM48" s="149"/>
      <c r="BN48" s="152"/>
      <c r="BO48" s="14">
        <f t="shared" si="12"/>
        <v>0</v>
      </c>
      <c r="BP48" s="14">
        <f t="shared" si="13"/>
        <v>0</v>
      </c>
      <c r="BQ48" s="11">
        <f t="shared" si="14"/>
        <v>0</v>
      </c>
      <c r="BR48" s="11">
        <f t="shared" si="15"/>
        <v>0</v>
      </c>
      <c r="BS48" s="11"/>
      <c r="BT48" s="11"/>
      <c r="BU48" s="11"/>
    </row>
    <row r="49" ht="22.5" customHeight="1">
      <c r="B49" s="148" t="s">
        <v>101</v>
      </c>
      <c r="C49" s="149"/>
      <c r="D49" s="149"/>
      <c r="E49" s="149"/>
      <c r="F49" s="149"/>
      <c r="G49" s="149"/>
      <c r="H49" s="149"/>
      <c r="I49" s="149"/>
      <c r="J49" s="149"/>
      <c r="K49" s="149"/>
      <c r="L49" s="149"/>
      <c r="M49" s="149"/>
      <c r="N49" s="149"/>
      <c r="O49" s="149"/>
      <c r="P49" s="149"/>
      <c r="Q49" s="149"/>
      <c r="R49" s="149"/>
      <c r="S49" s="149"/>
      <c r="T49" s="149"/>
      <c r="U49" s="149"/>
      <c r="V49" s="149"/>
      <c r="W49" s="149"/>
      <c r="X49" s="149"/>
      <c r="Y49" s="149"/>
      <c r="Z49" s="150"/>
      <c r="AA49" s="151"/>
      <c r="AB49" s="149"/>
      <c r="AC49" s="149"/>
      <c r="AD49" s="149"/>
      <c r="AE49" s="149"/>
      <c r="AF49" s="149"/>
      <c r="AG49" s="149"/>
      <c r="AH49" s="149"/>
      <c r="AI49" s="149"/>
      <c r="AJ49" s="149"/>
      <c r="AK49" s="149"/>
      <c r="AL49" s="149"/>
      <c r="AM49" s="149"/>
      <c r="AN49" s="149"/>
      <c r="AO49" s="149"/>
      <c r="AP49" s="149"/>
      <c r="AQ49" s="149"/>
      <c r="AR49" s="149"/>
      <c r="AS49" s="149"/>
      <c r="AT49" s="149"/>
      <c r="AU49" s="149"/>
      <c r="AV49" s="149"/>
      <c r="AW49" s="149"/>
      <c r="AX49" s="149"/>
      <c r="AY49" s="149"/>
      <c r="AZ49" s="149"/>
      <c r="BA49" s="149"/>
      <c r="BB49" s="152"/>
      <c r="BC49" s="153"/>
      <c r="BD49" s="149"/>
      <c r="BE49" s="150"/>
      <c r="BF49" s="154"/>
      <c r="BG49" s="149"/>
      <c r="BH49" s="152"/>
      <c r="BI49" s="153"/>
      <c r="BJ49" s="149"/>
      <c r="BK49" s="152"/>
      <c r="BL49" s="153"/>
      <c r="BM49" s="149"/>
      <c r="BN49" s="152"/>
      <c r="BO49" s="14">
        <f t="shared" si="12"/>
        <v>0</v>
      </c>
      <c r="BP49" s="14">
        <f t="shared" si="13"/>
        <v>0</v>
      </c>
      <c r="BQ49" s="11">
        <f t="shared" si="14"/>
        <v>0</v>
      </c>
      <c r="BR49" s="11">
        <f t="shared" si="15"/>
        <v>0</v>
      </c>
      <c r="BS49" s="11"/>
      <c r="BT49" s="11"/>
      <c r="BU49" s="11"/>
    </row>
    <row r="50" ht="22.5" customHeight="1">
      <c r="B50" s="148" t="s">
        <v>102</v>
      </c>
      <c r="C50" s="149"/>
      <c r="D50" s="149"/>
      <c r="E50" s="149"/>
      <c r="F50" s="149"/>
      <c r="G50" s="149"/>
      <c r="H50" s="149"/>
      <c r="I50" s="149"/>
      <c r="J50" s="149"/>
      <c r="K50" s="149"/>
      <c r="L50" s="149"/>
      <c r="M50" s="149"/>
      <c r="N50" s="149"/>
      <c r="O50" s="149"/>
      <c r="P50" s="149"/>
      <c r="Q50" s="149"/>
      <c r="R50" s="149"/>
      <c r="S50" s="149"/>
      <c r="T50" s="149"/>
      <c r="U50" s="149"/>
      <c r="V50" s="149"/>
      <c r="W50" s="149"/>
      <c r="X50" s="149"/>
      <c r="Y50" s="149"/>
      <c r="Z50" s="150"/>
      <c r="AA50" s="151"/>
      <c r="AB50" s="149"/>
      <c r="AC50" s="149"/>
      <c r="AD50" s="149"/>
      <c r="AE50" s="149"/>
      <c r="AF50" s="149"/>
      <c r="AG50" s="149"/>
      <c r="AH50" s="149"/>
      <c r="AI50" s="149"/>
      <c r="AJ50" s="149"/>
      <c r="AK50" s="149"/>
      <c r="AL50" s="149"/>
      <c r="AM50" s="149"/>
      <c r="AN50" s="149"/>
      <c r="AO50" s="149"/>
      <c r="AP50" s="149"/>
      <c r="AQ50" s="149"/>
      <c r="AR50" s="149"/>
      <c r="AS50" s="149"/>
      <c r="AT50" s="149"/>
      <c r="AU50" s="149"/>
      <c r="AV50" s="149"/>
      <c r="AW50" s="149"/>
      <c r="AX50" s="149"/>
      <c r="AY50" s="149"/>
      <c r="AZ50" s="149"/>
      <c r="BA50" s="149"/>
      <c r="BB50" s="152"/>
      <c r="BC50" s="153"/>
      <c r="BD50" s="149"/>
      <c r="BE50" s="150"/>
      <c r="BF50" s="154"/>
      <c r="BG50" s="149"/>
      <c r="BH50" s="152"/>
      <c r="BI50" s="153"/>
      <c r="BJ50" s="149"/>
      <c r="BK50" s="152"/>
      <c r="BL50" s="153"/>
      <c r="BM50" s="149"/>
      <c r="BN50" s="152"/>
      <c r="BO50" s="14">
        <f t="shared" si="12"/>
        <v>0</v>
      </c>
      <c r="BP50" s="14">
        <f t="shared" si="13"/>
        <v>0</v>
      </c>
      <c r="BQ50" s="11">
        <f t="shared" si="14"/>
        <v>0</v>
      </c>
      <c r="BR50" s="11">
        <f t="shared" si="15"/>
        <v>0</v>
      </c>
      <c r="BS50" s="11"/>
      <c r="BT50" s="11"/>
      <c r="BU50" s="11"/>
    </row>
    <row r="51" ht="22.5" customHeight="1">
      <c r="B51" s="148" t="s">
        <v>103</v>
      </c>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50"/>
      <c r="AA51" s="151"/>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52"/>
      <c r="BC51" s="153"/>
      <c r="BD51" s="149"/>
      <c r="BE51" s="150"/>
      <c r="BF51" s="154"/>
      <c r="BG51" s="149"/>
      <c r="BH51" s="152"/>
      <c r="BI51" s="153"/>
      <c r="BJ51" s="149"/>
      <c r="BK51" s="152"/>
      <c r="BL51" s="153"/>
      <c r="BM51" s="149"/>
      <c r="BN51" s="152"/>
      <c r="BO51" s="14">
        <f t="shared" si="12"/>
        <v>0</v>
      </c>
      <c r="BP51" s="14">
        <f t="shared" si="13"/>
        <v>0</v>
      </c>
      <c r="BQ51" s="11">
        <f t="shared" si="14"/>
        <v>0</v>
      </c>
      <c r="BR51" s="11">
        <f t="shared" si="15"/>
        <v>0</v>
      </c>
      <c r="BS51" s="11"/>
      <c r="BT51" s="11"/>
      <c r="BU51" s="11"/>
    </row>
    <row r="52" ht="22.5" customHeight="1">
      <c r="B52" s="148" t="s">
        <v>104</v>
      </c>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50"/>
      <c r="AA52" s="151"/>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52"/>
      <c r="BC52" s="153"/>
      <c r="BD52" s="149"/>
      <c r="BE52" s="150"/>
      <c r="BF52" s="154"/>
      <c r="BG52" s="149"/>
      <c r="BH52" s="152"/>
      <c r="BI52" s="153"/>
      <c r="BJ52" s="149"/>
      <c r="BK52" s="152"/>
      <c r="BL52" s="153"/>
      <c r="BM52" s="149"/>
      <c r="BN52" s="152"/>
      <c r="BO52" s="14">
        <f t="shared" si="12"/>
        <v>0</v>
      </c>
      <c r="BP52" s="14">
        <f t="shared" si="13"/>
        <v>0</v>
      </c>
      <c r="BQ52" s="11">
        <f t="shared" si="14"/>
        <v>0</v>
      </c>
      <c r="BR52" s="11">
        <f t="shared" si="15"/>
        <v>0</v>
      </c>
      <c r="BS52" s="11"/>
      <c r="BT52" s="11"/>
      <c r="BU52" s="11"/>
    </row>
    <row r="53" ht="22.5" customHeight="1">
      <c r="B53" s="148" t="s">
        <v>105</v>
      </c>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50"/>
      <c r="AA53" s="182"/>
      <c r="AB53" s="149"/>
      <c r="AC53" s="149"/>
      <c r="AD53" s="149"/>
      <c r="AE53" s="149"/>
      <c r="AF53" s="149"/>
      <c r="AG53" s="149"/>
      <c r="AH53" s="149"/>
      <c r="AI53" s="149"/>
      <c r="AJ53" s="149"/>
      <c r="AK53" s="149"/>
      <c r="AL53" s="149"/>
      <c r="AM53" s="149"/>
      <c r="AN53" s="149"/>
      <c r="AO53" s="149"/>
      <c r="AP53" s="149"/>
      <c r="AQ53" s="149"/>
      <c r="AR53" s="149"/>
      <c r="AS53" s="149"/>
      <c r="AT53" s="149"/>
      <c r="AU53" s="149"/>
      <c r="AV53" s="149"/>
      <c r="AW53" s="149"/>
      <c r="AX53" s="149"/>
      <c r="AY53" s="149"/>
      <c r="AZ53" s="149"/>
      <c r="BA53" s="149"/>
      <c r="BB53" s="152"/>
      <c r="BC53" s="157"/>
      <c r="BD53" s="158"/>
      <c r="BE53" s="159"/>
      <c r="BF53" s="160"/>
      <c r="BG53" s="158"/>
      <c r="BH53" s="161"/>
      <c r="BI53" s="157"/>
      <c r="BJ53" s="158"/>
      <c r="BK53" s="161"/>
      <c r="BL53" s="157"/>
      <c r="BM53" s="158"/>
      <c r="BN53" s="161"/>
      <c r="BO53" s="14">
        <f t="shared" si="12"/>
        <v>0</v>
      </c>
      <c r="BP53" s="14">
        <f t="shared" si="13"/>
        <v>0</v>
      </c>
      <c r="BQ53" s="11">
        <f t="shared" si="14"/>
        <v>0</v>
      </c>
      <c r="BR53" s="11">
        <f t="shared" si="15"/>
        <v>0</v>
      </c>
      <c r="BS53" s="11"/>
      <c r="BT53" s="11"/>
      <c r="BU53" s="11"/>
    </row>
    <row r="54" ht="22.5" customHeight="1">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63" t="s">
        <v>82</v>
      </c>
      <c r="AB54" s="158"/>
      <c r="AC54" s="158"/>
      <c r="AD54" s="158"/>
      <c r="AE54" s="158"/>
      <c r="AF54" s="158"/>
      <c r="AG54" s="158"/>
      <c r="AH54" s="158"/>
      <c r="AI54" s="158"/>
      <c r="AJ54" s="158"/>
      <c r="AK54" s="158"/>
      <c r="AL54" s="158"/>
      <c r="AM54" s="158"/>
      <c r="AN54" s="158"/>
      <c r="AO54" s="158"/>
      <c r="AP54" s="158"/>
      <c r="AQ54" s="158"/>
      <c r="AR54" s="158"/>
      <c r="AS54" s="158"/>
      <c r="AT54" s="158"/>
      <c r="AU54" s="158"/>
      <c r="AV54" s="158"/>
      <c r="AW54" s="158"/>
      <c r="AX54" s="158"/>
      <c r="AY54" s="158"/>
      <c r="AZ54" s="158"/>
      <c r="BA54" s="158"/>
      <c r="BB54" s="161"/>
      <c r="BC54" s="164" t="str">
        <f>IF(BO54=0,"",SUM(BC44:BE53))</f>
        <v/>
      </c>
      <c r="BD54" s="136"/>
      <c r="BE54" s="139"/>
      <c r="BF54" s="164" t="str">
        <f>IF(BP54=0,"",SUM(BF44:BH53))</f>
        <v/>
      </c>
      <c r="BG54" s="136"/>
      <c r="BH54" s="139"/>
      <c r="BI54" s="164" t="str">
        <f>IF(BQ54=0,"",SUM(BI44:BK53))</f>
        <v/>
      </c>
      <c r="BJ54" s="136"/>
      <c r="BK54" s="139"/>
      <c r="BL54" s="165" t="str">
        <f>IF(BR54=0,"",SUM(BL44:BN53))</f>
        <v/>
      </c>
      <c r="BM54" s="166"/>
      <c r="BN54" s="167"/>
      <c r="BO54" s="14">
        <f t="shared" ref="BO54:BR54" si="16">SUM(BO44:BO53)</f>
        <v>0</v>
      </c>
      <c r="BP54" s="14">
        <f t="shared" si="16"/>
        <v>0</v>
      </c>
      <c r="BQ54" s="11">
        <f t="shared" si="16"/>
        <v>0</v>
      </c>
      <c r="BR54" s="11">
        <f t="shared" si="16"/>
        <v>0</v>
      </c>
      <c r="BS54" s="11"/>
      <c r="BT54" s="11"/>
      <c r="BU54" s="11"/>
    </row>
    <row r="55" ht="22.5" customHeight="1">
      <c r="A55" s="6"/>
      <c r="B55" s="168"/>
      <c r="C55" s="169"/>
      <c r="D55" s="169"/>
      <c r="E55" s="169"/>
      <c r="F55" s="169"/>
      <c r="G55" s="169"/>
      <c r="H55" s="169"/>
      <c r="I55" s="169"/>
      <c r="J55" s="169"/>
      <c r="K55" s="169"/>
      <c r="L55" s="169"/>
      <c r="M55" s="169"/>
      <c r="N55" s="169"/>
      <c r="O55" s="169"/>
      <c r="P55" s="169"/>
      <c r="Q55" s="169"/>
      <c r="R55" s="169"/>
      <c r="S55" s="169"/>
      <c r="T55" s="169"/>
      <c r="U55" s="169"/>
      <c r="V55" s="169"/>
      <c r="W55" s="169"/>
      <c r="X55" s="169"/>
      <c r="Y55" s="169"/>
      <c r="Z55" s="169"/>
      <c r="AA55" s="170"/>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169"/>
      <c r="BA55" s="169"/>
      <c r="BB55" s="169"/>
      <c r="BC55" s="171"/>
      <c r="BD55" s="169"/>
      <c r="BE55" s="169"/>
      <c r="BF55" s="171"/>
      <c r="BG55" s="169"/>
      <c r="BH55" s="169"/>
      <c r="BI55" s="171"/>
      <c r="BJ55" s="169"/>
      <c r="BK55" s="169"/>
      <c r="BL55" s="171"/>
      <c r="BM55" s="169"/>
      <c r="BN55" s="169"/>
      <c r="BO55" s="14" t="str">
        <f>IF(ISNUMBER(BL54),BL54,IF(ISNUMBER(BI54),BI54,IF(ISNUMBER(BF54),BF54,IF(ISNUMBER(BC54),BC54,"@"))))</f>
        <v>@</v>
      </c>
      <c r="BP55" s="14"/>
      <c r="BQ55" s="11"/>
      <c r="BR55" s="11"/>
      <c r="BS55" s="11"/>
      <c r="BT55" s="11"/>
      <c r="BU55" s="11"/>
    </row>
    <row r="56" ht="22.5" customHeight="1">
      <c r="B56" s="135" t="s">
        <v>106</v>
      </c>
      <c r="C56" s="136"/>
      <c r="D56" s="136"/>
      <c r="E56" s="136"/>
      <c r="F56" s="136"/>
      <c r="G56" s="136"/>
      <c r="H56" s="136"/>
      <c r="I56" s="136"/>
      <c r="J56" s="136"/>
      <c r="K56" s="136"/>
      <c r="L56" s="136"/>
      <c r="M56" s="136"/>
      <c r="N56" s="136"/>
      <c r="O56" s="136"/>
      <c r="P56" s="136"/>
      <c r="Q56" s="136"/>
      <c r="R56" s="136"/>
      <c r="S56" s="136"/>
      <c r="T56" s="136"/>
      <c r="U56" s="136"/>
      <c r="V56" s="136"/>
      <c r="W56" s="136"/>
      <c r="X56" s="136"/>
      <c r="Y56" s="136"/>
      <c r="Z56" s="137"/>
      <c r="AA56" s="172" t="s">
        <v>66</v>
      </c>
      <c r="AB56" s="136"/>
      <c r="AC56" s="136"/>
      <c r="AD56" s="136"/>
      <c r="AE56" s="136"/>
      <c r="AF56" s="136"/>
      <c r="AG56" s="136"/>
      <c r="AH56" s="136"/>
      <c r="AI56" s="136"/>
      <c r="AJ56" s="136"/>
      <c r="AK56" s="136"/>
      <c r="AL56" s="136"/>
      <c r="AM56" s="136"/>
      <c r="AN56" s="136"/>
      <c r="AO56" s="136"/>
      <c r="AP56" s="136"/>
      <c r="AQ56" s="136"/>
      <c r="AR56" s="136"/>
      <c r="AS56" s="136"/>
      <c r="AT56" s="136"/>
      <c r="AU56" s="136"/>
      <c r="AV56" s="136"/>
      <c r="AW56" s="136"/>
      <c r="AX56" s="136"/>
      <c r="AY56" s="136"/>
      <c r="AZ56" s="136"/>
      <c r="BA56" s="136"/>
      <c r="BB56" s="139"/>
      <c r="BC56" s="173" t="s">
        <v>67</v>
      </c>
      <c r="BD56" s="136"/>
      <c r="BE56" s="137"/>
      <c r="BF56" s="140" t="s">
        <v>68</v>
      </c>
      <c r="BG56" s="136"/>
      <c r="BH56" s="139"/>
      <c r="BI56" s="173" t="s">
        <v>69</v>
      </c>
      <c r="BJ56" s="136"/>
      <c r="BK56" s="139"/>
      <c r="BL56" s="173" t="s">
        <v>70</v>
      </c>
      <c r="BM56" s="136"/>
      <c r="BN56" s="139"/>
      <c r="BO56" s="14"/>
      <c r="BP56" s="14"/>
      <c r="BQ56" s="11"/>
      <c r="BR56" s="11"/>
      <c r="BS56" s="11"/>
      <c r="BT56" s="11"/>
      <c r="BU56" s="11"/>
    </row>
    <row r="57" ht="22.5" customHeight="1">
      <c r="B57" s="174" t="s">
        <v>107</v>
      </c>
      <c r="C57" s="175"/>
      <c r="D57" s="175"/>
      <c r="E57" s="175"/>
      <c r="F57" s="175"/>
      <c r="G57" s="175"/>
      <c r="H57" s="175"/>
      <c r="I57" s="175"/>
      <c r="J57" s="175"/>
      <c r="K57" s="175"/>
      <c r="L57" s="175"/>
      <c r="M57" s="175"/>
      <c r="N57" s="175"/>
      <c r="O57" s="175"/>
      <c r="P57" s="175"/>
      <c r="Q57" s="175"/>
      <c r="R57" s="175"/>
      <c r="S57" s="175"/>
      <c r="T57" s="175"/>
      <c r="U57" s="175"/>
      <c r="V57" s="175"/>
      <c r="W57" s="175"/>
      <c r="X57" s="175"/>
      <c r="Y57" s="175"/>
      <c r="Z57" s="176"/>
      <c r="AA57" s="177"/>
      <c r="AB57" s="175"/>
      <c r="AC57" s="175"/>
      <c r="AD57" s="175"/>
      <c r="AE57" s="175"/>
      <c r="AF57" s="175"/>
      <c r="AG57" s="175"/>
      <c r="AH57" s="175"/>
      <c r="AI57" s="175"/>
      <c r="AJ57" s="175"/>
      <c r="AK57" s="175"/>
      <c r="AL57" s="175"/>
      <c r="AM57" s="175"/>
      <c r="AN57" s="175"/>
      <c r="AO57" s="175"/>
      <c r="AP57" s="175"/>
      <c r="AQ57" s="175"/>
      <c r="AR57" s="175"/>
      <c r="AS57" s="175"/>
      <c r="AT57" s="175"/>
      <c r="AU57" s="175"/>
      <c r="AV57" s="175"/>
      <c r="AW57" s="175"/>
      <c r="AX57" s="175"/>
      <c r="AY57" s="175"/>
      <c r="AZ57" s="175"/>
      <c r="BA57" s="175"/>
      <c r="BB57" s="178"/>
      <c r="BC57" s="179"/>
      <c r="BD57" s="175"/>
      <c r="BE57" s="176"/>
      <c r="BF57" s="180"/>
      <c r="BG57" s="175"/>
      <c r="BH57" s="178"/>
      <c r="BI57" s="179"/>
      <c r="BJ57" s="175"/>
      <c r="BK57" s="178"/>
      <c r="BL57" s="179"/>
      <c r="BM57" s="175"/>
      <c r="BN57" s="178"/>
      <c r="BO57" s="14">
        <f t="shared" ref="BO57:BO66" si="17">IF(OR(BC57=" ",ISBLANK(BC57)),0,1)</f>
        <v>0</v>
      </c>
      <c r="BP57" s="14">
        <f t="shared" ref="BP57:BP66" si="18">IF(OR(BF57=" ",ISBLANK(BF57)),0,1)</f>
        <v>0</v>
      </c>
      <c r="BQ57" s="11">
        <f t="shared" ref="BQ57:BQ66" si="19">IF(OR(BI57=" ",ISBLANK(BI57)),0,1)</f>
        <v>0</v>
      </c>
      <c r="BR57" s="11">
        <f t="shared" ref="BR57:BR66" si="20">IF(OR(BL57=" ",ISBLANK(BL57)),0,1)</f>
        <v>0</v>
      </c>
      <c r="BS57" s="11"/>
      <c r="BT57" s="11"/>
      <c r="BU57" s="11"/>
    </row>
    <row r="58" ht="22.5" customHeight="1">
      <c r="B58" s="148" t="s">
        <v>108</v>
      </c>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50"/>
      <c r="AA58" s="151"/>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52"/>
      <c r="BC58" s="153"/>
      <c r="BD58" s="149"/>
      <c r="BE58" s="150"/>
      <c r="BF58" s="154"/>
      <c r="BG58" s="149"/>
      <c r="BH58" s="152"/>
      <c r="BI58" s="153"/>
      <c r="BJ58" s="149"/>
      <c r="BK58" s="152"/>
      <c r="BL58" s="153"/>
      <c r="BM58" s="149"/>
      <c r="BN58" s="152"/>
      <c r="BO58" s="14">
        <f t="shared" si="17"/>
        <v>0</v>
      </c>
      <c r="BP58" s="14">
        <f t="shared" si="18"/>
        <v>0</v>
      </c>
      <c r="BQ58" s="11">
        <f t="shared" si="19"/>
        <v>0</v>
      </c>
      <c r="BR58" s="11">
        <f t="shared" si="20"/>
        <v>0</v>
      </c>
      <c r="BS58" s="11"/>
      <c r="BT58" s="11"/>
      <c r="BU58" s="11"/>
    </row>
    <row r="59" ht="22.5" customHeight="1">
      <c r="B59" s="148" t="s">
        <v>109</v>
      </c>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50"/>
      <c r="AA59" s="151"/>
      <c r="AB59" s="149"/>
      <c r="AC59" s="149"/>
      <c r="AD59" s="149"/>
      <c r="AE59" s="149"/>
      <c r="AF59" s="149"/>
      <c r="AG59" s="149"/>
      <c r="AH59" s="149"/>
      <c r="AI59" s="149"/>
      <c r="AJ59" s="149"/>
      <c r="AK59" s="149"/>
      <c r="AL59" s="149"/>
      <c r="AM59" s="149"/>
      <c r="AN59" s="149"/>
      <c r="AO59" s="149"/>
      <c r="AP59" s="149"/>
      <c r="AQ59" s="149"/>
      <c r="AR59" s="149"/>
      <c r="AS59" s="149"/>
      <c r="AT59" s="149"/>
      <c r="AU59" s="149"/>
      <c r="AV59" s="149"/>
      <c r="AW59" s="149"/>
      <c r="AX59" s="149"/>
      <c r="AY59" s="149"/>
      <c r="AZ59" s="149"/>
      <c r="BA59" s="149"/>
      <c r="BB59" s="152"/>
      <c r="BC59" s="153"/>
      <c r="BD59" s="149"/>
      <c r="BE59" s="150"/>
      <c r="BF59" s="154"/>
      <c r="BG59" s="149"/>
      <c r="BH59" s="152"/>
      <c r="BI59" s="153"/>
      <c r="BJ59" s="149"/>
      <c r="BK59" s="152"/>
      <c r="BL59" s="153"/>
      <c r="BM59" s="149"/>
      <c r="BN59" s="152"/>
      <c r="BO59" s="14">
        <f t="shared" si="17"/>
        <v>0</v>
      </c>
      <c r="BP59" s="14">
        <f t="shared" si="18"/>
        <v>0</v>
      </c>
      <c r="BQ59" s="11">
        <f t="shared" si="19"/>
        <v>0</v>
      </c>
      <c r="BR59" s="11">
        <f t="shared" si="20"/>
        <v>0</v>
      </c>
      <c r="BS59" s="11"/>
      <c r="BT59" s="11"/>
      <c r="BU59" s="11"/>
    </row>
    <row r="60" ht="22.5" customHeight="1">
      <c r="B60" s="148" t="s">
        <v>110</v>
      </c>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50"/>
      <c r="AA60" s="151"/>
      <c r="AB60" s="149"/>
      <c r="AC60" s="149"/>
      <c r="AD60" s="149"/>
      <c r="AE60" s="149"/>
      <c r="AF60" s="149"/>
      <c r="AG60" s="149"/>
      <c r="AH60" s="149"/>
      <c r="AI60" s="149"/>
      <c r="AJ60" s="149"/>
      <c r="AK60" s="149"/>
      <c r="AL60" s="149"/>
      <c r="AM60" s="149"/>
      <c r="AN60" s="149"/>
      <c r="AO60" s="149"/>
      <c r="AP60" s="149"/>
      <c r="AQ60" s="149"/>
      <c r="AR60" s="149"/>
      <c r="AS60" s="149"/>
      <c r="AT60" s="149"/>
      <c r="AU60" s="149"/>
      <c r="AV60" s="149"/>
      <c r="AW60" s="149"/>
      <c r="AX60" s="149"/>
      <c r="AY60" s="149"/>
      <c r="AZ60" s="149"/>
      <c r="BA60" s="149"/>
      <c r="BB60" s="152"/>
      <c r="BC60" s="153"/>
      <c r="BD60" s="149"/>
      <c r="BE60" s="150"/>
      <c r="BF60" s="154"/>
      <c r="BG60" s="149"/>
      <c r="BH60" s="152"/>
      <c r="BI60" s="153"/>
      <c r="BJ60" s="149"/>
      <c r="BK60" s="152"/>
      <c r="BL60" s="153"/>
      <c r="BM60" s="149"/>
      <c r="BN60" s="152"/>
      <c r="BO60" s="14">
        <f t="shared" si="17"/>
        <v>0</v>
      </c>
      <c r="BP60" s="14">
        <f t="shared" si="18"/>
        <v>0</v>
      </c>
      <c r="BQ60" s="11">
        <f t="shared" si="19"/>
        <v>0</v>
      </c>
      <c r="BR60" s="11">
        <f t="shared" si="20"/>
        <v>0</v>
      </c>
      <c r="BS60" s="11"/>
      <c r="BT60" s="11"/>
      <c r="BU60" s="11"/>
    </row>
    <row r="61" ht="22.5" customHeight="1">
      <c r="B61" s="148" t="s">
        <v>111</v>
      </c>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50"/>
      <c r="AA61" s="151"/>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52"/>
      <c r="BC61" s="153"/>
      <c r="BD61" s="149"/>
      <c r="BE61" s="150"/>
      <c r="BF61" s="154"/>
      <c r="BG61" s="149"/>
      <c r="BH61" s="152"/>
      <c r="BI61" s="153"/>
      <c r="BJ61" s="149"/>
      <c r="BK61" s="152"/>
      <c r="BL61" s="153"/>
      <c r="BM61" s="149"/>
      <c r="BN61" s="152"/>
      <c r="BO61" s="14">
        <f t="shared" si="17"/>
        <v>0</v>
      </c>
      <c r="BP61" s="14">
        <f t="shared" si="18"/>
        <v>0</v>
      </c>
      <c r="BQ61" s="11">
        <f t="shared" si="19"/>
        <v>0</v>
      </c>
      <c r="BR61" s="11">
        <f t="shared" si="20"/>
        <v>0</v>
      </c>
      <c r="BS61" s="11"/>
      <c r="BT61" s="11"/>
      <c r="BU61" s="11"/>
    </row>
    <row r="62" ht="22.5" customHeight="1">
      <c r="B62" s="148" t="s">
        <v>112</v>
      </c>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50"/>
      <c r="AA62" s="151"/>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52"/>
      <c r="BC62" s="153"/>
      <c r="BD62" s="149"/>
      <c r="BE62" s="150"/>
      <c r="BF62" s="154"/>
      <c r="BG62" s="149"/>
      <c r="BH62" s="152"/>
      <c r="BI62" s="153"/>
      <c r="BJ62" s="149"/>
      <c r="BK62" s="152"/>
      <c r="BL62" s="153"/>
      <c r="BM62" s="149"/>
      <c r="BN62" s="152"/>
      <c r="BO62" s="14">
        <f t="shared" si="17"/>
        <v>0</v>
      </c>
      <c r="BP62" s="14">
        <f t="shared" si="18"/>
        <v>0</v>
      </c>
      <c r="BQ62" s="11">
        <f t="shared" si="19"/>
        <v>0</v>
      </c>
      <c r="BR62" s="11">
        <f t="shared" si="20"/>
        <v>0</v>
      </c>
      <c r="BS62" s="11"/>
      <c r="BT62" s="11"/>
      <c r="BU62" s="11"/>
    </row>
    <row r="63" ht="22.5" customHeight="1">
      <c r="B63" s="148" t="s">
        <v>113</v>
      </c>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50"/>
      <c r="AA63" s="151"/>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52"/>
      <c r="BC63" s="153"/>
      <c r="BD63" s="149"/>
      <c r="BE63" s="150"/>
      <c r="BF63" s="154"/>
      <c r="BG63" s="149"/>
      <c r="BH63" s="152"/>
      <c r="BI63" s="153"/>
      <c r="BJ63" s="149"/>
      <c r="BK63" s="152"/>
      <c r="BL63" s="153"/>
      <c r="BM63" s="149"/>
      <c r="BN63" s="152"/>
      <c r="BO63" s="14">
        <f t="shared" si="17"/>
        <v>0</v>
      </c>
      <c r="BP63" s="14">
        <f t="shared" si="18"/>
        <v>0</v>
      </c>
      <c r="BQ63" s="11">
        <f t="shared" si="19"/>
        <v>0</v>
      </c>
      <c r="BR63" s="11">
        <f t="shared" si="20"/>
        <v>0</v>
      </c>
      <c r="BS63" s="11"/>
      <c r="BT63" s="11"/>
      <c r="BU63" s="11"/>
    </row>
    <row r="64" ht="22.5" customHeight="1">
      <c r="B64" s="148" t="s">
        <v>114</v>
      </c>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50"/>
      <c r="AA64" s="151"/>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52"/>
      <c r="BC64" s="153"/>
      <c r="BD64" s="149"/>
      <c r="BE64" s="150"/>
      <c r="BF64" s="154"/>
      <c r="BG64" s="149"/>
      <c r="BH64" s="152"/>
      <c r="BI64" s="153"/>
      <c r="BJ64" s="149"/>
      <c r="BK64" s="152"/>
      <c r="BL64" s="153"/>
      <c r="BM64" s="149"/>
      <c r="BN64" s="152"/>
      <c r="BO64" s="14">
        <f t="shared" si="17"/>
        <v>0</v>
      </c>
      <c r="BP64" s="14">
        <f t="shared" si="18"/>
        <v>0</v>
      </c>
      <c r="BQ64" s="11">
        <f t="shared" si="19"/>
        <v>0</v>
      </c>
      <c r="BR64" s="11">
        <f t="shared" si="20"/>
        <v>0</v>
      </c>
      <c r="BS64" s="11"/>
      <c r="BT64" s="11"/>
      <c r="BU64" s="11"/>
    </row>
    <row r="65" ht="22.5" customHeight="1">
      <c r="B65" s="148" t="s">
        <v>115</v>
      </c>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50"/>
      <c r="AA65" s="151"/>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52"/>
      <c r="BC65" s="153"/>
      <c r="BD65" s="149"/>
      <c r="BE65" s="150"/>
      <c r="BF65" s="154"/>
      <c r="BG65" s="149"/>
      <c r="BH65" s="152"/>
      <c r="BI65" s="153"/>
      <c r="BJ65" s="149"/>
      <c r="BK65" s="152"/>
      <c r="BL65" s="153"/>
      <c r="BM65" s="149"/>
      <c r="BN65" s="152"/>
      <c r="BO65" s="14">
        <f t="shared" si="17"/>
        <v>0</v>
      </c>
      <c r="BP65" s="14">
        <f t="shared" si="18"/>
        <v>0</v>
      </c>
      <c r="BQ65" s="11">
        <f t="shared" si="19"/>
        <v>0</v>
      </c>
      <c r="BR65" s="11">
        <f t="shared" si="20"/>
        <v>0</v>
      </c>
      <c r="BS65" s="11"/>
      <c r="BT65" s="11"/>
      <c r="BU65" s="11"/>
    </row>
    <row r="66" ht="22.5" customHeight="1">
      <c r="B66" s="148" t="s">
        <v>116</v>
      </c>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50"/>
      <c r="AA66" s="151"/>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149"/>
      <c r="BA66" s="149"/>
      <c r="BB66" s="152"/>
      <c r="BC66" s="157"/>
      <c r="BD66" s="158"/>
      <c r="BE66" s="159"/>
      <c r="BF66" s="160"/>
      <c r="BG66" s="158"/>
      <c r="BH66" s="161"/>
      <c r="BI66" s="157"/>
      <c r="BJ66" s="158"/>
      <c r="BK66" s="161"/>
      <c r="BL66" s="157"/>
      <c r="BM66" s="158"/>
      <c r="BN66" s="161"/>
      <c r="BO66" s="14">
        <f t="shared" si="17"/>
        <v>0</v>
      </c>
      <c r="BP66" s="14">
        <f t="shared" si="18"/>
        <v>0</v>
      </c>
      <c r="BQ66" s="11">
        <f t="shared" si="19"/>
        <v>0</v>
      </c>
      <c r="BR66" s="11">
        <f t="shared" si="20"/>
        <v>0</v>
      </c>
      <c r="BS66" s="11"/>
      <c r="BT66" s="11"/>
      <c r="BU66" s="11"/>
    </row>
    <row r="67" ht="22.5" customHeight="1">
      <c r="B67" s="183"/>
      <c r="C67" s="184"/>
      <c r="D67" s="184"/>
      <c r="E67" s="184"/>
      <c r="F67" s="184"/>
      <c r="G67" s="184"/>
      <c r="H67" s="184"/>
      <c r="I67" s="184"/>
      <c r="J67" s="184"/>
      <c r="K67" s="184"/>
      <c r="L67" s="184"/>
      <c r="M67" s="184"/>
      <c r="N67" s="184"/>
      <c r="O67" s="184"/>
      <c r="P67" s="184"/>
      <c r="Q67" s="184"/>
      <c r="R67" s="184"/>
      <c r="S67" s="184"/>
      <c r="T67" s="184"/>
      <c r="U67" s="184"/>
      <c r="V67" s="184"/>
      <c r="W67" s="184"/>
      <c r="X67" s="184"/>
      <c r="Y67" s="184"/>
      <c r="Z67" s="184"/>
      <c r="AA67" s="163" t="s">
        <v>82</v>
      </c>
      <c r="AB67" s="158"/>
      <c r="AC67" s="158"/>
      <c r="AD67" s="158"/>
      <c r="AE67" s="158"/>
      <c r="AF67" s="158"/>
      <c r="AG67" s="158"/>
      <c r="AH67" s="158"/>
      <c r="AI67" s="158"/>
      <c r="AJ67" s="158"/>
      <c r="AK67" s="158"/>
      <c r="AL67" s="158"/>
      <c r="AM67" s="158"/>
      <c r="AN67" s="158"/>
      <c r="AO67" s="158"/>
      <c r="AP67" s="158"/>
      <c r="AQ67" s="158"/>
      <c r="AR67" s="158"/>
      <c r="AS67" s="158"/>
      <c r="AT67" s="158"/>
      <c r="AU67" s="158"/>
      <c r="AV67" s="158"/>
      <c r="AW67" s="158"/>
      <c r="AX67" s="158"/>
      <c r="AY67" s="158"/>
      <c r="AZ67" s="158"/>
      <c r="BA67" s="158"/>
      <c r="BB67" s="161"/>
      <c r="BC67" s="164" t="str">
        <f>IF(BO67=0,"",SUM(BC57:BE66))</f>
        <v/>
      </c>
      <c r="BD67" s="136"/>
      <c r="BE67" s="139"/>
      <c r="BF67" s="164" t="str">
        <f>IF(BP67=0,"",SUM(BF57:BH66))</f>
        <v/>
      </c>
      <c r="BG67" s="136"/>
      <c r="BH67" s="139"/>
      <c r="BI67" s="164" t="str">
        <f>IF(BQ67=0,"",SUM(BI57:BK66))</f>
        <v/>
      </c>
      <c r="BJ67" s="136"/>
      <c r="BK67" s="139"/>
      <c r="BL67" s="165" t="str">
        <f>IF(BR67=0,"",SUM(BL57:BN66))</f>
        <v/>
      </c>
      <c r="BM67" s="166"/>
      <c r="BN67" s="167"/>
      <c r="BO67" s="14">
        <f t="shared" ref="BO67:BR67" si="21">SUM(BO57:BO66)</f>
        <v>0</v>
      </c>
      <c r="BP67" s="14">
        <f t="shared" si="21"/>
        <v>0</v>
      </c>
      <c r="BQ67" s="11">
        <f t="shared" si="21"/>
        <v>0</v>
      </c>
      <c r="BR67" s="11">
        <f t="shared" si="21"/>
        <v>0</v>
      </c>
      <c r="BS67" s="11"/>
      <c r="BT67" s="11"/>
      <c r="BU67" s="11"/>
    </row>
    <row r="68" ht="22.5" customHeight="1">
      <c r="B68" s="168"/>
      <c r="C68" s="169"/>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70"/>
      <c r="AB68" s="169"/>
      <c r="AC68" s="169"/>
      <c r="AD68" s="169"/>
      <c r="AE68" s="169"/>
      <c r="AF68" s="169"/>
      <c r="AG68" s="169"/>
      <c r="AH68" s="169"/>
      <c r="AI68" s="169"/>
      <c r="AJ68" s="169"/>
      <c r="AK68" s="169"/>
      <c r="AL68" s="169"/>
      <c r="AM68" s="169"/>
      <c r="AN68" s="169"/>
      <c r="AO68" s="169"/>
      <c r="AP68" s="169"/>
      <c r="AQ68" s="169"/>
      <c r="AR68" s="169"/>
      <c r="AS68" s="169"/>
      <c r="AT68" s="169"/>
      <c r="AU68" s="169"/>
      <c r="AV68" s="169"/>
      <c r="AW68" s="169"/>
      <c r="AX68" s="169"/>
      <c r="AY68" s="169"/>
      <c r="AZ68" s="169"/>
      <c r="BA68" s="169"/>
      <c r="BB68" s="169"/>
      <c r="BC68" s="171"/>
      <c r="BD68" s="169"/>
      <c r="BE68" s="169"/>
      <c r="BF68" s="171"/>
      <c r="BG68" s="169"/>
      <c r="BH68" s="169"/>
      <c r="BI68" s="171"/>
      <c r="BJ68" s="169"/>
      <c r="BK68" s="169"/>
      <c r="BL68" s="171"/>
      <c r="BM68" s="169"/>
      <c r="BN68" s="169"/>
      <c r="BO68" s="14" t="str">
        <f>IF(ISNUMBER(BL67),BL67,IF(ISNUMBER(BI67),BI67,IF(ISNUMBER(BF67),BF67,IF(ISNUMBER(BC67),BC67,"@"))))</f>
        <v>@</v>
      </c>
      <c r="BP68" s="14"/>
      <c r="BQ68" s="11"/>
      <c r="BR68" s="11"/>
      <c r="BS68" s="11"/>
      <c r="BT68" s="11"/>
      <c r="BU68" s="11"/>
    </row>
    <row r="69" ht="22.5" customHeight="1">
      <c r="B69" s="135" t="s">
        <v>117</v>
      </c>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7"/>
      <c r="AA69" s="172" t="s">
        <v>66</v>
      </c>
      <c r="AB69" s="136"/>
      <c r="AC69" s="136"/>
      <c r="AD69" s="136"/>
      <c r="AE69" s="136"/>
      <c r="AF69" s="136"/>
      <c r="AG69" s="136"/>
      <c r="AH69" s="136"/>
      <c r="AI69" s="136"/>
      <c r="AJ69" s="136"/>
      <c r="AK69" s="136"/>
      <c r="AL69" s="136"/>
      <c r="AM69" s="136"/>
      <c r="AN69" s="136"/>
      <c r="AO69" s="136"/>
      <c r="AP69" s="136"/>
      <c r="AQ69" s="136"/>
      <c r="AR69" s="136"/>
      <c r="AS69" s="136"/>
      <c r="AT69" s="136"/>
      <c r="AU69" s="136"/>
      <c r="AV69" s="136"/>
      <c r="AW69" s="136"/>
      <c r="AX69" s="136"/>
      <c r="AY69" s="136"/>
      <c r="AZ69" s="136"/>
      <c r="BA69" s="136"/>
      <c r="BB69" s="139"/>
      <c r="BC69" s="173" t="s">
        <v>67</v>
      </c>
      <c r="BD69" s="136"/>
      <c r="BE69" s="137"/>
      <c r="BF69" s="140" t="s">
        <v>68</v>
      </c>
      <c r="BG69" s="136"/>
      <c r="BH69" s="139"/>
      <c r="BI69" s="173" t="s">
        <v>69</v>
      </c>
      <c r="BJ69" s="136"/>
      <c r="BK69" s="139"/>
      <c r="BL69" s="173" t="s">
        <v>70</v>
      </c>
      <c r="BM69" s="136"/>
      <c r="BN69" s="139"/>
      <c r="BO69" s="14"/>
      <c r="BP69" s="14"/>
      <c r="BQ69" s="11"/>
      <c r="BR69" s="11"/>
      <c r="BS69" s="11"/>
      <c r="BT69" s="11"/>
      <c r="BU69" s="11"/>
    </row>
    <row r="70" ht="22.5" customHeight="1">
      <c r="B70" s="174" t="s">
        <v>118</v>
      </c>
      <c r="C70" s="175"/>
      <c r="D70" s="175"/>
      <c r="E70" s="175"/>
      <c r="F70" s="175"/>
      <c r="G70" s="175"/>
      <c r="H70" s="175"/>
      <c r="I70" s="175"/>
      <c r="J70" s="175"/>
      <c r="K70" s="175"/>
      <c r="L70" s="175"/>
      <c r="M70" s="175"/>
      <c r="N70" s="175"/>
      <c r="O70" s="175"/>
      <c r="P70" s="175"/>
      <c r="Q70" s="175"/>
      <c r="R70" s="175"/>
      <c r="S70" s="175"/>
      <c r="T70" s="175"/>
      <c r="U70" s="175"/>
      <c r="V70" s="175"/>
      <c r="W70" s="175"/>
      <c r="X70" s="175"/>
      <c r="Y70" s="175"/>
      <c r="Z70" s="176"/>
      <c r="AA70" s="177"/>
      <c r="AB70" s="175"/>
      <c r="AC70" s="175"/>
      <c r="AD70" s="175"/>
      <c r="AE70" s="175"/>
      <c r="AF70" s="175"/>
      <c r="AG70" s="175"/>
      <c r="AH70" s="175"/>
      <c r="AI70" s="175"/>
      <c r="AJ70" s="175"/>
      <c r="AK70" s="175"/>
      <c r="AL70" s="175"/>
      <c r="AM70" s="175"/>
      <c r="AN70" s="175"/>
      <c r="AO70" s="175"/>
      <c r="AP70" s="175"/>
      <c r="AQ70" s="175"/>
      <c r="AR70" s="175"/>
      <c r="AS70" s="175"/>
      <c r="AT70" s="175"/>
      <c r="AU70" s="175"/>
      <c r="AV70" s="175"/>
      <c r="AW70" s="175"/>
      <c r="AX70" s="175"/>
      <c r="AY70" s="175"/>
      <c r="AZ70" s="175"/>
      <c r="BA70" s="175"/>
      <c r="BB70" s="178"/>
      <c r="BC70" s="179"/>
      <c r="BD70" s="175"/>
      <c r="BE70" s="176"/>
      <c r="BF70" s="180"/>
      <c r="BG70" s="175"/>
      <c r="BH70" s="178"/>
      <c r="BI70" s="179"/>
      <c r="BJ70" s="175"/>
      <c r="BK70" s="178"/>
      <c r="BL70" s="179"/>
      <c r="BM70" s="175"/>
      <c r="BN70" s="178"/>
      <c r="BO70" s="14">
        <f t="shared" ref="BO70:BO79" si="22">IF(OR(BC70=" ",ISBLANK(BC70)),0,1)</f>
        <v>0</v>
      </c>
      <c r="BP70" s="14">
        <f t="shared" ref="BP70:BP79" si="23">IF(OR(BF70=" ",ISBLANK(BF70)),0,1)</f>
        <v>0</v>
      </c>
      <c r="BQ70" s="11">
        <f t="shared" ref="BQ70:BQ79" si="24">IF(OR(BI70=" ",ISBLANK(BI70)),0,1)</f>
        <v>0</v>
      </c>
      <c r="BR70" s="11">
        <f t="shared" ref="BR70:BR79" si="25">IF(OR(BL70=" ",ISBLANK(BL70)),0,1)</f>
        <v>0</v>
      </c>
      <c r="BS70" s="11"/>
      <c r="BT70" s="11"/>
      <c r="BU70" s="11"/>
    </row>
    <row r="71" ht="22.5" customHeight="1">
      <c r="B71" s="148" t="s">
        <v>119</v>
      </c>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50"/>
      <c r="AA71" s="151"/>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149"/>
      <c r="BA71" s="149"/>
      <c r="BB71" s="152"/>
      <c r="BC71" s="153"/>
      <c r="BD71" s="149"/>
      <c r="BE71" s="150"/>
      <c r="BF71" s="154"/>
      <c r="BG71" s="149"/>
      <c r="BH71" s="152"/>
      <c r="BI71" s="153"/>
      <c r="BJ71" s="149"/>
      <c r="BK71" s="152"/>
      <c r="BL71" s="153"/>
      <c r="BM71" s="149"/>
      <c r="BN71" s="152"/>
      <c r="BO71" s="14">
        <f t="shared" si="22"/>
        <v>0</v>
      </c>
      <c r="BP71" s="14">
        <f t="shared" si="23"/>
        <v>0</v>
      </c>
      <c r="BQ71" s="11">
        <f t="shared" si="24"/>
        <v>0</v>
      </c>
      <c r="BR71" s="11">
        <f t="shared" si="25"/>
        <v>0</v>
      </c>
      <c r="BS71" s="11"/>
      <c r="BT71" s="11"/>
      <c r="BU71" s="11"/>
    </row>
    <row r="72" ht="22.5" customHeight="1">
      <c r="B72" s="148" t="s">
        <v>120</v>
      </c>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50"/>
      <c r="AA72" s="151"/>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149"/>
      <c r="BA72" s="149"/>
      <c r="BB72" s="152"/>
      <c r="BC72" s="153"/>
      <c r="BD72" s="149"/>
      <c r="BE72" s="150"/>
      <c r="BF72" s="154"/>
      <c r="BG72" s="149"/>
      <c r="BH72" s="152"/>
      <c r="BI72" s="153"/>
      <c r="BJ72" s="149"/>
      <c r="BK72" s="152"/>
      <c r="BL72" s="153"/>
      <c r="BM72" s="149"/>
      <c r="BN72" s="152"/>
      <c r="BO72" s="14">
        <f t="shared" si="22"/>
        <v>0</v>
      </c>
      <c r="BP72" s="14">
        <f t="shared" si="23"/>
        <v>0</v>
      </c>
      <c r="BQ72" s="11">
        <f t="shared" si="24"/>
        <v>0</v>
      </c>
      <c r="BR72" s="11">
        <f t="shared" si="25"/>
        <v>0</v>
      </c>
      <c r="BS72" s="11"/>
      <c r="BT72" s="11"/>
      <c r="BU72" s="11"/>
    </row>
    <row r="73" ht="22.5" customHeight="1">
      <c r="B73" s="148" t="s">
        <v>121</v>
      </c>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50"/>
      <c r="AA73" s="151"/>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149"/>
      <c r="BA73" s="149"/>
      <c r="BB73" s="152"/>
      <c r="BC73" s="153"/>
      <c r="BD73" s="149"/>
      <c r="BE73" s="150"/>
      <c r="BF73" s="154"/>
      <c r="BG73" s="149"/>
      <c r="BH73" s="152"/>
      <c r="BI73" s="153"/>
      <c r="BJ73" s="149"/>
      <c r="BK73" s="152"/>
      <c r="BL73" s="153"/>
      <c r="BM73" s="149"/>
      <c r="BN73" s="152"/>
      <c r="BO73" s="14">
        <f t="shared" si="22"/>
        <v>0</v>
      </c>
      <c r="BP73" s="14">
        <f t="shared" si="23"/>
        <v>0</v>
      </c>
      <c r="BQ73" s="11">
        <f t="shared" si="24"/>
        <v>0</v>
      </c>
      <c r="BR73" s="11">
        <f t="shared" si="25"/>
        <v>0</v>
      </c>
      <c r="BS73" s="11"/>
      <c r="BT73" s="11"/>
      <c r="BU73" s="11"/>
    </row>
    <row r="74" ht="22.5" customHeight="1">
      <c r="B74" s="148" t="s">
        <v>122</v>
      </c>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50"/>
      <c r="AA74" s="151"/>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52"/>
      <c r="BC74" s="153"/>
      <c r="BD74" s="149"/>
      <c r="BE74" s="150"/>
      <c r="BF74" s="154"/>
      <c r="BG74" s="149"/>
      <c r="BH74" s="152"/>
      <c r="BI74" s="153"/>
      <c r="BJ74" s="149"/>
      <c r="BK74" s="152"/>
      <c r="BL74" s="153"/>
      <c r="BM74" s="149"/>
      <c r="BN74" s="152"/>
      <c r="BO74" s="14">
        <f t="shared" si="22"/>
        <v>0</v>
      </c>
      <c r="BP74" s="14">
        <f t="shared" si="23"/>
        <v>0</v>
      </c>
      <c r="BQ74" s="11">
        <f t="shared" si="24"/>
        <v>0</v>
      </c>
      <c r="BR74" s="11">
        <f t="shared" si="25"/>
        <v>0</v>
      </c>
      <c r="BS74" s="11"/>
      <c r="BT74" s="11"/>
      <c r="BU74" s="11"/>
    </row>
    <row r="75" ht="22.5" customHeight="1">
      <c r="B75" s="148" t="s">
        <v>123</v>
      </c>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50"/>
      <c r="AA75" s="151"/>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52"/>
      <c r="BC75" s="153"/>
      <c r="BD75" s="149"/>
      <c r="BE75" s="150"/>
      <c r="BF75" s="154"/>
      <c r="BG75" s="149"/>
      <c r="BH75" s="152"/>
      <c r="BI75" s="153"/>
      <c r="BJ75" s="149"/>
      <c r="BK75" s="152"/>
      <c r="BL75" s="153"/>
      <c r="BM75" s="149"/>
      <c r="BN75" s="152"/>
      <c r="BO75" s="14">
        <f t="shared" si="22"/>
        <v>0</v>
      </c>
      <c r="BP75" s="14">
        <f t="shared" si="23"/>
        <v>0</v>
      </c>
      <c r="BQ75" s="11">
        <f t="shared" si="24"/>
        <v>0</v>
      </c>
      <c r="BR75" s="11">
        <f t="shared" si="25"/>
        <v>0</v>
      </c>
      <c r="BS75" s="11"/>
      <c r="BT75" s="11"/>
      <c r="BU75" s="11"/>
    </row>
    <row r="76" ht="22.5" customHeight="1">
      <c r="B76" s="148" t="s">
        <v>124</v>
      </c>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50"/>
      <c r="AA76" s="151"/>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149"/>
      <c r="BA76" s="149"/>
      <c r="BB76" s="152"/>
      <c r="BC76" s="153"/>
      <c r="BD76" s="149"/>
      <c r="BE76" s="150"/>
      <c r="BF76" s="154"/>
      <c r="BG76" s="149"/>
      <c r="BH76" s="152"/>
      <c r="BI76" s="153"/>
      <c r="BJ76" s="149"/>
      <c r="BK76" s="152"/>
      <c r="BL76" s="153"/>
      <c r="BM76" s="149"/>
      <c r="BN76" s="152"/>
      <c r="BO76" s="14">
        <f t="shared" si="22"/>
        <v>0</v>
      </c>
      <c r="BP76" s="14">
        <f t="shared" si="23"/>
        <v>0</v>
      </c>
      <c r="BQ76" s="11">
        <f t="shared" si="24"/>
        <v>0</v>
      </c>
      <c r="BR76" s="11">
        <f t="shared" si="25"/>
        <v>0</v>
      </c>
      <c r="BS76" s="11"/>
      <c r="BT76" s="11"/>
      <c r="BU76" s="11"/>
    </row>
    <row r="77" ht="22.5" customHeight="1">
      <c r="B77" s="148" t="s">
        <v>125</v>
      </c>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50"/>
      <c r="AA77" s="151"/>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149"/>
      <c r="BA77" s="149"/>
      <c r="BB77" s="152"/>
      <c r="BC77" s="153"/>
      <c r="BD77" s="149"/>
      <c r="BE77" s="150"/>
      <c r="BF77" s="154"/>
      <c r="BG77" s="149"/>
      <c r="BH77" s="152"/>
      <c r="BI77" s="153"/>
      <c r="BJ77" s="149"/>
      <c r="BK77" s="152"/>
      <c r="BL77" s="153"/>
      <c r="BM77" s="149"/>
      <c r="BN77" s="152"/>
      <c r="BO77" s="14">
        <f t="shared" si="22"/>
        <v>0</v>
      </c>
      <c r="BP77" s="14">
        <f t="shared" si="23"/>
        <v>0</v>
      </c>
      <c r="BQ77" s="11">
        <f t="shared" si="24"/>
        <v>0</v>
      </c>
      <c r="BR77" s="11">
        <f t="shared" si="25"/>
        <v>0</v>
      </c>
      <c r="BS77" s="11"/>
      <c r="BT77" s="11"/>
      <c r="BU77" s="11"/>
    </row>
    <row r="78" ht="22.5" customHeight="1">
      <c r="B78" s="148" t="s">
        <v>126</v>
      </c>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50"/>
      <c r="AA78" s="151"/>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149"/>
      <c r="BA78" s="149"/>
      <c r="BB78" s="152"/>
      <c r="BC78" s="153"/>
      <c r="BD78" s="149"/>
      <c r="BE78" s="150"/>
      <c r="BF78" s="154"/>
      <c r="BG78" s="149"/>
      <c r="BH78" s="152"/>
      <c r="BI78" s="153"/>
      <c r="BJ78" s="149"/>
      <c r="BK78" s="152"/>
      <c r="BL78" s="153"/>
      <c r="BM78" s="149"/>
      <c r="BN78" s="152"/>
      <c r="BO78" s="14">
        <f t="shared" si="22"/>
        <v>0</v>
      </c>
      <c r="BP78" s="14">
        <f t="shared" si="23"/>
        <v>0</v>
      </c>
      <c r="BQ78" s="11">
        <f t="shared" si="24"/>
        <v>0</v>
      </c>
      <c r="BR78" s="11">
        <f t="shared" si="25"/>
        <v>0</v>
      </c>
      <c r="BS78" s="11"/>
      <c r="BT78" s="11"/>
      <c r="BU78" s="11"/>
    </row>
    <row r="79" ht="22.5" customHeight="1">
      <c r="B79" s="148" t="s">
        <v>127</v>
      </c>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50"/>
      <c r="AA79" s="151"/>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149"/>
      <c r="BA79" s="149"/>
      <c r="BB79" s="152"/>
      <c r="BC79" s="157"/>
      <c r="BD79" s="158"/>
      <c r="BE79" s="159"/>
      <c r="BF79" s="160"/>
      <c r="BG79" s="158"/>
      <c r="BH79" s="161"/>
      <c r="BI79" s="157"/>
      <c r="BJ79" s="158"/>
      <c r="BK79" s="161"/>
      <c r="BL79" s="157"/>
      <c r="BM79" s="158"/>
      <c r="BN79" s="161"/>
      <c r="BO79" s="14">
        <f t="shared" si="22"/>
        <v>0</v>
      </c>
      <c r="BP79" s="14">
        <f t="shared" si="23"/>
        <v>0</v>
      </c>
      <c r="BQ79" s="11">
        <f t="shared" si="24"/>
        <v>0</v>
      </c>
      <c r="BR79" s="11">
        <f t="shared" si="25"/>
        <v>0</v>
      </c>
      <c r="BS79" s="11"/>
      <c r="BT79" s="11"/>
      <c r="BU79" s="11"/>
    </row>
    <row r="80" ht="22.5" customHeight="1">
      <c r="B80" s="183"/>
      <c r="C80" s="184"/>
      <c r="D80" s="184"/>
      <c r="E80" s="184"/>
      <c r="F80" s="184"/>
      <c r="G80" s="184"/>
      <c r="H80" s="184"/>
      <c r="I80" s="184"/>
      <c r="J80" s="184"/>
      <c r="K80" s="184"/>
      <c r="L80" s="184"/>
      <c r="M80" s="184"/>
      <c r="N80" s="184"/>
      <c r="O80" s="184"/>
      <c r="P80" s="184"/>
      <c r="Q80" s="184"/>
      <c r="R80" s="184"/>
      <c r="S80" s="184"/>
      <c r="T80" s="184"/>
      <c r="U80" s="184"/>
      <c r="V80" s="184"/>
      <c r="W80" s="184"/>
      <c r="X80" s="184"/>
      <c r="Y80" s="184"/>
      <c r="Z80" s="184"/>
      <c r="AA80" s="163" t="s">
        <v>82</v>
      </c>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61"/>
      <c r="BC80" s="164" t="str">
        <f>IF(BO80=0,"",SUM(BC70:BE79))</f>
        <v/>
      </c>
      <c r="BD80" s="136"/>
      <c r="BE80" s="139"/>
      <c r="BF80" s="185" t="str">
        <f>IF(BP80=0,"",SUM(BF70:BH79))</f>
        <v/>
      </c>
      <c r="BG80" s="136"/>
      <c r="BH80" s="139"/>
      <c r="BI80" s="185" t="str">
        <f>IF(BQ80=0,"",SUM(BI70:BK79))</f>
        <v/>
      </c>
      <c r="BJ80" s="136"/>
      <c r="BK80" s="139"/>
      <c r="BL80" s="165" t="str">
        <f>IF(BR80=0,"",SUM(BL70:BN79))</f>
        <v/>
      </c>
      <c r="BM80" s="166"/>
      <c r="BN80" s="167"/>
      <c r="BO80" s="14">
        <f t="shared" ref="BO80:BR80" si="26">SUM(BO70:BO79)</f>
        <v>0</v>
      </c>
      <c r="BP80" s="14">
        <f t="shared" si="26"/>
        <v>0</v>
      </c>
      <c r="BQ80" s="11">
        <f t="shared" si="26"/>
        <v>0</v>
      </c>
      <c r="BR80" s="11">
        <f t="shared" si="26"/>
        <v>0</v>
      </c>
      <c r="BS80" s="11"/>
      <c r="BT80" s="11"/>
      <c r="BU80" s="11"/>
    </row>
    <row r="81" ht="22.5" customHeight="1">
      <c r="A81" s="6"/>
      <c r="B81" s="168"/>
      <c r="C81" s="169"/>
      <c r="D81" s="169"/>
      <c r="E81" s="169"/>
      <c r="F81" s="169"/>
      <c r="G81" s="169"/>
      <c r="H81" s="169"/>
      <c r="I81" s="169"/>
      <c r="J81" s="169"/>
      <c r="K81" s="169"/>
      <c r="L81" s="169"/>
      <c r="M81" s="169"/>
      <c r="N81" s="169"/>
      <c r="O81" s="169"/>
      <c r="P81" s="169"/>
      <c r="Q81" s="169"/>
      <c r="R81" s="169"/>
      <c r="S81" s="169"/>
      <c r="T81" s="169"/>
      <c r="U81" s="169"/>
      <c r="V81" s="169"/>
      <c r="W81" s="169"/>
      <c r="X81" s="169"/>
      <c r="Y81" s="169"/>
      <c r="Z81" s="169"/>
      <c r="AA81" s="170"/>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169"/>
      <c r="BA81" s="169"/>
      <c r="BB81" s="169"/>
      <c r="BC81" s="171"/>
      <c r="BD81" s="169"/>
      <c r="BE81" s="169"/>
      <c r="BF81" s="171"/>
      <c r="BG81" s="169"/>
      <c r="BH81" s="169"/>
      <c r="BI81" s="171"/>
      <c r="BJ81" s="169"/>
      <c r="BK81" s="169"/>
      <c r="BL81" s="171"/>
      <c r="BM81" s="169"/>
      <c r="BN81" s="169"/>
      <c r="BO81" s="14" t="str">
        <f>IF(ISNUMBER(BL80),BL80,IF(ISNUMBER(BI80),BI80,IF(ISNUMBER(BF80),BF80,IF(ISNUMBER(BC80),BC80,"@"))))</f>
        <v>@</v>
      </c>
      <c r="BP81" s="14"/>
      <c r="BQ81" s="11"/>
      <c r="BR81" s="11"/>
      <c r="BS81" s="11"/>
      <c r="BT81" s="11"/>
      <c r="BU81" s="11"/>
    </row>
    <row r="82" ht="22.5" customHeight="1">
      <c r="B82" s="135" t="s">
        <v>128</v>
      </c>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7"/>
      <c r="AA82" s="172" t="s">
        <v>66</v>
      </c>
      <c r="AB82" s="136"/>
      <c r="AC82" s="136"/>
      <c r="AD82" s="136"/>
      <c r="AE82" s="136"/>
      <c r="AF82" s="136"/>
      <c r="AG82" s="136"/>
      <c r="AH82" s="136"/>
      <c r="AI82" s="136"/>
      <c r="AJ82" s="136"/>
      <c r="AK82" s="136"/>
      <c r="AL82" s="136"/>
      <c r="AM82" s="136"/>
      <c r="AN82" s="136"/>
      <c r="AO82" s="136"/>
      <c r="AP82" s="136"/>
      <c r="AQ82" s="136"/>
      <c r="AR82" s="136"/>
      <c r="AS82" s="136"/>
      <c r="AT82" s="136"/>
      <c r="AU82" s="136"/>
      <c r="AV82" s="136"/>
      <c r="AW82" s="136"/>
      <c r="AX82" s="136"/>
      <c r="AY82" s="136"/>
      <c r="AZ82" s="136"/>
      <c r="BA82" s="136"/>
      <c r="BB82" s="139"/>
      <c r="BC82" s="173" t="s">
        <v>67</v>
      </c>
      <c r="BD82" s="136"/>
      <c r="BE82" s="137"/>
      <c r="BF82" s="140" t="s">
        <v>68</v>
      </c>
      <c r="BG82" s="136"/>
      <c r="BH82" s="139"/>
      <c r="BI82" s="173" t="s">
        <v>69</v>
      </c>
      <c r="BJ82" s="136"/>
      <c r="BK82" s="139"/>
      <c r="BL82" s="173" t="s">
        <v>70</v>
      </c>
      <c r="BM82" s="136"/>
      <c r="BN82" s="139"/>
      <c r="BO82" s="14"/>
      <c r="BP82" s="14"/>
      <c r="BQ82" s="11"/>
      <c r="BR82" s="11"/>
      <c r="BS82" s="11"/>
      <c r="BT82" s="11"/>
      <c r="BU82" s="11"/>
    </row>
    <row r="83" ht="22.5" customHeight="1">
      <c r="B83" s="174" t="s">
        <v>129</v>
      </c>
      <c r="C83" s="175"/>
      <c r="D83" s="175"/>
      <c r="E83" s="175"/>
      <c r="F83" s="175"/>
      <c r="G83" s="175"/>
      <c r="H83" s="175"/>
      <c r="I83" s="175"/>
      <c r="J83" s="175"/>
      <c r="K83" s="175"/>
      <c r="L83" s="175"/>
      <c r="M83" s="175"/>
      <c r="N83" s="175"/>
      <c r="O83" s="175"/>
      <c r="P83" s="175"/>
      <c r="Q83" s="175"/>
      <c r="R83" s="175"/>
      <c r="S83" s="175"/>
      <c r="T83" s="175"/>
      <c r="U83" s="175"/>
      <c r="V83" s="175"/>
      <c r="W83" s="175"/>
      <c r="X83" s="175"/>
      <c r="Y83" s="175"/>
      <c r="Z83" s="176"/>
      <c r="AA83" s="177"/>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8"/>
      <c r="BC83" s="179"/>
      <c r="BD83" s="175"/>
      <c r="BE83" s="176"/>
      <c r="BF83" s="180"/>
      <c r="BG83" s="175"/>
      <c r="BH83" s="178"/>
      <c r="BI83" s="179"/>
      <c r="BJ83" s="175"/>
      <c r="BK83" s="178"/>
      <c r="BL83" s="179"/>
      <c r="BM83" s="175"/>
      <c r="BN83" s="178"/>
      <c r="BO83" s="14">
        <f t="shared" ref="BO83:BO92" si="27">IF(OR(BC83=" ",ISBLANK(BC83)),0,1)</f>
        <v>0</v>
      </c>
      <c r="BP83" s="14">
        <f t="shared" ref="BP83:BP92" si="28">IF(OR(BF83=" ",ISBLANK(BF83)),0,1)</f>
        <v>0</v>
      </c>
      <c r="BQ83" s="11">
        <f t="shared" ref="BQ83:BQ92" si="29">IF(OR(BI83=" ",ISBLANK(BI83)),0,1)</f>
        <v>0</v>
      </c>
      <c r="BR83" s="11">
        <f t="shared" ref="BR83:BR92" si="30">IF(OR(BL83=" ",ISBLANK(BL83)),0,1)</f>
        <v>0</v>
      </c>
      <c r="BS83" s="11"/>
      <c r="BT83" s="11"/>
      <c r="BU83" s="11"/>
    </row>
    <row r="84" ht="22.5" customHeight="1">
      <c r="B84" s="148" t="s">
        <v>130</v>
      </c>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50"/>
      <c r="AA84" s="151"/>
      <c r="AB84" s="149"/>
      <c r="AC84" s="149"/>
      <c r="AD84" s="149"/>
      <c r="AE84" s="149"/>
      <c r="AF84" s="149"/>
      <c r="AG84" s="149"/>
      <c r="AH84" s="149"/>
      <c r="AI84" s="149"/>
      <c r="AJ84" s="149"/>
      <c r="AK84" s="149"/>
      <c r="AL84" s="149"/>
      <c r="AM84" s="149"/>
      <c r="AN84" s="149"/>
      <c r="AO84" s="149"/>
      <c r="AP84" s="149"/>
      <c r="AQ84" s="149"/>
      <c r="AR84" s="149"/>
      <c r="AS84" s="149"/>
      <c r="AT84" s="149"/>
      <c r="AU84" s="149"/>
      <c r="AV84" s="149"/>
      <c r="AW84" s="149"/>
      <c r="AX84" s="149"/>
      <c r="AY84" s="149"/>
      <c r="AZ84" s="149"/>
      <c r="BA84" s="149"/>
      <c r="BB84" s="152"/>
      <c r="BC84" s="153"/>
      <c r="BD84" s="149"/>
      <c r="BE84" s="150"/>
      <c r="BF84" s="154"/>
      <c r="BG84" s="149"/>
      <c r="BH84" s="152"/>
      <c r="BI84" s="153"/>
      <c r="BJ84" s="149"/>
      <c r="BK84" s="152"/>
      <c r="BL84" s="153"/>
      <c r="BM84" s="149"/>
      <c r="BN84" s="152"/>
      <c r="BO84" s="14">
        <f t="shared" si="27"/>
        <v>0</v>
      </c>
      <c r="BP84" s="14">
        <f t="shared" si="28"/>
        <v>0</v>
      </c>
      <c r="BQ84" s="11">
        <f t="shared" si="29"/>
        <v>0</v>
      </c>
      <c r="BR84" s="11">
        <f t="shared" si="30"/>
        <v>0</v>
      </c>
      <c r="BS84" s="11"/>
      <c r="BT84" s="11"/>
      <c r="BU84" s="11"/>
    </row>
    <row r="85" ht="22.5" customHeight="1">
      <c r="B85" s="148" t="s">
        <v>131</v>
      </c>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50"/>
      <c r="AA85" s="151"/>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52"/>
      <c r="BC85" s="153"/>
      <c r="BD85" s="149"/>
      <c r="BE85" s="150"/>
      <c r="BF85" s="154"/>
      <c r="BG85" s="149"/>
      <c r="BH85" s="152"/>
      <c r="BI85" s="153"/>
      <c r="BJ85" s="149"/>
      <c r="BK85" s="152"/>
      <c r="BL85" s="153"/>
      <c r="BM85" s="149"/>
      <c r="BN85" s="152"/>
      <c r="BO85" s="14">
        <f t="shared" si="27"/>
        <v>0</v>
      </c>
      <c r="BP85" s="14">
        <f t="shared" si="28"/>
        <v>0</v>
      </c>
      <c r="BQ85" s="11">
        <f t="shared" si="29"/>
        <v>0</v>
      </c>
      <c r="BR85" s="11">
        <f t="shared" si="30"/>
        <v>0</v>
      </c>
      <c r="BS85" s="11"/>
      <c r="BT85" s="11"/>
      <c r="BU85" s="11"/>
    </row>
    <row r="86" ht="22.5" customHeight="1">
      <c r="B86" s="148" t="s">
        <v>132</v>
      </c>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50"/>
      <c r="AA86" s="151"/>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52"/>
      <c r="BC86" s="153"/>
      <c r="BD86" s="149"/>
      <c r="BE86" s="150"/>
      <c r="BF86" s="154"/>
      <c r="BG86" s="149"/>
      <c r="BH86" s="152"/>
      <c r="BI86" s="153"/>
      <c r="BJ86" s="149"/>
      <c r="BK86" s="152"/>
      <c r="BL86" s="153"/>
      <c r="BM86" s="149"/>
      <c r="BN86" s="152"/>
      <c r="BO86" s="14">
        <f t="shared" si="27"/>
        <v>0</v>
      </c>
      <c r="BP86" s="14">
        <f t="shared" si="28"/>
        <v>0</v>
      </c>
      <c r="BQ86" s="11">
        <f t="shared" si="29"/>
        <v>0</v>
      </c>
      <c r="BR86" s="11">
        <f t="shared" si="30"/>
        <v>0</v>
      </c>
      <c r="BS86" s="11"/>
      <c r="BT86" s="11"/>
      <c r="BU86" s="11"/>
    </row>
    <row r="87" ht="22.5" customHeight="1">
      <c r="B87" s="148" t="s">
        <v>133</v>
      </c>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50"/>
      <c r="AA87" s="151"/>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52"/>
      <c r="BC87" s="153"/>
      <c r="BD87" s="149"/>
      <c r="BE87" s="150"/>
      <c r="BF87" s="154"/>
      <c r="BG87" s="149"/>
      <c r="BH87" s="152"/>
      <c r="BI87" s="153"/>
      <c r="BJ87" s="149"/>
      <c r="BK87" s="152"/>
      <c r="BL87" s="153"/>
      <c r="BM87" s="149"/>
      <c r="BN87" s="152"/>
      <c r="BO87" s="14">
        <f t="shared" si="27"/>
        <v>0</v>
      </c>
      <c r="BP87" s="14">
        <f t="shared" si="28"/>
        <v>0</v>
      </c>
      <c r="BQ87" s="11">
        <f t="shared" si="29"/>
        <v>0</v>
      </c>
      <c r="BR87" s="11">
        <f t="shared" si="30"/>
        <v>0</v>
      </c>
      <c r="BS87" s="11"/>
      <c r="BT87" s="11"/>
      <c r="BU87" s="11"/>
    </row>
    <row r="88" ht="22.5" customHeight="1">
      <c r="B88" s="148" t="s">
        <v>134</v>
      </c>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50"/>
      <c r="AA88" s="151"/>
      <c r="AB88" s="149"/>
      <c r="AC88" s="149"/>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49"/>
      <c r="BB88" s="152"/>
      <c r="BC88" s="153"/>
      <c r="BD88" s="149"/>
      <c r="BE88" s="150"/>
      <c r="BF88" s="154"/>
      <c r="BG88" s="149"/>
      <c r="BH88" s="152"/>
      <c r="BI88" s="153"/>
      <c r="BJ88" s="149"/>
      <c r="BK88" s="152"/>
      <c r="BL88" s="153"/>
      <c r="BM88" s="149"/>
      <c r="BN88" s="152"/>
      <c r="BO88" s="14">
        <f t="shared" si="27"/>
        <v>0</v>
      </c>
      <c r="BP88" s="14">
        <f t="shared" si="28"/>
        <v>0</v>
      </c>
      <c r="BQ88" s="11">
        <f t="shared" si="29"/>
        <v>0</v>
      </c>
      <c r="BR88" s="11">
        <f t="shared" si="30"/>
        <v>0</v>
      </c>
      <c r="BS88" s="11"/>
      <c r="BT88" s="11"/>
      <c r="BU88" s="11"/>
    </row>
    <row r="89" ht="22.5" customHeight="1">
      <c r="B89" s="148" t="s">
        <v>135</v>
      </c>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50"/>
      <c r="AA89" s="151"/>
      <c r="AB89" s="149"/>
      <c r="AC89" s="149"/>
      <c r="AD89" s="149"/>
      <c r="AE89" s="149"/>
      <c r="AF89" s="149"/>
      <c r="AG89" s="149"/>
      <c r="AH89" s="149"/>
      <c r="AI89" s="149"/>
      <c r="AJ89" s="149"/>
      <c r="AK89" s="149"/>
      <c r="AL89" s="149"/>
      <c r="AM89" s="149"/>
      <c r="AN89" s="149"/>
      <c r="AO89" s="149"/>
      <c r="AP89" s="149"/>
      <c r="AQ89" s="149"/>
      <c r="AR89" s="149"/>
      <c r="AS89" s="149"/>
      <c r="AT89" s="149"/>
      <c r="AU89" s="149"/>
      <c r="AV89" s="149"/>
      <c r="AW89" s="149"/>
      <c r="AX89" s="149"/>
      <c r="AY89" s="149"/>
      <c r="AZ89" s="149"/>
      <c r="BA89" s="149"/>
      <c r="BB89" s="152"/>
      <c r="BC89" s="153"/>
      <c r="BD89" s="149"/>
      <c r="BE89" s="150"/>
      <c r="BF89" s="154"/>
      <c r="BG89" s="149"/>
      <c r="BH89" s="152"/>
      <c r="BI89" s="153"/>
      <c r="BJ89" s="149"/>
      <c r="BK89" s="152"/>
      <c r="BL89" s="153"/>
      <c r="BM89" s="149"/>
      <c r="BN89" s="152"/>
      <c r="BO89" s="14">
        <f t="shared" si="27"/>
        <v>0</v>
      </c>
      <c r="BP89" s="14">
        <f t="shared" si="28"/>
        <v>0</v>
      </c>
      <c r="BQ89" s="11">
        <f t="shared" si="29"/>
        <v>0</v>
      </c>
      <c r="BR89" s="11">
        <f t="shared" si="30"/>
        <v>0</v>
      </c>
      <c r="BS89" s="11"/>
      <c r="BT89" s="11"/>
      <c r="BU89" s="11"/>
    </row>
    <row r="90" ht="22.5" customHeight="1">
      <c r="B90" s="148" t="s">
        <v>136</v>
      </c>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50"/>
      <c r="AA90" s="151"/>
      <c r="AB90" s="149"/>
      <c r="AC90" s="149"/>
      <c r="AD90" s="149"/>
      <c r="AE90" s="149"/>
      <c r="AF90" s="149"/>
      <c r="AG90" s="149"/>
      <c r="AH90" s="149"/>
      <c r="AI90" s="149"/>
      <c r="AJ90" s="149"/>
      <c r="AK90" s="149"/>
      <c r="AL90" s="149"/>
      <c r="AM90" s="149"/>
      <c r="AN90" s="149"/>
      <c r="AO90" s="149"/>
      <c r="AP90" s="149"/>
      <c r="AQ90" s="149"/>
      <c r="AR90" s="149"/>
      <c r="AS90" s="149"/>
      <c r="AT90" s="149"/>
      <c r="AU90" s="149"/>
      <c r="AV90" s="149"/>
      <c r="AW90" s="149"/>
      <c r="AX90" s="149"/>
      <c r="AY90" s="149"/>
      <c r="AZ90" s="149"/>
      <c r="BA90" s="149"/>
      <c r="BB90" s="152"/>
      <c r="BC90" s="153"/>
      <c r="BD90" s="149"/>
      <c r="BE90" s="150"/>
      <c r="BF90" s="154"/>
      <c r="BG90" s="149"/>
      <c r="BH90" s="152"/>
      <c r="BI90" s="153"/>
      <c r="BJ90" s="149"/>
      <c r="BK90" s="152"/>
      <c r="BL90" s="153"/>
      <c r="BM90" s="149"/>
      <c r="BN90" s="152"/>
      <c r="BO90" s="14">
        <f t="shared" si="27"/>
        <v>0</v>
      </c>
      <c r="BP90" s="14">
        <f t="shared" si="28"/>
        <v>0</v>
      </c>
      <c r="BQ90" s="11">
        <f t="shared" si="29"/>
        <v>0</v>
      </c>
      <c r="BR90" s="11">
        <f t="shared" si="30"/>
        <v>0</v>
      </c>
      <c r="BS90" s="11"/>
      <c r="BT90" s="11"/>
      <c r="BU90" s="11"/>
    </row>
    <row r="91" ht="22.5" customHeight="1">
      <c r="B91" s="148" t="s">
        <v>137</v>
      </c>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50"/>
      <c r="AA91" s="151"/>
      <c r="AB91" s="149"/>
      <c r="AC91" s="149"/>
      <c r="AD91" s="149"/>
      <c r="AE91" s="149"/>
      <c r="AF91" s="149"/>
      <c r="AG91" s="149"/>
      <c r="AH91" s="149"/>
      <c r="AI91" s="149"/>
      <c r="AJ91" s="149"/>
      <c r="AK91" s="149"/>
      <c r="AL91" s="149"/>
      <c r="AM91" s="149"/>
      <c r="AN91" s="149"/>
      <c r="AO91" s="149"/>
      <c r="AP91" s="149"/>
      <c r="AQ91" s="149"/>
      <c r="AR91" s="149"/>
      <c r="AS91" s="149"/>
      <c r="AT91" s="149"/>
      <c r="AU91" s="149"/>
      <c r="AV91" s="149"/>
      <c r="AW91" s="149"/>
      <c r="AX91" s="149"/>
      <c r="AY91" s="149"/>
      <c r="AZ91" s="149"/>
      <c r="BA91" s="149"/>
      <c r="BB91" s="152"/>
      <c r="BC91" s="153"/>
      <c r="BD91" s="149"/>
      <c r="BE91" s="150"/>
      <c r="BF91" s="154"/>
      <c r="BG91" s="149"/>
      <c r="BH91" s="152"/>
      <c r="BI91" s="153"/>
      <c r="BJ91" s="149"/>
      <c r="BK91" s="152"/>
      <c r="BL91" s="153"/>
      <c r="BM91" s="149"/>
      <c r="BN91" s="152"/>
      <c r="BO91" s="14">
        <f t="shared" si="27"/>
        <v>0</v>
      </c>
      <c r="BP91" s="14">
        <f t="shared" si="28"/>
        <v>0</v>
      </c>
      <c r="BQ91" s="11">
        <f t="shared" si="29"/>
        <v>0</v>
      </c>
      <c r="BR91" s="11">
        <f t="shared" si="30"/>
        <v>0</v>
      </c>
      <c r="BS91" s="11"/>
      <c r="BT91" s="11"/>
      <c r="BU91" s="11"/>
    </row>
    <row r="92" ht="22.5" customHeight="1">
      <c r="B92" s="148" t="s">
        <v>138</v>
      </c>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50"/>
      <c r="AA92" s="182"/>
      <c r="AB92" s="149"/>
      <c r="AC92" s="149"/>
      <c r="AD92" s="149"/>
      <c r="AE92" s="149"/>
      <c r="AF92" s="149"/>
      <c r="AG92" s="149"/>
      <c r="AH92" s="149"/>
      <c r="AI92" s="149"/>
      <c r="AJ92" s="149"/>
      <c r="AK92" s="149"/>
      <c r="AL92" s="149"/>
      <c r="AM92" s="149"/>
      <c r="AN92" s="149"/>
      <c r="AO92" s="149"/>
      <c r="AP92" s="149"/>
      <c r="AQ92" s="149"/>
      <c r="AR92" s="149"/>
      <c r="AS92" s="149"/>
      <c r="AT92" s="149"/>
      <c r="AU92" s="149"/>
      <c r="AV92" s="149"/>
      <c r="AW92" s="149"/>
      <c r="AX92" s="149"/>
      <c r="AY92" s="149"/>
      <c r="AZ92" s="149"/>
      <c r="BA92" s="149"/>
      <c r="BB92" s="152"/>
      <c r="BC92" s="157"/>
      <c r="BD92" s="158"/>
      <c r="BE92" s="159"/>
      <c r="BF92" s="160"/>
      <c r="BG92" s="158"/>
      <c r="BH92" s="161"/>
      <c r="BI92" s="157"/>
      <c r="BJ92" s="158"/>
      <c r="BK92" s="161"/>
      <c r="BL92" s="157"/>
      <c r="BM92" s="158"/>
      <c r="BN92" s="161"/>
      <c r="BO92" s="14">
        <f t="shared" si="27"/>
        <v>0</v>
      </c>
      <c r="BP92" s="14">
        <f t="shared" si="28"/>
        <v>0</v>
      </c>
      <c r="BQ92" s="11">
        <f t="shared" si="29"/>
        <v>0</v>
      </c>
      <c r="BR92" s="11">
        <f t="shared" si="30"/>
        <v>0</v>
      </c>
      <c r="BS92" s="11"/>
      <c r="BT92" s="11"/>
      <c r="BU92" s="11"/>
    </row>
    <row r="93" ht="22.5" customHeight="1">
      <c r="B93" s="183"/>
      <c r="C93" s="184"/>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63" t="s">
        <v>82</v>
      </c>
      <c r="AB93" s="158"/>
      <c r="AC93" s="158"/>
      <c r="AD93" s="158"/>
      <c r="AE93" s="158"/>
      <c r="AF93" s="158"/>
      <c r="AG93" s="158"/>
      <c r="AH93" s="158"/>
      <c r="AI93" s="158"/>
      <c r="AJ93" s="158"/>
      <c r="AK93" s="158"/>
      <c r="AL93" s="158"/>
      <c r="AM93" s="158"/>
      <c r="AN93" s="158"/>
      <c r="AO93" s="158"/>
      <c r="AP93" s="158"/>
      <c r="AQ93" s="158"/>
      <c r="AR93" s="158"/>
      <c r="AS93" s="158"/>
      <c r="AT93" s="158"/>
      <c r="AU93" s="158"/>
      <c r="AV93" s="158"/>
      <c r="AW93" s="158"/>
      <c r="AX93" s="158"/>
      <c r="AY93" s="158"/>
      <c r="AZ93" s="158"/>
      <c r="BA93" s="158"/>
      <c r="BB93" s="161"/>
      <c r="BC93" s="164" t="str">
        <f>IF(BO93=0,"",SUM(BC83:BE92))</f>
        <v/>
      </c>
      <c r="BD93" s="136"/>
      <c r="BE93" s="139"/>
      <c r="BF93" s="185" t="str">
        <f>IF(BP93=0,"",SUM(BF83:BH92))</f>
        <v/>
      </c>
      <c r="BG93" s="136"/>
      <c r="BH93" s="139"/>
      <c r="BI93" s="185" t="str">
        <f>IF(BQ93=0,"",SUM(BI83:BK92))</f>
        <v/>
      </c>
      <c r="BJ93" s="136"/>
      <c r="BK93" s="139"/>
      <c r="BL93" s="165" t="str">
        <f>IF(BR93=0,"",SUM(BL83:BN92))</f>
        <v/>
      </c>
      <c r="BM93" s="166"/>
      <c r="BN93" s="167"/>
      <c r="BO93" s="14">
        <f t="shared" ref="BO93:BR93" si="31">SUM(BO83:BO92)</f>
        <v>0</v>
      </c>
      <c r="BP93" s="14">
        <f t="shared" si="31"/>
        <v>0</v>
      </c>
      <c r="BQ93" s="11">
        <f t="shared" si="31"/>
        <v>0</v>
      </c>
      <c r="BR93" s="11">
        <f t="shared" si="31"/>
        <v>0</v>
      </c>
      <c r="BS93" s="11"/>
      <c r="BT93" s="11"/>
      <c r="BU93" s="11"/>
    </row>
    <row r="94" ht="22.5" customHeight="1">
      <c r="B94" s="168"/>
      <c r="C94" s="169"/>
      <c r="D94" s="169"/>
      <c r="E94" s="169"/>
      <c r="F94" s="169"/>
      <c r="G94" s="169"/>
      <c r="H94" s="169"/>
      <c r="I94" s="169"/>
      <c r="J94" s="169"/>
      <c r="K94" s="169"/>
      <c r="L94" s="169"/>
      <c r="M94" s="169"/>
      <c r="N94" s="169"/>
      <c r="O94" s="169"/>
      <c r="P94" s="169"/>
      <c r="Q94" s="169"/>
      <c r="R94" s="169"/>
      <c r="S94" s="169"/>
      <c r="T94" s="169"/>
      <c r="U94" s="169"/>
      <c r="V94" s="169"/>
      <c r="W94" s="169"/>
      <c r="X94" s="169"/>
      <c r="Y94" s="169"/>
      <c r="Z94" s="169"/>
      <c r="AA94" s="170"/>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169"/>
      <c r="BA94" s="169"/>
      <c r="BB94" s="169"/>
      <c r="BC94" s="171"/>
      <c r="BD94" s="169"/>
      <c r="BE94" s="169"/>
      <c r="BF94" s="171"/>
      <c r="BG94" s="169"/>
      <c r="BH94" s="169"/>
      <c r="BI94" s="171"/>
      <c r="BJ94" s="169"/>
      <c r="BK94" s="169"/>
      <c r="BL94" s="171"/>
      <c r="BM94" s="169"/>
      <c r="BN94" s="169"/>
      <c r="BO94" s="14" t="str">
        <f>IF(ISNUMBER(BL93),BL93,IF(ISNUMBER(BI93),BI93,IF(ISNUMBER(BF93),BF93,IF(ISNUMBER(BC93),BC93,"@"))))</f>
        <v>@</v>
      </c>
      <c r="BP94" s="14"/>
      <c r="BQ94" s="11"/>
      <c r="BR94" s="11"/>
      <c r="BS94" s="11"/>
      <c r="BT94" s="11"/>
      <c r="BU94" s="11"/>
    </row>
    <row r="95" ht="22.5" customHeight="1">
      <c r="B95" s="135" t="s">
        <v>139</v>
      </c>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7"/>
      <c r="AA95" s="172" t="s">
        <v>66</v>
      </c>
      <c r="AB95" s="136"/>
      <c r="AC95" s="136"/>
      <c r="AD95" s="136"/>
      <c r="AE95" s="136"/>
      <c r="AF95" s="136"/>
      <c r="AG95" s="136"/>
      <c r="AH95" s="136"/>
      <c r="AI95" s="136"/>
      <c r="AJ95" s="136"/>
      <c r="AK95" s="136"/>
      <c r="AL95" s="136"/>
      <c r="AM95" s="136"/>
      <c r="AN95" s="136"/>
      <c r="AO95" s="136"/>
      <c r="AP95" s="136"/>
      <c r="AQ95" s="136"/>
      <c r="AR95" s="136"/>
      <c r="AS95" s="136"/>
      <c r="AT95" s="136"/>
      <c r="AU95" s="136"/>
      <c r="AV95" s="136"/>
      <c r="AW95" s="136"/>
      <c r="AX95" s="136"/>
      <c r="AY95" s="136"/>
      <c r="AZ95" s="136"/>
      <c r="BA95" s="136"/>
      <c r="BB95" s="139"/>
      <c r="BC95" s="173" t="s">
        <v>67</v>
      </c>
      <c r="BD95" s="136"/>
      <c r="BE95" s="137"/>
      <c r="BF95" s="140" t="s">
        <v>68</v>
      </c>
      <c r="BG95" s="136"/>
      <c r="BH95" s="139"/>
      <c r="BI95" s="173" t="s">
        <v>69</v>
      </c>
      <c r="BJ95" s="136"/>
      <c r="BK95" s="139"/>
      <c r="BL95" s="173" t="s">
        <v>70</v>
      </c>
      <c r="BM95" s="136"/>
      <c r="BN95" s="139"/>
      <c r="BO95" s="14"/>
      <c r="BP95" s="14"/>
      <c r="BQ95" s="11"/>
      <c r="BR95" s="11"/>
      <c r="BS95" s="11"/>
      <c r="BT95" s="11"/>
      <c r="BU95" s="11"/>
    </row>
    <row r="96" ht="22.5" customHeight="1">
      <c r="B96" s="174" t="s">
        <v>140</v>
      </c>
      <c r="C96" s="175"/>
      <c r="D96" s="175"/>
      <c r="E96" s="175"/>
      <c r="F96" s="175"/>
      <c r="G96" s="175"/>
      <c r="H96" s="175"/>
      <c r="I96" s="175"/>
      <c r="J96" s="175"/>
      <c r="K96" s="175"/>
      <c r="L96" s="175"/>
      <c r="M96" s="175"/>
      <c r="N96" s="175"/>
      <c r="O96" s="175"/>
      <c r="P96" s="175"/>
      <c r="Q96" s="175"/>
      <c r="R96" s="175"/>
      <c r="S96" s="175"/>
      <c r="T96" s="175"/>
      <c r="U96" s="175"/>
      <c r="V96" s="175"/>
      <c r="W96" s="175"/>
      <c r="X96" s="175"/>
      <c r="Y96" s="175"/>
      <c r="Z96" s="176"/>
      <c r="AA96" s="177"/>
      <c r="AB96" s="175"/>
      <c r="AC96" s="175"/>
      <c r="AD96" s="175"/>
      <c r="AE96" s="175"/>
      <c r="AF96" s="175"/>
      <c r="AG96" s="175"/>
      <c r="AH96" s="175"/>
      <c r="AI96" s="175"/>
      <c r="AJ96" s="175"/>
      <c r="AK96" s="175"/>
      <c r="AL96" s="175"/>
      <c r="AM96" s="175"/>
      <c r="AN96" s="175"/>
      <c r="AO96" s="175"/>
      <c r="AP96" s="175"/>
      <c r="AQ96" s="175"/>
      <c r="AR96" s="175"/>
      <c r="AS96" s="175"/>
      <c r="AT96" s="175"/>
      <c r="AU96" s="175"/>
      <c r="AV96" s="175"/>
      <c r="AW96" s="175"/>
      <c r="AX96" s="175"/>
      <c r="AY96" s="175"/>
      <c r="AZ96" s="175"/>
      <c r="BA96" s="175"/>
      <c r="BB96" s="178"/>
      <c r="BC96" s="179"/>
      <c r="BD96" s="175"/>
      <c r="BE96" s="176"/>
      <c r="BF96" s="180"/>
      <c r="BG96" s="175"/>
      <c r="BH96" s="178"/>
      <c r="BI96" s="179"/>
      <c r="BJ96" s="175"/>
      <c r="BK96" s="178"/>
      <c r="BL96" s="179"/>
      <c r="BM96" s="175"/>
      <c r="BN96" s="178"/>
      <c r="BO96" s="14">
        <f t="shared" ref="BO96:BO105" si="32">IF(OR(BC96=" ",ISBLANK(BC96)),0,1)</f>
        <v>0</v>
      </c>
      <c r="BP96" s="14">
        <f t="shared" ref="BP96:BP105" si="33">IF(OR(BF96=" ",ISBLANK(BF96)),0,1)</f>
        <v>0</v>
      </c>
      <c r="BQ96" s="11">
        <f t="shared" ref="BQ96:BQ105" si="34">IF(OR(BI96=" ",ISBLANK(BI96)),0,1)</f>
        <v>0</v>
      </c>
      <c r="BR96" s="11">
        <f t="shared" ref="BR96:BR105" si="35">IF(OR(BL96=" ",ISBLANK(BL96)),0,1)</f>
        <v>0</v>
      </c>
      <c r="BS96" s="11"/>
      <c r="BT96" s="11"/>
      <c r="BU96" s="11"/>
    </row>
    <row r="97" ht="22.5" customHeight="1">
      <c r="B97" s="148" t="s">
        <v>141</v>
      </c>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50"/>
      <c r="AA97" s="151"/>
      <c r="AB97" s="149"/>
      <c r="AC97" s="149"/>
      <c r="AD97" s="149"/>
      <c r="AE97" s="149"/>
      <c r="AF97" s="149"/>
      <c r="AG97" s="149"/>
      <c r="AH97" s="149"/>
      <c r="AI97" s="149"/>
      <c r="AJ97" s="149"/>
      <c r="AK97" s="149"/>
      <c r="AL97" s="149"/>
      <c r="AM97" s="149"/>
      <c r="AN97" s="149"/>
      <c r="AO97" s="149"/>
      <c r="AP97" s="149"/>
      <c r="AQ97" s="149"/>
      <c r="AR97" s="149"/>
      <c r="AS97" s="149"/>
      <c r="AT97" s="149"/>
      <c r="AU97" s="149"/>
      <c r="AV97" s="149"/>
      <c r="AW97" s="149"/>
      <c r="AX97" s="149"/>
      <c r="AY97" s="149"/>
      <c r="AZ97" s="149"/>
      <c r="BA97" s="149"/>
      <c r="BB97" s="152"/>
      <c r="BC97" s="153"/>
      <c r="BD97" s="149"/>
      <c r="BE97" s="150"/>
      <c r="BF97" s="154"/>
      <c r="BG97" s="149"/>
      <c r="BH97" s="152"/>
      <c r="BI97" s="153"/>
      <c r="BJ97" s="149"/>
      <c r="BK97" s="152"/>
      <c r="BL97" s="153"/>
      <c r="BM97" s="149"/>
      <c r="BN97" s="152"/>
      <c r="BO97" s="14">
        <f t="shared" si="32"/>
        <v>0</v>
      </c>
      <c r="BP97" s="14">
        <f t="shared" si="33"/>
        <v>0</v>
      </c>
      <c r="BQ97" s="11">
        <f t="shared" si="34"/>
        <v>0</v>
      </c>
      <c r="BR97" s="11">
        <f t="shared" si="35"/>
        <v>0</v>
      </c>
      <c r="BS97" s="11"/>
      <c r="BT97" s="11"/>
      <c r="BU97" s="11"/>
    </row>
    <row r="98" ht="22.5" customHeight="1">
      <c r="B98" s="148" t="s">
        <v>142</v>
      </c>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50"/>
      <c r="AA98" s="151"/>
      <c r="AB98" s="149"/>
      <c r="AC98" s="149"/>
      <c r="AD98" s="149"/>
      <c r="AE98" s="149"/>
      <c r="AF98" s="149"/>
      <c r="AG98" s="149"/>
      <c r="AH98" s="149"/>
      <c r="AI98" s="149"/>
      <c r="AJ98" s="149"/>
      <c r="AK98" s="149"/>
      <c r="AL98" s="149"/>
      <c r="AM98" s="149"/>
      <c r="AN98" s="149"/>
      <c r="AO98" s="149"/>
      <c r="AP98" s="149"/>
      <c r="AQ98" s="149"/>
      <c r="AR98" s="149"/>
      <c r="AS98" s="149"/>
      <c r="AT98" s="149"/>
      <c r="AU98" s="149"/>
      <c r="AV98" s="149"/>
      <c r="AW98" s="149"/>
      <c r="AX98" s="149"/>
      <c r="AY98" s="149"/>
      <c r="AZ98" s="149"/>
      <c r="BA98" s="149"/>
      <c r="BB98" s="152"/>
      <c r="BC98" s="153"/>
      <c r="BD98" s="149"/>
      <c r="BE98" s="150"/>
      <c r="BF98" s="154"/>
      <c r="BG98" s="149"/>
      <c r="BH98" s="152"/>
      <c r="BI98" s="153"/>
      <c r="BJ98" s="149"/>
      <c r="BK98" s="152"/>
      <c r="BL98" s="153"/>
      <c r="BM98" s="149"/>
      <c r="BN98" s="152"/>
      <c r="BO98" s="14">
        <f t="shared" si="32"/>
        <v>0</v>
      </c>
      <c r="BP98" s="14">
        <f t="shared" si="33"/>
        <v>0</v>
      </c>
      <c r="BQ98" s="11">
        <f t="shared" si="34"/>
        <v>0</v>
      </c>
      <c r="BR98" s="11">
        <f t="shared" si="35"/>
        <v>0</v>
      </c>
      <c r="BS98" s="11"/>
      <c r="BT98" s="11"/>
      <c r="BU98" s="11"/>
    </row>
    <row r="99" ht="22.5" customHeight="1">
      <c r="B99" s="148" t="s">
        <v>143</v>
      </c>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50"/>
      <c r="AA99" s="151"/>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52"/>
      <c r="BC99" s="153"/>
      <c r="BD99" s="149"/>
      <c r="BE99" s="150"/>
      <c r="BF99" s="154"/>
      <c r="BG99" s="149"/>
      <c r="BH99" s="152"/>
      <c r="BI99" s="153"/>
      <c r="BJ99" s="149"/>
      <c r="BK99" s="152"/>
      <c r="BL99" s="153"/>
      <c r="BM99" s="149"/>
      <c r="BN99" s="152"/>
      <c r="BO99" s="14">
        <f t="shared" si="32"/>
        <v>0</v>
      </c>
      <c r="BP99" s="14">
        <f t="shared" si="33"/>
        <v>0</v>
      </c>
      <c r="BQ99" s="11">
        <f t="shared" si="34"/>
        <v>0</v>
      </c>
      <c r="BR99" s="11">
        <f t="shared" si="35"/>
        <v>0</v>
      </c>
      <c r="BS99" s="11"/>
      <c r="BT99" s="11"/>
      <c r="BU99" s="11"/>
    </row>
    <row r="100" ht="22.5" customHeight="1">
      <c r="B100" s="148" t="s">
        <v>144</v>
      </c>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50"/>
      <c r="AA100" s="151"/>
      <c r="AB100" s="149"/>
      <c r="AC100" s="149"/>
      <c r="AD100" s="149"/>
      <c r="AE100" s="149"/>
      <c r="AF100" s="149"/>
      <c r="AG100" s="149"/>
      <c r="AH100" s="149"/>
      <c r="AI100" s="149"/>
      <c r="AJ100" s="149"/>
      <c r="AK100" s="149"/>
      <c r="AL100" s="149"/>
      <c r="AM100" s="149"/>
      <c r="AN100" s="149"/>
      <c r="AO100" s="149"/>
      <c r="AP100" s="149"/>
      <c r="AQ100" s="149"/>
      <c r="AR100" s="149"/>
      <c r="AS100" s="149"/>
      <c r="AT100" s="149"/>
      <c r="AU100" s="149"/>
      <c r="AV100" s="149"/>
      <c r="AW100" s="149"/>
      <c r="AX100" s="149"/>
      <c r="AY100" s="149"/>
      <c r="AZ100" s="149"/>
      <c r="BA100" s="149"/>
      <c r="BB100" s="152"/>
      <c r="BC100" s="153"/>
      <c r="BD100" s="149"/>
      <c r="BE100" s="150"/>
      <c r="BF100" s="154"/>
      <c r="BG100" s="149"/>
      <c r="BH100" s="152"/>
      <c r="BI100" s="153"/>
      <c r="BJ100" s="149"/>
      <c r="BK100" s="152"/>
      <c r="BL100" s="153"/>
      <c r="BM100" s="149"/>
      <c r="BN100" s="152"/>
      <c r="BO100" s="14">
        <f t="shared" si="32"/>
        <v>0</v>
      </c>
      <c r="BP100" s="14">
        <f t="shared" si="33"/>
        <v>0</v>
      </c>
      <c r="BQ100" s="11">
        <f t="shared" si="34"/>
        <v>0</v>
      </c>
      <c r="BR100" s="11">
        <f t="shared" si="35"/>
        <v>0</v>
      </c>
      <c r="BS100" s="11"/>
      <c r="BT100" s="11"/>
      <c r="BU100" s="11"/>
    </row>
    <row r="101" ht="22.5" customHeight="1">
      <c r="B101" s="148" t="s">
        <v>145</v>
      </c>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50"/>
      <c r="AA101" s="151"/>
      <c r="AB101" s="149"/>
      <c r="AC101" s="149"/>
      <c r="AD101" s="149"/>
      <c r="AE101" s="149"/>
      <c r="AF101" s="149"/>
      <c r="AG101" s="149"/>
      <c r="AH101" s="149"/>
      <c r="AI101" s="149"/>
      <c r="AJ101" s="149"/>
      <c r="AK101" s="149"/>
      <c r="AL101" s="149"/>
      <c r="AM101" s="149"/>
      <c r="AN101" s="149"/>
      <c r="AO101" s="149"/>
      <c r="AP101" s="149"/>
      <c r="AQ101" s="149"/>
      <c r="AR101" s="149"/>
      <c r="AS101" s="149"/>
      <c r="AT101" s="149"/>
      <c r="AU101" s="149"/>
      <c r="AV101" s="149"/>
      <c r="AW101" s="149"/>
      <c r="AX101" s="149"/>
      <c r="AY101" s="149"/>
      <c r="AZ101" s="149"/>
      <c r="BA101" s="149"/>
      <c r="BB101" s="152"/>
      <c r="BC101" s="153"/>
      <c r="BD101" s="149"/>
      <c r="BE101" s="150"/>
      <c r="BF101" s="154"/>
      <c r="BG101" s="149"/>
      <c r="BH101" s="152"/>
      <c r="BI101" s="153"/>
      <c r="BJ101" s="149"/>
      <c r="BK101" s="152"/>
      <c r="BL101" s="153"/>
      <c r="BM101" s="149"/>
      <c r="BN101" s="152"/>
      <c r="BO101" s="14">
        <f t="shared" si="32"/>
        <v>0</v>
      </c>
      <c r="BP101" s="14">
        <f t="shared" si="33"/>
        <v>0</v>
      </c>
      <c r="BQ101" s="11">
        <f t="shared" si="34"/>
        <v>0</v>
      </c>
      <c r="BR101" s="11">
        <f t="shared" si="35"/>
        <v>0</v>
      </c>
      <c r="BS101" s="11"/>
      <c r="BT101" s="11"/>
      <c r="BU101" s="11"/>
    </row>
    <row r="102" ht="22.5" customHeight="1">
      <c r="B102" s="148" t="s">
        <v>146</v>
      </c>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50"/>
      <c r="AA102" s="151"/>
      <c r="AB102" s="149"/>
      <c r="AC102" s="149"/>
      <c r="AD102" s="149"/>
      <c r="AE102" s="149"/>
      <c r="AF102" s="149"/>
      <c r="AG102" s="149"/>
      <c r="AH102" s="149"/>
      <c r="AI102" s="149"/>
      <c r="AJ102" s="149"/>
      <c r="AK102" s="149"/>
      <c r="AL102" s="149"/>
      <c r="AM102" s="149"/>
      <c r="AN102" s="149"/>
      <c r="AO102" s="149"/>
      <c r="AP102" s="149"/>
      <c r="AQ102" s="149"/>
      <c r="AR102" s="149"/>
      <c r="AS102" s="149"/>
      <c r="AT102" s="149"/>
      <c r="AU102" s="149"/>
      <c r="AV102" s="149"/>
      <c r="AW102" s="149"/>
      <c r="AX102" s="149"/>
      <c r="AY102" s="149"/>
      <c r="AZ102" s="149"/>
      <c r="BA102" s="149"/>
      <c r="BB102" s="152"/>
      <c r="BC102" s="153"/>
      <c r="BD102" s="149"/>
      <c r="BE102" s="150"/>
      <c r="BF102" s="154"/>
      <c r="BG102" s="149"/>
      <c r="BH102" s="152"/>
      <c r="BI102" s="153"/>
      <c r="BJ102" s="149"/>
      <c r="BK102" s="152"/>
      <c r="BL102" s="153"/>
      <c r="BM102" s="149"/>
      <c r="BN102" s="152"/>
      <c r="BO102" s="14">
        <f t="shared" si="32"/>
        <v>0</v>
      </c>
      <c r="BP102" s="14">
        <f t="shared" si="33"/>
        <v>0</v>
      </c>
      <c r="BQ102" s="11">
        <f t="shared" si="34"/>
        <v>0</v>
      </c>
      <c r="BR102" s="11">
        <f t="shared" si="35"/>
        <v>0</v>
      </c>
      <c r="BS102" s="11"/>
      <c r="BT102" s="11"/>
      <c r="BU102" s="11"/>
    </row>
    <row r="103" ht="22.5" customHeight="1">
      <c r="B103" s="148" t="s">
        <v>147</v>
      </c>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50"/>
      <c r="AA103" s="151"/>
      <c r="AB103" s="149"/>
      <c r="AC103" s="149"/>
      <c r="AD103" s="149"/>
      <c r="AE103" s="149"/>
      <c r="AF103" s="149"/>
      <c r="AG103" s="149"/>
      <c r="AH103" s="149"/>
      <c r="AI103" s="149"/>
      <c r="AJ103" s="149"/>
      <c r="AK103" s="149"/>
      <c r="AL103" s="149"/>
      <c r="AM103" s="149"/>
      <c r="AN103" s="149"/>
      <c r="AO103" s="149"/>
      <c r="AP103" s="149"/>
      <c r="AQ103" s="149"/>
      <c r="AR103" s="149"/>
      <c r="AS103" s="149"/>
      <c r="AT103" s="149"/>
      <c r="AU103" s="149"/>
      <c r="AV103" s="149"/>
      <c r="AW103" s="149"/>
      <c r="AX103" s="149"/>
      <c r="AY103" s="149"/>
      <c r="AZ103" s="149"/>
      <c r="BA103" s="149"/>
      <c r="BB103" s="152"/>
      <c r="BC103" s="153"/>
      <c r="BD103" s="149"/>
      <c r="BE103" s="150"/>
      <c r="BF103" s="154"/>
      <c r="BG103" s="149"/>
      <c r="BH103" s="152"/>
      <c r="BI103" s="153"/>
      <c r="BJ103" s="149"/>
      <c r="BK103" s="152"/>
      <c r="BL103" s="153"/>
      <c r="BM103" s="149"/>
      <c r="BN103" s="152"/>
      <c r="BO103" s="14">
        <f t="shared" si="32"/>
        <v>0</v>
      </c>
      <c r="BP103" s="14">
        <f t="shared" si="33"/>
        <v>0</v>
      </c>
      <c r="BQ103" s="11">
        <f t="shared" si="34"/>
        <v>0</v>
      </c>
      <c r="BR103" s="11">
        <f t="shared" si="35"/>
        <v>0</v>
      </c>
      <c r="BS103" s="11"/>
      <c r="BT103" s="11"/>
      <c r="BU103" s="11"/>
    </row>
    <row r="104" ht="22.5" customHeight="1">
      <c r="B104" s="148" t="s">
        <v>148</v>
      </c>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50"/>
      <c r="AA104" s="151"/>
      <c r="AB104" s="149"/>
      <c r="AC104" s="149"/>
      <c r="AD104" s="149"/>
      <c r="AE104" s="149"/>
      <c r="AF104" s="149"/>
      <c r="AG104" s="149"/>
      <c r="AH104" s="149"/>
      <c r="AI104" s="149"/>
      <c r="AJ104" s="149"/>
      <c r="AK104" s="149"/>
      <c r="AL104" s="149"/>
      <c r="AM104" s="149"/>
      <c r="AN104" s="149"/>
      <c r="AO104" s="149"/>
      <c r="AP104" s="149"/>
      <c r="AQ104" s="149"/>
      <c r="AR104" s="149"/>
      <c r="AS104" s="149"/>
      <c r="AT104" s="149"/>
      <c r="AU104" s="149"/>
      <c r="AV104" s="149"/>
      <c r="AW104" s="149"/>
      <c r="AX104" s="149"/>
      <c r="AY104" s="149"/>
      <c r="AZ104" s="149"/>
      <c r="BA104" s="149"/>
      <c r="BB104" s="152"/>
      <c r="BC104" s="153"/>
      <c r="BD104" s="149"/>
      <c r="BE104" s="150"/>
      <c r="BF104" s="154"/>
      <c r="BG104" s="149"/>
      <c r="BH104" s="152"/>
      <c r="BI104" s="153"/>
      <c r="BJ104" s="149"/>
      <c r="BK104" s="152"/>
      <c r="BL104" s="153"/>
      <c r="BM104" s="149"/>
      <c r="BN104" s="152"/>
      <c r="BO104" s="14">
        <f t="shared" si="32"/>
        <v>0</v>
      </c>
      <c r="BP104" s="14">
        <f t="shared" si="33"/>
        <v>0</v>
      </c>
      <c r="BQ104" s="11">
        <f t="shared" si="34"/>
        <v>0</v>
      </c>
      <c r="BR104" s="11">
        <f t="shared" si="35"/>
        <v>0</v>
      </c>
      <c r="BS104" s="11"/>
      <c r="BT104" s="11"/>
      <c r="BU104" s="11"/>
    </row>
    <row r="105" ht="22.5" customHeight="1">
      <c r="B105" s="148" t="s">
        <v>149</v>
      </c>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50"/>
      <c r="AA105" s="151"/>
      <c r="AB105" s="149"/>
      <c r="AC105" s="149"/>
      <c r="AD105" s="149"/>
      <c r="AE105" s="149"/>
      <c r="AF105" s="149"/>
      <c r="AG105" s="149"/>
      <c r="AH105" s="149"/>
      <c r="AI105" s="149"/>
      <c r="AJ105" s="149"/>
      <c r="AK105" s="149"/>
      <c r="AL105" s="149"/>
      <c r="AM105" s="149"/>
      <c r="AN105" s="149"/>
      <c r="AO105" s="149"/>
      <c r="AP105" s="149"/>
      <c r="AQ105" s="149"/>
      <c r="AR105" s="149"/>
      <c r="AS105" s="149"/>
      <c r="AT105" s="149"/>
      <c r="AU105" s="149"/>
      <c r="AV105" s="149"/>
      <c r="AW105" s="149"/>
      <c r="AX105" s="149"/>
      <c r="AY105" s="149"/>
      <c r="AZ105" s="149"/>
      <c r="BA105" s="149"/>
      <c r="BB105" s="152"/>
      <c r="BC105" s="157"/>
      <c r="BD105" s="158"/>
      <c r="BE105" s="159"/>
      <c r="BF105" s="160"/>
      <c r="BG105" s="158"/>
      <c r="BH105" s="161"/>
      <c r="BI105" s="157"/>
      <c r="BJ105" s="158"/>
      <c r="BK105" s="161"/>
      <c r="BL105" s="157"/>
      <c r="BM105" s="158"/>
      <c r="BN105" s="161"/>
      <c r="BO105" s="14">
        <f t="shared" si="32"/>
        <v>0</v>
      </c>
      <c r="BP105" s="14">
        <f t="shared" si="33"/>
        <v>0</v>
      </c>
      <c r="BQ105" s="11">
        <f t="shared" si="34"/>
        <v>0</v>
      </c>
      <c r="BR105" s="11">
        <f t="shared" si="35"/>
        <v>0</v>
      </c>
      <c r="BS105" s="11"/>
      <c r="BT105" s="11"/>
      <c r="BU105" s="11"/>
    </row>
    <row r="106" ht="22.5" customHeight="1">
      <c r="B106" s="183"/>
      <c r="C106" s="184"/>
      <c r="D106" s="184"/>
      <c r="E106" s="184"/>
      <c r="F106" s="184"/>
      <c r="G106" s="184"/>
      <c r="H106" s="184"/>
      <c r="I106" s="184"/>
      <c r="J106" s="184"/>
      <c r="K106" s="184"/>
      <c r="L106" s="184"/>
      <c r="M106" s="184"/>
      <c r="N106" s="184"/>
      <c r="O106" s="184"/>
      <c r="P106" s="184"/>
      <c r="Q106" s="184"/>
      <c r="R106" s="184"/>
      <c r="S106" s="184"/>
      <c r="T106" s="184"/>
      <c r="U106" s="184"/>
      <c r="V106" s="184"/>
      <c r="W106" s="184"/>
      <c r="X106" s="184"/>
      <c r="Y106" s="184"/>
      <c r="Z106" s="184"/>
      <c r="AA106" s="163" t="s">
        <v>82</v>
      </c>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c r="AX106" s="158"/>
      <c r="AY106" s="158"/>
      <c r="AZ106" s="158"/>
      <c r="BA106" s="158"/>
      <c r="BB106" s="161"/>
      <c r="BC106" s="165" t="str">
        <f>IF(BO106=0,"",SUM(BC96:BE105))</f>
        <v/>
      </c>
      <c r="BD106" s="166"/>
      <c r="BE106" s="186"/>
      <c r="BF106" s="164" t="str">
        <f>IF(BP106=0,"",SUM(BF96:BH105))</f>
        <v/>
      </c>
      <c r="BG106" s="136"/>
      <c r="BH106" s="139"/>
      <c r="BI106" s="185" t="str">
        <f>IF(BQ106=0,"",SUM(BI96:BK105))</f>
        <v/>
      </c>
      <c r="BJ106" s="136"/>
      <c r="BK106" s="139"/>
      <c r="BL106" s="185" t="str">
        <f>IF(BR106=0,"",SUM(BL96:BN105))</f>
        <v/>
      </c>
      <c r="BM106" s="136"/>
      <c r="BN106" s="139"/>
      <c r="BO106" s="14">
        <f t="shared" ref="BO106:BR106" si="36">SUM(BO96:BO105)</f>
        <v>0</v>
      </c>
      <c r="BP106" s="14">
        <f t="shared" si="36"/>
        <v>0</v>
      </c>
      <c r="BQ106" s="11">
        <f t="shared" si="36"/>
        <v>0</v>
      </c>
      <c r="BR106" s="11">
        <f t="shared" si="36"/>
        <v>0</v>
      </c>
      <c r="BS106" s="11"/>
      <c r="BT106" s="11"/>
      <c r="BU106" s="11"/>
    </row>
    <row r="107" ht="22.5" customHeight="1">
      <c r="B107" s="187"/>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88"/>
      <c r="AB107" s="136"/>
      <c r="AC107" s="136"/>
      <c r="AD107" s="136"/>
      <c r="AE107" s="136"/>
      <c r="AF107" s="136"/>
      <c r="AG107" s="136"/>
      <c r="AH107" s="136"/>
      <c r="AI107" s="136"/>
      <c r="AJ107" s="136"/>
      <c r="AK107" s="136"/>
      <c r="AL107" s="136"/>
      <c r="AM107" s="136"/>
      <c r="AN107" s="136"/>
      <c r="AO107" s="136"/>
      <c r="AP107" s="136"/>
      <c r="AQ107" s="136"/>
      <c r="AR107" s="136"/>
      <c r="AS107" s="136"/>
      <c r="AT107" s="136"/>
      <c r="AU107" s="136"/>
      <c r="AV107" s="136"/>
      <c r="AW107" s="136"/>
      <c r="AX107" s="136"/>
      <c r="AY107" s="136"/>
      <c r="AZ107" s="136"/>
      <c r="BA107" s="136"/>
      <c r="BB107" s="136"/>
      <c r="BC107" s="189"/>
      <c r="BD107" s="136"/>
      <c r="BE107" s="136"/>
      <c r="BF107" s="189"/>
      <c r="BG107" s="136"/>
      <c r="BH107" s="136"/>
      <c r="BI107" s="189"/>
      <c r="BJ107" s="136"/>
      <c r="BK107" s="136"/>
      <c r="BL107" s="189"/>
      <c r="BM107" s="136"/>
      <c r="BN107" s="136"/>
      <c r="BO107" s="14" t="str">
        <f>IF(ISNUMBER(BL106),BL106,IF(ISNUMBER(BI106),BI106,IF(ISNUMBER(BF106),BF106,IF(ISNUMBER(BC106),BC106,"@"))))</f>
        <v>@</v>
      </c>
      <c r="BP107" s="14"/>
      <c r="BQ107" s="11"/>
      <c r="BR107" s="11"/>
      <c r="BS107" s="11"/>
      <c r="BT107" s="11"/>
      <c r="BU107" s="11"/>
    </row>
    <row r="108" ht="22.5" customHeight="1">
      <c r="B108" s="190" t="s">
        <v>150</v>
      </c>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86"/>
      <c r="AA108" s="191" t="s">
        <v>66</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7"/>
      <c r="BC108" s="192" t="s">
        <v>67</v>
      </c>
      <c r="BD108" s="166"/>
      <c r="BE108" s="186"/>
      <c r="BF108" s="140" t="s">
        <v>68</v>
      </c>
      <c r="BG108" s="136"/>
      <c r="BH108" s="139"/>
      <c r="BI108" s="173" t="s">
        <v>69</v>
      </c>
      <c r="BJ108" s="136"/>
      <c r="BK108" s="139"/>
      <c r="BL108" s="192" t="s">
        <v>70</v>
      </c>
      <c r="BM108" s="166"/>
      <c r="BN108" s="167"/>
      <c r="BO108" s="14"/>
      <c r="BP108" s="14"/>
      <c r="BQ108" s="11"/>
      <c r="BR108" s="11"/>
      <c r="BS108" s="11"/>
      <c r="BT108" s="11"/>
      <c r="BU108" s="11"/>
    </row>
    <row r="109" ht="22.5" customHeight="1">
      <c r="B109" s="174" t="s">
        <v>151</v>
      </c>
      <c r="C109" s="175"/>
      <c r="D109" s="175"/>
      <c r="E109" s="175"/>
      <c r="F109" s="175"/>
      <c r="G109" s="175"/>
      <c r="H109" s="175"/>
      <c r="I109" s="175"/>
      <c r="J109" s="175"/>
      <c r="K109" s="175"/>
      <c r="L109" s="175"/>
      <c r="M109" s="175"/>
      <c r="N109" s="175"/>
      <c r="O109" s="175"/>
      <c r="P109" s="175"/>
      <c r="Q109" s="175"/>
      <c r="R109" s="175"/>
      <c r="S109" s="175"/>
      <c r="T109" s="175"/>
      <c r="U109" s="175"/>
      <c r="V109" s="175"/>
      <c r="W109" s="175"/>
      <c r="X109" s="175"/>
      <c r="Y109" s="175"/>
      <c r="Z109" s="176"/>
      <c r="AA109" s="177"/>
      <c r="AB109" s="175"/>
      <c r="AC109" s="175"/>
      <c r="AD109" s="175"/>
      <c r="AE109" s="175"/>
      <c r="AF109" s="175"/>
      <c r="AG109" s="175"/>
      <c r="AH109" s="175"/>
      <c r="AI109" s="175"/>
      <c r="AJ109" s="175"/>
      <c r="AK109" s="175"/>
      <c r="AL109" s="175"/>
      <c r="AM109" s="175"/>
      <c r="AN109" s="175"/>
      <c r="AO109" s="175"/>
      <c r="AP109" s="175"/>
      <c r="AQ109" s="175"/>
      <c r="AR109" s="175"/>
      <c r="AS109" s="175"/>
      <c r="AT109" s="175"/>
      <c r="AU109" s="175"/>
      <c r="AV109" s="175"/>
      <c r="AW109" s="175"/>
      <c r="AX109" s="175"/>
      <c r="AY109" s="175"/>
      <c r="AZ109" s="175"/>
      <c r="BA109" s="175"/>
      <c r="BB109" s="178"/>
      <c r="BC109" s="179"/>
      <c r="BD109" s="175"/>
      <c r="BE109" s="176"/>
      <c r="BF109" s="180"/>
      <c r="BG109" s="175"/>
      <c r="BH109" s="178"/>
      <c r="BI109" s="179"/>
      <c r="BJ109" s="175"/>
      <c r="BK109" s="178"/>
      <c r="BL109" s="179"/>
      <c r="BM109" s="175"/>
      <c r="BN109" s="178"/>
      <c r="BO109" s="14">
        <f t="shared" ref="BO109:BO118" si="37">IF(OR(BC109=" ",ISBLANK(BC109)),0,1)</f>
        <v>0</v>
      </c>
      <c r="BP109" s="14">
        <f t="shared" ref="BP109:BP118" si="38">IF(OR(BF109=" ",ISBLANK(BF109)),0,1)</f>
        <v>0</v>
      </c>
      <c r="BQ109" s="11">
        <f t="shared" ref="BQ109:BQ118" si="39">IF(OR(BI109=" ",ISBLANK(BI109)),0,1)</f>
        <v>0</v>
      </c>
      <c r="BR109" s="11">
        <f t="shared" ref="BR109:BR118" si="40">IF(OR(BL109=" ",ISBLANK(BL109)),0,1)</f>
        <v>0</v>
      </c>
      <c r="BS109" s="11"/>
      <c r="BT109" s="11"/>
      <c r="BU109" s="11"/>
    </row>
    <row r="110" ht="22.5" customHeight="1">
      <c r="B110" s="148" t="s">
        <v>152</v>
      </c>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50"/>
      <c r="AA110" s="151"/>
      <c r="AB110" s="149"/>
      <c r="AC110" s="149"/>
      <c r="AD110" s="149"/>
      <c r="AE110" s="149"/>
      <c r="AF110" s="149"/>
      <c r="AG110" s="149"/>
      <c r="AH110" s="149"/>
      <c r="AI110" s="149"/>
      <c r="AJ110" s="149"/>
      <c r="AK110" s="149"/>
      <c r="AL110" s="149"/>
      <c r="AM110" s="149"/>
      <c r="AN110" s="149"/>
      <c r="AO110" s="149"/>
      <c r="AP110" s="149"/>
      <c r="AQ110" s="149"/>
      <c r="AR110" s="149"/>
      <c r="AS110" s="149"/>
      <c r="AT110" s="149"/>
      <c r="AU110" s="149"/>
      <c r="AV110" s="149"/>
      <c r="AW110" s="149"/>
      <c r="AX110" s="149"/>
      <c r="AY110" s="149"/>
      <c r="AZ110" s="149"/>
      <c r="BA110" s="149"/>
      <c r="BB110" s="152"/>
      <c r="BC110" s="153"/>
      <c r="BD110" s="149"/>
      <c r="BE110" s="150"/>
      <c r="BF110" s="154"/>
      <c r="BG110" s="149"/>
      <c r="BH110" s="152"/>
      <c r="BI110" s="153"/>
      <c r="BJ110" s="149"/>
      <c r="BK110" s="152"/>
      <c r="BL110" s="153"/>
      <c r="BM110" s="149"/>
      <c r="BN110" s="152"/>
      <c r="BO110" s="14">
        <f t="shared" si="37"/>
        <v>0</v>
      </c>
      <c r="BP110" s="14">
        <f t="shared" si="38"/>
        <v>0</v>
      </c>
      <c r="BQ110" s="11">
        <f t="shared" si="39"/>
        <v>0</v>
      </c>
      <c r="BR110" s="11">
        <f t="shared" si="40"/>
        <v>0</v>
      </c>
      <c r="BS110" s="11"/>
      <c r="BT110" s="11"/>
      <c r="BU110" s="11"/>
    </row>
    <row r="111" ht="22.5" customHeight="1">
      <c r="B111" s="148" t="s">
        <v>153</v>
      </c>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50"/>
      <c r="AA111" s="151"/>
      <c r="AB111" s="149"/>
      <c r="AC111" s="149"/>
      <c r="AD111" s="149"/>
      <c r="AE111" s="149"/>
      <c r="AF111" s="149"/>
      <c r="AG111" s="149"/>
      <c r="AH111" s="149"/>
      <c r="AI111" s="149"/>
      <c r="AJ111" s="149"/>
      <c r="AK111" s="149"/>
      <c r="AL111" s="149"/>
      <c r="AM111" s="149"/>
      <c r="AN111" s="149"/>
      <c r="AO111" s="149"/>
      <c r="AP111" s="149"/>
      <c r="AQ111" s="149"/>
      <c r="AR111" s="149"/>
      <c r="AS111" s="149"/>
      <c r="AT111" s="149"/>
      <c r="AU111" s="149"/>
      <c r="AV111" s="149"/>
      <c r="AW111" s="149"/>
      <c r="AX111" s="149"/>
      <c r="AY111" s="149"/>
      <c r="AZ111" s="149"/>
      <c r="BA111" s="149"/>
      <c r="BB111" s="152"/>
      <c r="BC111" s="153"/>
      <c r="BD111" s="149"/>
      <c r="BE111" s="150"/>
      <c r="BF111" s="154"/>
      <c r="BG111" s="149"/>
      <c r="BH111" s="152"/>
      <c r="BI111" s="153"/>
      <c r="BJ111" s="149"/>
      <c r="BK111" s="152"/>
      <c r="BL111" s="153"/>
      <c r="BM111" s="149"/>
      <c r="BN111" s="152"/>
      <c r="BO111" s="14">
        <f t="shared" si="37"/>
        <v>0</v>
      </c>
      <c r="BP111" s="14">
        <f t="shared" si="38"/>
        <v>0</v>
      </c>
      <c r="BQ111" s="11">
        <f t="shared" si="39"/>
        <v>0</v>
      </c>
      <c r="BR111" s="11">
        <f t="shared" si="40"/>
        <v>0</v>
      </c>
      <c r="BS111" s="11"/>
      <c r="BT111" s="11"/>
      <c r="BU111" s="11"/>
    </row>
    <row r="112" ht="22.5" customHeight="1">
      <c r="B112" s="148" t="s">
        <v>154</v>
      </c>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50"/>
      <c r="AA112" s="151"/>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49"/>
      <c r="AY112" s="149"/>
      <c r="AZ112" s="149"/>
      <c r="BA112" s="149"/>
      <c r="BB112" s="152"/>
      <c r="BC112" s="153"/>
      <c r="BD112" s="149"/>
      <c r="BE112" s="150"/>
      <c r="BF112" s="154"/>
      <c r="BG112" s="149"/>
      <c r="BH112" s="152"/>
      <c r="BI112" s="153"/>
      <c r="BJ112" s="149"/>
      <c r="BK112" s="152"/>
      <c r="BL112" s="153"/>
      <c r="BM112" s="149"/>
      <c r="BN112" s="152"/>
      <c r="BO112" s="14">
        <f t="shared" si="37"/>
        <v>0</v>
      </c>
      <c r="BP112" s="14">
        <f t="shared" si="38"/>
        <v>0</v>
      </c>
      <c r="BQ112" s="11">
        <f t="shared" si="39"/>
        <v>0</v>
      </c>
      <c r="BR112" s="11">
        <f t="shared" si="40"/>
        <v>0</v>
      </c>
      <c r="BS112" s="11"/>
      <c r="BT112" s="11"/>
      <c r="BU112" s="11"/>
    </row>
    <row r="113" ht="22.5" customHeight="1">
      <c r="B113" s="148" t="s">
        <v>155</v>
      </c>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50"/>
      <c r="AA113" s="151"/>
      <c r="AB113" s="149"/>
      <c r="AC113" s="149"/>
      <c r="AD113" s="149"/>
      <c r="AE113" s="149"/>
      <c r="AF113" s="149"/>
      <c r="AG113" s="149"/>
      <c r="AH113" s="149"/>
      <c r="AI113" s="149"/>
      <c r="AJ113" s="149"/>
      <c r="AK113" s="149"/>
      <c r="AL113" s="149"/>
      <c r="AM113" s="149"/>
      <c r="AN113" s="149"/>
      <c r="AO113" s="149"/>
      <c r="AP113" s="149"/>
      <c r="AQ113" s="149"/>
      <c r="AR113" s="149"/>
      <c r="AS113" s="149"/>
      <c r="AT113" s="149"/>
      <c r="AU113" s="149"/>
      <c r="AV113" s="149"/>
      <c r="AW113" s="149"/>
      <c r="AX113" s="149"/>
      <c r="AY113" s="149"/>
      <c r="AZ113" s="149"/>
      <c r="BA113" s="149"/>
      <c r="BB113" s="152"/>
      <c r="BC113" s="153"/>
      <c r="BD113" s="149"/>
      <c r="BE113" s="150"/>
      <c r="BF113" s="154"/>
      <c r="BG113" s="149"/>
      <c r="BH113" s="152"/>
      <c r="BI113" s="153"/>
      <c r="BJ113" s="149"/>
      <c r="BK113" s="152"/>
      <c r="BL113" s="153"/>
      <c r="BM113" s="149"/>
      <c r="BN113" s="152"/>
      <c r="BO113" s="14">
        <f t="shared" si="37"/>
        <v>0</v>
      </c>
      <c r="BP113" s="14">
        <f t="shared" si="38"/>
        <v>0</v>
      </c>
      <c r="BQ113" s="11">
        <f t="shared" si="39"/>
        <v>0</v>
      </c>
      <c r="BR113" s="11">
        <f t="shared" si="40"/>
        <v>0</v>
      </c>
      <c r="BS113" s="11"/>
      <c r="BT113" s="11"/>
      <c r="BU113" s="11"/>
    </row>
    <row r="114" ht="22.5" customHeight="1">
      <c r="B114" s="148" t="s">
        <v>156</v>
      </c>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50"/>
      <c r="AA114" s="151"/>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52"/>
      <c r="BC114" s="153"/>
      <c r="BD114" s="149"/>
      <c r="BE114" s="150"/>
      <c r="BF114" s="154"/>
      <c r="BG114" s="149"/>
      <c r="BH114" s="152"/>
      <c r="BI114" s="153"/>
      <c r="BJ114" s="149"/>
      <c r="BK114" s="152"/>
      <c r="BL114" s="153"/>
      <c r="BM114" s="149"/>
      <c r="BN114" s="152"/>
      <c r="BO114" s="14">
        <f t="shared" si="37"/>
        <v>0</v>
      </c>
      <c r="BP114" s="14">
        <f t="shared" si="38"/>
        <v>0</v>
      </c>
      <c r="BQ114" s="11">
        <f t="shared" si="39"/>
        <v>0</v>
      </c>
      <c r="BR114" s="11">
        <f t="shared" si="40"/>
        <v>0</v>
      </c>
      <c r="BS114" s="11"/>
      <c r="BT114" s="11"/>
      <c r="BU114" s="11"/>
    </row>
    <row r="115" ht="22.5" customHeight="1">
      <c r="B115" s="148" t="s">
        <v>157</v>
      </c>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50"/>
      <c r="AA115" s="151"/>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49"/>
      <c r="AY115" s="149"/>
      <c r="AZ115" s="149"/>
      <c r="BA115" s="149"/>
      <c r="BB115" s="152"/>
      <c r="BC115" s="153"/>
      <c r="BD115" s="149"/>
      <c r="BE115" s="150"/>
      <c r="BF115" s="154"/>
      <c r="BG115" s="149"/>
      <c r="BH115" s="152"/>
      <c r="BI115" s="153"/>
      <c r="BJ115" s="149"/>
      <c r="BK115" s="152"/>
      <c r="BL115" s="153"/>
      <c r="BM115" s="149"/>
      <c r="BN115" s="152"/>
      <c r="BO115" s="14">
        <f t="shared" si="37"/>
        <v>0</v>
      </c>
      <c r="BP115" s="14">
        <f t="shared" si="38"/>
        <v>0</v>
      </c>
      <c r="BQ115" s="11">
        <f t="shared" si="39"/>
        <v>0</v>
      </c>
      <c r="BR115" s="11">
        <f t="shared" si="40"/>
        <v>0</v>
      </c>
      <c r="BS115" s="11"/>
      <c r="BT115" s="11"/>
      <c r="BU115" s="11"/>
    </row>
    <row r="116" ht="22.5" customHeight="1">
      <c r="B116" s="148" t="s">
        <v>158</v>
      </c>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50"/>
      <c r="AA116" s="151"/>
      <c r="AB116" s="149"/>
      <c r="AC116" s="149"/>
      <c r="AD116" s="149"/>
      <c r="AE116" s="149"/>
      <c r="AF116" s="149"/>
      <c r="AG116" s="149"/>
      <c r="AH116" s="149"/>
      <c r="AI116" s="149"/>
      <c r="AJ116" s="149"/>
      <c r="AK116" s="149"/>
      <c r="AL116" s="149"/>
      <c r="AM116" s="149"/>
      <c r="AN116" s="149"/>
      <c r="AO116" s="149"/>
      <c r="AP116" s="149"/>
      <c r="AQ116" s="149"/>
      <c r="AR116" s="149"/>
      <c r="AS116" s="149"/>
      <c r="AT116" s="149"/>
      <c r="AU116" s="149"/>
      <c r="AV116" s="149"/>
      <c r="AW116" s="149"/>
      <c r="AX116" s="149"/>
      <c r="AY116" s="149"/>
      <c r="AZ116" s="149"/>
      <c r="BA116" s="149"/>
      <c r="BB116" s="152"/>
      <c r="BC116" s="153"/>
      <c r="BD116" s="149"/>
      <c r="BE116" s="150"/>
      <c r="BF116" s="154"/>
      <c r="BG116" s="149"/>
      <c r="BH116" s="152"/>
      <c r="BI116" s="153"/>
      <c r="BJ116" s="149"/>
      <c r="BK116" s="152"/>
      <c r="BL116" s="153"/>
      <c r="BM116" s="149"/>
      <c r="BN116" s="152"/>
      <c r="BO116" s="14">
        <f t="shared" si="37"/>
        <v>0</v>
      </c>
      <c r="BP116" s="14">
        <f t="shared" si="38"/>
        <v>0</v>
      </c>
      <c r="BQ116" s="11">
        <f t="shared" si="39"/>
        <v>0</v>
      </c>
      <c r="BR116" s="11">
        <f t="shared" si="40"/>
        <v>0</v>
      </c>
      <c r="BS116" s="11"/>
      <c r="BT116" s="11"/>
      <c r="BU116" s="11"/>
    </row>
    <row r="117" ht="22.5" customHeight="1">
      <c r="B117" s="148" t="s">
        <v>159</v>
      </c>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50"/>
      <c r="AA117" s="151"/>
      <c r="AB117" s="149"/>
      <c r="AC117" s="149"/>
      <c r="AD117" s="149"/>
      <c r="AE117" s="149"/>
      <c r="AF117" s="149"/>
      <c r="AG117" s="149"/>
      <c r="AH117" s="149"/>
      <c r="AI117" s="149"/>
      <c r="AJ117" s="149"/>
      <c r="AK117" s="149"/>
      <c r="AL117" s="149"/>
      <c r="AM117" s="149"/>
      <c r="AN117" s="149"/>
      <c r="AO117" s="149"/>
      <c r="AP117" s="149"/>
      <c r="AQ117" s="149"/>
      <c r="AR117" s="149"/>
      <c r="AS117" s="149"/>
      <c r="AT117" s="149"/>
      <c r="AU117" s="149"/>
      <c r="AV117" s="149"/>
      <c r="AW117" s="149"/>
      <c r="AX117" s="149"/>
      <c r="AY117" s="149"/>
      <c r="AZ117" s="149"/>
      <c r="BA117" s="149"/>
      <c r="BB117" s="152"/>
      <c r="BC117" s="153"/>
      <c r="BD117" s="149"/>
      <c r="BE117" s="150"/>
      <c r="BF117" s="154"/>
      <c r="BG117" s="149"/>
      <c r="BH117" s="152"/>
      <c r="BI117" s="153"/>
      <c r="BJ117" s="149"/>
      <c r="BK117" s="152"/>
      <c r="BL117" s="153"/>
      <c r="BM117" s="149"/>
      <c r="BN117" s="152"/>
      <c r="BO117" s="14">
        <f t="shared" si="37"/>
        <v>0</v>
      </c>
      <c r="BP117" s="14">
        <f t="shared" si="38"/>
        <v>0</v>
      </c>
      <c r="BQ117" s="11">
        <f t="shared" si="39"/>
        <v>0</v>
      </c>
      <c r="BR117" s="11">
        <f t="shared" si="40"/>
        <v>0</v>
      </c>
      <c r="BS117" s="11"/>
      <c r="BT117" s="11"/>
      <c r="BU117" s="11"/>
    </row>
    <row r="118" ht="22.5" customHeight="1">
      <c r="B118" s="148" t="s">
        <v>160</v>
      </c>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50"/>
      <c r="AA118" s="182"/>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52"/>
      <c r="BC118" s="157"/>
      <c r="BD118" s="158"/>
      <c r="BE118" s="159"/>
      <c r="BF118" s="160"/>
      <c r="BG118" s="158"/>
      <c r="BH118" s="161"/>
      <c r="BI118" s="157"/>
      <c r="BJ118" s="158"/>
      <c r="BK118" s="161"/>
      <c r="BL118" s="157"/>
      <c r="BM118" s="158"/>
      <c r="BN118" s="161"/>
      <c r="BO118" s="14">
        <f t="shared" si="37"/>
        <v>0</v>
      </c>
      <c r="BP118" s="14">
        <f t="shared" si="38"/>
        <v>0</v>
      </c>
      <c r="BQ118" s="11">
        <f t="shared" si="39"/>
        <v>0</v>
      </c>
      <c r="BR118" s="11">
        <f t="shared" si="40"/>
        <v>0</v>
      </c>
      <c r="BS118" s="11"/>
      <c r="BT118" s="11"/>
      <c r="BU118" s="11"/>
    </row>
    <row r="119" ht="22.5" customHeight="1">
      <c r="B119" s="193"/>
      <c r="C119" s="169"/>
      <c r="D119" s="169"/>
      <c r="E119" s="169"/>
      <c r="F119" s="169"/>
      <c r="G119" s="169"/>
      <c r="H119" s="169"/>
      <c r="I119" s="169"/>
      <c r="J119" s="169"/>
      <c r="K119" s="169"/>
      <c r="L119" s="169"/>
      <c r="M119" s="169"/>
      <c r="N119" s="169"/>
      <c r="O119" s="169"/>
      <c r="P119" s="169"/>
      <c r="Q119" s="169"/>
      <c r="R119" s="169"/>
      <c r="S119" s="169"/>
      <c r="T119" s="169"/>
      <c r="U119" s="169"/>
      <c r="V119" s="169"/>
      <c r="W119" s="169"/>
      <c r="X119" s="169"/>
      <c r="Y119" s="169"/>
      <c r="Z119" s="169"/>
      <c r="AA119" s="163" t="s">
        <v>82</v>
      </c>
      <c r="AB119" s="158"/>
      <c r="AC119" s="158"/>
      <c r="AD119" s="158"/>
      <c r="AE119" s="158"/>
      <c r="AF119" s="158"/>
      <c r="AG119" s="158"/>
      <c r="AH119" s="158"/>
      <c r="AI119" s="158"/>
      <c r="AJ119" s="158"/>
      <c r="AK119" s="158"/>
      <c r="AL119" s="158"/>
      <c r="AM119" s="158"/>
      <c r="AN119" s="158"/>
      <c r="AO119" s="158"/>
      <c r="AP119" s="158"/>
      <c r="AQ119" s="158"/>
      <c r="AR119" s="158"/>
      <c r="AS119" s="158"/>
      <c r="AT119" s="158"/>
      <c r="AU119" s="158"/>
      <c r="AV119" s="158"/>
      <c r="AW119" s="158"/>
      <c r="AX119" s="158"/>
      <c r="AY119" s="158"/>
      <c r="AZ119" s="158"/>
      <c r="BA119" s="158"/>
      <c r="BB119" s="161"/>
      <c r="BC119" s="164" t="str">
        <f>IF(BO119=0,"",SUM(BC109:BE118))</f>
        <v/>
      </c>
      <c r="BD119" s="136"/>
      <c r="BE119" s="139"/>
      <c r="BF119" s="164" t="str">
        <f>IF(BP119=0,"",SUM(BF109:BH118))</f>
        <v/>
      </c>
      <c r="BG119" s="136"/>
      <c r="BH119" s="139"/>
      <c r="BI119" s="164" t="str">
        <f>IF(BQ119=0,"",SUM(BI109:BK118))</f>
        <v/>
      </c>
      <c r="BJ119" s="136"/>
      <c r="BK119" s="139"/>
      <c r="BL119" s="194" t="str">
        <f>IF(BR119=0,"",SUM(BL109:BN118))</f>
        <v/>
      </c>
      <c r="BM119" s="195"/>
      <c r="BN119" s="196"/>
      <c r="BO119" s="14">
        <f t="shared" ref="BO119:BR119" si="41">SUM(BO109:BO118)</f>
        <v>0</v>
      </c>
      <c r="BP119" s="14">
        <f t="shared" si="41"/>
        <v>0</v>
      </c>
      <c r="BQ119" s="11">
        <f t="shared" si="41"/>
        <v>0</v>
      </c>
      <c r="BR119" s="11">
        <f t="shared" si="41"/>
        <v>0</v>
      </c>
      <c r="BS119" s="11"/>
      <c r="BT119" s="11"/>
      <c r="BU119" s="11"/>
    </row>
    <row r="120" ht="22.5" customHeight="1">
      <c r="A120" s="6"/>
      <c r="B120" s="197"/>
      <c r="C120" s="198"/>
      <c r="D120" s="198"/>
      <c r="E120" s="198"/>
      <c r="F120" s="198"/>
      <c r="G120" s="198"/>
      <c r="H120" s="198"/>
      <c r="I120" s="198"/>
      <c r="J120" s="198"/>
      <c r="K120" s="198"/>
      <c r="L120" s="198"/>
      <c r="M120" s="198"/>
      <c r="N120" s="198"/>
      <c r="O120" s="198"/>
      <c r="P120" s="198"/>
      <c r="Q120" s="198"/>
      <c r="R120" s="198"/>
      <c r="S120" s="198"/>
      <c r="T120" s="198"/>
      <c r="U120" s="198"/>
      <c r="V120" s="198"/>
      <c r="W120" s="198"/>
      <c r="X120" s="198"/>
      <c r="Y120" s="198"/>
      <c r="Z120" s="198"/>
      <c r="AA120" s="197"/>
      <c r="AB120" s="198"/>
      <c r="AC120" s="198"/>
      <c r="AD120" s="198"/>
      <c r="AE120" s="198"/>
      <c r="AF120" s="198"/>
      <c r="AG120" s="198"/>
      <c r="AH120" s="198"/>
      <c r="AI120" s="198"/>
      <c r="AJ120" s="198"/>
      <c r="AK120" s="198"/>
      <c r="AL120" s="198"/>
      <c r="AM120" s="198"/>
      <c r="AN120" s="198"/>
      <c r="AO120" s="198"/>
      <c r="AP120" s="198"/>
      <c r="AQ120" s="198"/>
      <c r="AR120" s="198"/>
      <c r="AS120" s="198"/>
      <c r="AT120" s="198"/>
      <c r="AU120" s="198"/>
      <c r="AV120" s="198"/>
      <c r="AW120" s="198"/>
      <c r="AX120" s="198"/>
      <c r="AY120" s="198"/>
      <c r="AZ120" s="198"/>
      <c r="BA120" s="198"/>
      <c r="BB120" s="198"/>
      <c r="BC120" s="199"/>
      <c r="BD120" s="199"/>
      <c r="BE120" s="199"/>
      <c r="BF120" s="199"/>
      <c r="BG120" s="199"/>
      <c r="BH120" s="199"/>
      <c r="BI120" s="199"/>
      <c r="BJ120" s="199"/>
      <c r="BK120" s="199"/>
      <c r="BL120" s="199"/>
      <c r="BM120" s="199"/>
      <c r="BN120" s="199"/>
      <c r="BO120" s="14" t="str">
        <f>IF(ISNUMBER(BL119),BL119,IF(ISNUMBER(BI119),BI119,IF(ISNUMBER(BF119),BF119,IF(ISNUMBER(BC119),BC119,"@"))))</f>
        <v>@</v>
      </c>
      <c r="BP120" s="14">
        <f t="shared" ref="BP120:BR120" si="42">SUM(BP119,BP106)</f>
        <v>0</v>
      </c>
      <c r="BQ120" s="11">
        <f t="shared" si="42"/>
        <v>0</v>
      </c>
      <c r="BR120" s="11">
        <f t="shared" si="42"/>
        <v>0</v>
      </c>
      <c r="BS120" s="11"/>
      <c r="BT120" s="11"/>
      <c r="BU120" s="11"/>
    </row>
    <row r="121" ht="22.5" customHeight="1">
      <c r="B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Q121" s="11"/>
      <c r="BR121" s="11"/>
      <c r="BS121" s="11"/>
      <c r="BT121" s="11"/>
      <c r="BU121" s="11"/>
    </row>
    <row r="122" ht="15.75" customHeight="1">
      <c r="BQ122" s="11"/>
      <c r="BR122" s="11"/>
      <c r="BS122" s="11"/>
      <c r="BT122" s="11"/>
      <c r="BU122" s="11"/>
    </row>
    <row r="123" ht="15.75" customHeight="1">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row>
    <row r="124" ht="15.75" customHeight="1">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row>
    <row r="125" ht="15.75" customHeight="1">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row>
    <row r="126" ht="15.75" customHeight="1">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row>
    <row r="127" ht="15.75" customHeight="1">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row>
    <row r="128" ht="15.75" customHeight="1">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row>
    <row r="129" ht="15.75" customHeight="1">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row>
    <row r="130" ht="15.75" customHeight="1">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row>
    <row r="131" ht="15.75" customHeight="1">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row>
    <row r="132" ht="15.75" customHeight="1">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row>
    <row r="133" ht="15.75" customHeight="1">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row>
    <row r="134" ht="15.75" customHeight="1">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row>
    <row r="135" ht="15.75" customHeight="1">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row>
    <row r="136" ht="15.75" customHeight="1">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row>
    <row r="137" ht="15.75" customHeight="1">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row>
    <row r="138" ht="15.75" customHeight="1">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row>
    <row r="139" ht="15.75" customHeight="1">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row>
    <row r="140" ht="15.75" customHeight="1">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row>
    <row r="141" ht="15.75" customHeight="1">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row>
    <row r="142" ht="15.75" customHeight="1">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row>
    <row r="143" ht="15.75" customHeight="1">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row>
    <row r="144" ht="15.75" customHeight="1">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row>
    <row r="145" ht="15.75" customHeight="1">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row>
    <row r="146" ht="15.75" customHeight="1">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row>
    <row r="147" ht="15.75" customHeight="1">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row>
    <row r="148" ht="15.75" customHeight="1">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row>
    <row r="149" ht="15.75" customHeight="1">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row>
    <row r="150" ht="15.75" customHeight="1">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row>
    <row r="151" ht="15.75" customHeight="1">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row>
    <row r="152" ht="15.75" customHeight="1">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row>
    <row r="153" ht="15.75" customHeight="1">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row>
    <row r="154" ht="15.75" customHeight="1">
      <c r="BQ154" s="11"/>
      <c r="BR154" s="11"/>
      <c r="BS154" s="11"/>
      <c r="BT154" s="11"/>
      <c r="BU154" s="11"/>
    </row>
    <row r="155" ht="15.75" customHeight="1">
      <c r="BQ155" s="11"/>
      <c r="BR155" s="11"/>
      <c r="BS155" s="11"/>
      <c r="BT155" s="11"/>
      <c r="BU155" s="11"/>
    </row>
    <row r="156" ht="15.75" customHeight="1">
      <c r="BQ156" s="11"/>
      <c r="BR156" s="11"/>
      <c r="BS156" s="11"/>
      <c r="BT156" s="11"/>
      <c r="BU156" s="11"/>
    </row>
    <row r="157" ht="15.75" customHeight="1">
      <c r="BQ157" s="11"/>
      <c r="BR157" s="11"/>
      <c r="BS157" s="11"/>
      <c r="BT157" s="11"/>
      <c r="BU157" s="11"/>
    </row>
    <row r="158" ht="15.75" customHeight="1">
      <c r="BQ158" s="11"/>
      <c r="BR158" s="11"/>
      <c r="BS158" s="11"/>
      <c r="BT158" s="11"/>
      <c r="BU158" s="11"/>
    </row>
    <row r="159" ht="15.75" customHeight="1">
      <c r="BQ159" s="11"/>
      <c r="BR159" s="11"/>
      <c r="BS159" s="11"/>
      <c r="BT159" s="11"/>
      <c r="BU159" s="11"/>
    </row>
    <row r="160" ht="15.75" customHeight="1">
      <c r="BQ160" s="11"/>
      <c r="BR160" s="11"/>
      <c r="BS160" s="11"/>
      <c r="BT160" s="11"/>
      <c r="BU160" s="11"/>
    </row>
    <row r="161" ht="15.75" customHeight="1">
      <c r="BQ161" s="11"/>
      <c r="BR161" s="11"/>
      <c r="BS161" s="11"/>
      <c r="BT161" s="11"/>
      <c r="BU161" s="11"/>
    </row>
    <row r="162" ht="15.75" customHeight="1">
      <c r="BQ162" s="11"/>
      <c r="BR162" s="11"/>
      <c r="BS162" s="11"/>
      <c r="BT162" s="11"/>
      <c r="BU162" s="11"/>
    </row>
    <row r="163" ht="15.75" customHeight="1">
      <c r="BQ163" s="11"/>
      <c r="BR163" s="11"/>
      <c r="BS163" s="11"/>
      <c r="BT163" s="11"/>
      <c r="BU163" s="11"/>
    </row>
    <row r="164" ht="15.75" customHeight="1">
      <c r="BQ164" s="11"/>
      <c r="BR164" s="11"/>
      <c r="BS164" s="11"/>
      <c r="BT164" s="11"/>
      <c r="BU164" s="11"/>
    </row>
    <row r="165" ht="15.75" customHeight="1">
      <c r="BQ165" s="11"/>
      <c r="BR165" s="11"/>
      <c r="BS165" s="11"/>
      <c r="BT165" s="11"/>
      <c r="BU165" s="11"/>
    </row>
    <row r="166" ht="15.75" customHeight="1">
      <c r="BQ166" s="11"/>
      <c r="BR166" s="11"/>
      <c r="BS166" s="11"/>
      <c r="BT166" s="11"/>
      <c r="BU166" s="11"/>
    </row>
    <row r="167" ht="15.75" customHeight="1">
      <c r="BQ167" s="11"/>
      <c r="BR167" s="11"/>
      <c r="BS167" s="11"/>
      <c r="BT167" s="11"/>
      <c r="BU167" s="11"/>
    </row>
    <row r="168" ht="15.75" customHeight="1">
      <c r="BQ168" s="11"/>
      <c r="BR168" s="11"/>
      <c r="BS168" s="11"/>
      <c r="BT168" s="11"/>
      <c r="BU168" s="11"/>
    </row>
    <row r="169" ht="15.75" customHeight="1">
      <c r="BQ169" s="11"/>
      <c r="BR169" s="11"/>
      <c r="BS169" s="11"/>
      <c r="BT169" s="11"/>
      <c r="BU169" s="11"/>
    </row>
    <row r="170" ht="15.75" customHeight="1">
      <c r="BQ170" s="11"/>
      <c r="BR170" s="11"/>
      <c r="BS170" s="11"/>
      <c r="BT170" s="11"/>
      <c r="BU170" s="11"/>
    </row>
    <row r="171" ht="15.75" customHeight="1">
      <c r="BQ171" s="11"/>
      <c r="BR171" s="11"/>
      <c r="BS171" s="11"/>
      <c r="BT171" s="11"/>
      <c r="BU171" s="11"/>
    </row>
    <row r="172" ht="15.75" customHeight="1">
      <c r="BQ172" s="11"/>
      <c r="BR172" s="11"/>
      <c r="BS172" s="11"/>
      <c r="BT172" s="11"/>
      <c r="BU172" s="11"/>
    </row>
    <row r="173" ht="15.75" customHeight="1">
      <c r="BQ173" s="11"/>
      <c r="BR173" s="11"/>
      <c r="BS173" s="11"/>
      <c r="BT173" s="11"/>
      <c r="BU173" s="11"/>
    </row>
    <row r="174" ht="15.75" customHeight="1">
      <c r="BQ174" s="11"/>
      <c r="BR174" s="11"/>
      <c r="BS174" s="11"/>
      <c r="BT174" s="11"/>
      <c r="BU174" s="11"/>
    </row>
    <row r="175" ht="15.75" customHeight="1">
      <c r="BQ175" s="11"/>
      <c r="BR175" s="11"/>
      <c r="BS175" s="11"/>
      <c r="BT175" s="11"/>
      <c r="BU175" s="11"/>
    </row>
    <row r="176" ht="15.75" customHeight="1">
      <c r="BQ176" s="11"/>
      <c r="BR176" s="11"/>
      <c r="BS176" s="11"/>
      <c r="BT176" s="11"/>
      <c r="BU176" s="11"/>
    </row>
    <row r="177" ht="15.75" customHeight="1">
      <c r="BQ177" s="11"/>
      <c r="BR177" s="11"/>
      <c r="BS177" s="11"/>
      <c r="BT177" s="11"/>
      <c r="BU177" s="11"/>
    </row>
    <row r="178" ht="15.75" customHeight="1">
      <c r="BQ178" s="11"/>
      <c r="BR178" s="11"/>
      <c r="BS178" s="11"/>
      <c r="BT178" s="11"/>
      <c r="BU178" s="11"/>
    </row>
    <row r="179" ht="15.75" customHeight="1">
      <c r="BQ179" s="11"/>
      <c r="BR179" s="11"/>
      <c r="BS179" s="11"/>
      <c r="BT179" s="11"/>
      <c r="BU179" s="11"/>
    </row>
    <row r="180" ht="15.75" customHeight="1">
      <c r="BQ180" s="11"/>
      <c r="BR180" s="11"/>
      <c r="BS180" s="11"/>
      <c r="BT180" s="11"/>
      <c r="BU180" s="11"/>
    </row>
    <row r="181" ht="15.75" customHeight="1">
      <c r="BQ181" s="11"/>
      <c r="BR181" s="11"/>
      <c r="BS181" s="11"/>
      <c r="BT181" s="11"/>
      <c r="BU181" s="11"/>
    </row>
    <row r="182" ht="15.75" customHeight="1">
      <c r="BQ182" s="11"/>
      <c r="BR182" s="11"/>
      <c r="BS182" s="11"/>
      <c r="BT182" s="11"/>
      <c r="BU182" s="11"/>
    </row>
    <row r="183" ht="15.75" customHeight="1">
      <c r="BQ183" s="11"/>
      <c r="BR183" s="11"/>
      <c r="BS183" s="11"/>
      <c r="BT183" s="11"/>
      <c r="BU183" s="11"/>
    </row>
    <row r="184" ht="15.75" customHeight="1">
      <c r="BQ184" s="11"/>
      <c r="BR184" s="11"/>
      <c r="BS184" s="11"/>
      <c r="BT184" s="11"/>
      <c r="BU184" s="11"/>
    </row>
    <row r="185" ht="15.75" customHeight="1">
      <c r="BQ185" s="11"/>
      <c r="BR185" s="11"/>
      <c r="BS185" s="11"/>
      <c r="BT185" s="11"/>
      <c r="BU185" s="11"/>
    </row>
    <row r="186" ht="15.75" customHeight="1">
      <c r="BQ186" s="11"/>
      <c r="BR186" s="11"/>
      <c r="BS186" s="11"/>
      <c r="BT186" s="11"/>
      <c r="BU186" s="11"/>
    </row>
    <row r="187" ht="15.75" customHeight="1">
      <c r="BQ187" s="11"/>
      <c r="BR187" s="11"/>
      <c r="BS187" s="11"/>
      <c r="BT187" s="11"/>
      <c r="BU187" s="11"/>
    </row>
    <row r="188" ht="15.75" customHeight="1">
      <c r="BQ188" s="11"/>
      <c r="BR188" s="11"/>
      <c r="BS188" s="11"/>
      <c r="BT188" s="11"/>
      <c r="BU188" s="11"/>
    </row>
    <row r="189" ht="15.75" customHeight="1">
      <c r="BQ189" s="11"/>
      <c r="BR189" s="11"/>
      <c r="BS189" s="11"/>
      <c r="BT189" s="11"/>
      <c r="BU189" s="11"/>
    </row>
    <row r="190" ht="15.75" customHeight="1">
      <c r="BQ190" s="11"/>
      <c r="BR190" s="11"/>
      <c r="BS190" s="11"/>
      <c r="BT190" s="11"/>
      <c r="BU190" s="11"/>
    </row>
    <row r="191" ht="15.75" customHeight="1">
      <c r="BQ191" s="11"/>
      <c r="BR191" s="11"/>
      <c r="BS191" s="11"/>
      <c r="BT191" s="11"/>
      <c r="BU191" s="11"/>
    </row>
    <row r="192" ht="15.75" customHeight="1">
      <c r="BQ192" s="11"/>
      <c r="BR192" s="11"/>
      <c r="BS192" s="11"/>
      <c r="BT192" s="11"/>
      <c r="BU192" s="11"/>
    </row>
    <row r="193" ht="15.75" customHeight="1">
      <c r="BQ193" s="11"/>
      <c r="BR193" s="11"/>
      <c r="BS193" s="11"/>
      <c r="BT193" s="11"/>
      <c r="BU193" s="11"/>
    </row>
    <row r="194" ht="15.75" customHeight="1">
      <c r="BQ194" s="11"/>
      <c r="BR194" s="11"/>
      <c r="BS194" s="11"/>
      <c r="BT194" s="11"/>
      <c r="BU194" s="11"/>
    </row>
    <row r="195" ht="15.75" customHeight="1">
      <c r="BQ195" s="11"/>
      <c r="BR195" s="11"/>
      <c r="BS195" s="11"/>
      <c r="BT195" s="11"/>
      <c r="BU195" s="11"/>
    </row>
    <row r="196" ht="15.75" customHeight="1">
      <c r="BQ196" s="11"/>
      <c r="BR196" s="11"/>
      <c r="BS196" s="11"/>
      <c r="BT196" s="11"/>
      <c r="BU196" s="11"/>
    </row>
    <row r="197" ht="15.75" customHeight="1">
      <c r="BQ197" s="11"/>
      <c r="BR197" s="11"/>
      <c r="BS197" s="11"/>
      <c r="BT197" s="11"/>
      <c r="BU197" s="11"/>
    </row>
    <row r="198" ht="15.75" customHeight="1">
      <c r="BQ198" s="11"/>
      <c r="BR198" s="11"/>
      <c r="BS198" s="11"/>
      <c r="BT198" s="11"/>
      <c r="BU198" s="11"/>
    </row>
    <row r="199" ht="15.75" customHeight="1">
      <c r="BQ199" s="11"/>
      <c r="BR199" s="11"/>
      <c r="BS199" s="11"/>
      <c r="BT199" s="11"/>
      <c r="BU199" s="11"/>
    </row>
    <row r="200" ht="15.75" customHeight="1">
      <c r="BQ200" s="11"/>
      <c r="BR200" s="11"/>
      <c r="BS200" s="11"/>
      <c r="BT200" s="11"/>
      <c r="BU200" s="11"/>
    </row>
    <row r="201" ht="15.75" customHeight="1">
      <c r="BQ201" s="11"/>
      <c r="BR201" s="11"/>
      <c r="BS201" s="11"/>
      <c r="BT201" s="11"/>
      <c r="BU201" s="11"/>
    </row>
    <row r="202" ht="15.75" customHeight="1">
      <c r="BQ202" s="11"/>
      <c r="BR202" s="11"/>
      <c r="BS202" s="11"/>
      <c r="BT202" s="11"/>
      <c r="BU202" s="11"/>
    </row>
    <row r="203" ht="15.75" customHeight="1">
      <c r="BQ203" s="11"/>
      <c r="BR203" s="11"/>
      <c r="BS203" s="11"/>
      <c r="BT203" s="11"/>
      <c r="BU203" s="11"/>
    </row>
    <row r="204" ht="15.75" customHeight="1">
      <c r="BQ204" s="11"/>
      <c r="BR204" s="11"/>
      <c r="BS204" s="11"/>
      <c r="BT204" s="11"/>
      <c r="BU204" s="11"/>
    </row>
    <row r="205" ht="15.75" customHeight="1">
      <c r="BQ205" s="11"/>
      <c r="BR205" s="11"/>
      <c r="BS205" s="11"/>
      <c r="BT205" s="11"/>
      <c r="BU205" s="11"/>
    </row>
    <row r="206" ht="15.75" customHeight="1">
      <c r="BQ206" s="11"/>
      <c r="BR206" s="11"/>
      <c r="BS206" s="11"/>
      <c r="BT206" s="11"/>
      <c r="BU206" s="11"/>
    </row>
    <row r="207" ht="15.75" customHeight="1">
      <c r="BQ207" s="11"/>
      <c r="BR207" s="11"/>
      <c r="BS207" s="11"/>
      <c r="BT207" s="11"/>
      <c r="BU207" s="11"/>
    </row>
    <row r="208" ht="15.75" customHeight="1">
      <c r="BQ208" s="11"/>
      <c r="BR208" s="11"/>
      <c r="BS208" s="11"/>
      <c r="BT208" s="11"/>
      <c r="BU208" s="11"/>
    </row>
    <row r="209" ht="15.75" customHeight="1">
      <c r="BQ209" s="11"/>
      <c r="BR209" s="11"/>
      <c r="BS209" s="11"/>
      <c r="BT209" s="11"/>
      <c r="BU209" s="11"/>
    </row>
    <row r="210" ht="15.75" customHeight="1">
      <c r="BQ210" s="11"/>
      <c r="BR210" s="11"/>
      <c r="BS210" s="11"/>
      <c r="BT210" s="11"/>
      <c r="BU210" s="11"/>
    </row>
    <row r="211" ht="15.75" customHeight="1">
      <c r="BQ211" s="11"/>
      <c r="BR211" s="11"/>
      <c r="BS211" s="11"/>
      <c r="BT211" s="11"/>
      <c r="BU211" s="11"/>
    </row>
    <row r="212" ht="15.75" customHeight="1">
      <c r="BQ212" s="11"/>
      <c r="BR212" s="11"/>
      <c r="BS212" s="11"/>
      <c r="BT212" s="11"/>
      <c r="BU212" s="11"/>
    </row>
    <row r="213" ht="15.75" customHeight="1">
      <c r="BQ213" s="11"/>
      <c r="BR213" s="11"/>
      <c r="BS213" s="11"/>
      <c r="BT213" s="11"/>
      <c r="BU213" s="11"/>
    </row>
    <row r="214" ht="15.75" customHeight="1">
      <c r="BQ214" s="11"/>
      <c r="BR214" s="11"/>
      <c r="BS214" s="11"/>
      <c r="BT214" s="11"/>
      <c r="BU214" s="11"/>
    </row>
    <row r="215" ht="15.75" customHeight="1">
      <c r="BQ215" s="11"/>
      <c r="BR215" s="11"/>
      <c r="BS215" s="11"/>
      <c r="BT215" s="11"/>
      <c r="BU215" s="11"/>
    </row>
    <row r="216" ht="15.75" customHeight="1">
      <c r="BQ216" s="11"/>
      <c r="BR216" s="11"/>
      <c r="BS216" s="11"/>
      <c r="BT216" s="11"/>
      <c r="BU216" s="11"/>
    </row>
    <row r="217" ht="15.75" customHeight="1">
      <c r="BQ217" s="11"/>
      <c r="BR217" s="11"/>
      <c r="BS217" s="11"/>
      <c r="BT217" s="11"/>
      <c r="BU217" s="11"/>
    </row>
    <row r="218" ht="15.75" customHeight="1">
      <c r="BQ218" s="11"/>
      <c r="BR218" s="11"/>
      <c r="BS218" s="11"/>
      <c r="BT218" s="11"/>
      <c r="BU218" s="11"/>
    </row>
    <row r="219" ht="15.75" customHeight="1">
      <c r="BQ219" s="11"/>
      <c r="BR219" s="11"/>
      <c r="BS219" s="11"/>
      <c r="BT219" s="11"/>
      <c r="BU219" s="11"/>
    </row>
    <row r="220" ht="15.75" customHeight="1">
      <c r="BQ220" s="11"/>
      <c r="BR220" s="11"/>
      <c r="BS220" s="11"/>
      <c r="BT220" s="11"/>
      <c r="BU220" s="11"/>
    </row>
    <row r="221" ht="15.75" customHeight="1">
      <c r="BQ221" s="11"/>
      <c r="BR221" s="11"/>
      <c r="BS221" s="11"/>
      <c r="BT221" s="11"/>
      <c r="BU221" s="11"/>
    </row>
    <row r="222" ht="15.75" customHeight="1">
      <c r="BQ222" s="11"/>
      <c r="BR222" s="11"/>
      <c r="BS222" s="11"/>
      <c r="BT222" s="11"/>
      <c r="BU222" s="11"/>
    </row>
    <row r="223" ht="15.75" customHeight="1">
      <c r="BQ223" s="11"/>
      <c r="BR223" s="11"/>
      <c r="BS223" s="11"/>
      <c r="BT223" s="11"/>
      <c r="BU223" s="11"/>
    </row>
    <row r="224" ht="15.75" customHeight="1">
      <c r="BQ224" s="11"/>
      <c r="BR224" s="11"/>
      <c r="BS224" s="11"/>
      <c r="BT224" s="11"/>
      <c r="BU224" s="11"/>
    </row>
    <row r="225" ht="15.75" customHeight="1">
      <c r="BQ225" s="11"/>
      <c r="BR225" s="11"/>
      <c r="BS225" s="11"/>
      <c r="BT225" s="11"/>
      <c r="BU225" s="11"/>
    </row>
    <row r="226" ht="15.75" customHeight="1">
      <c r="BQ226" s="11"/>
      <c r="BR226" s="11"/>
      <c r="BS226" s="11"/>
      <c r="BT226" s="11"/>
      <c r="BU226" s="11"/>
    </row>
    <row r="227" ht="15.75" customHeight="1">
      <c r="BQ227" s="11"/>
      <c r="BR227" s="11"/>
      <c r="BS227" s="11"/>
      <c r="BT227" s="11"/>
      <c r="BU227" s="11"/>
    </row>
    <row r="228" ht="15.75" customHeight="1">
      <c r="BQ228" s="11"/>
      <c r="BR228" s="11"/>
      <c r="BS228" s="11"/>
      <c r="BT228" s="11"/>
      <c r="BU228" s="11"/>
    </row>
    <row r="229" ht="15.75" customHeight="1">
      <c r="BQ229" s="11"/>
      <c r="BR229" s="11"/>
      <c r="BS229" s="11"/>
      <c r="BT229" s="11"/>
      <c r="BU229" s="11"/>
    </row>
    <row r="230" ht="15.75" customHeight="1">
      <c r="BQ230" s="11"/>
      <c r="BR230" s="11"/>
      <c r="BS230" s="11"/>
      <c r="BT230" s="11"/>
      <c r="BU230" s="11"/>
    </row>
    <row r="231" ht="15.75" customHeight="1">
      <c r="BQ231" s="11"/>
      <c r="BR231" s="11"/>
      <c r="BS231" s="11"/>
      <c r="BT231" s="11"/>
      <c r="BU231" s="11"/>
    </row>
    <row r="232" ht="15.75" customHeight="1">
      <c r="BQ232" s="11"/>
      <c r="BR232" s="11"/>
      <c r="BS232" s="11"/>
      <c r="BT232" s="11"/>
      <c r="BU232" s="11"/>
    </row>
    <row r="233" ht="15.75" customHeight="1">
      <c r="BQ233" s="11"/>
      <c r="BR233" s="11"/>
      <c r="BS233" s="11"/>
      <c r="BT233" s="11"/>
      <c r="BU233" s="11"/>
    </row>
    <row r="234" ht="15.75" customHeight="1">
      <c r="BQ234" s="11"/>
      <c r="BR234" s="11"/>
      <c r="BS234" s="11"/>
      <c r="BT234" s="11"/>
      <c r="BU234" s="11"/>
    </row>
    <row r="235" ht="15.75" customHeight="1">
      <c r="BQ235" s="11"/>
      <c r="BR235" s="11"/>
      <c r="BS235" s="11"/>
      <c r="BT235" s="11"/>
      <c r="BU235" s="11"/>
    </row>
    <row r="236" ht="15.75" customHeight="1">
      <c r="BQ236" s="11"/>
      <c r="BR236" s="11"/>
      <c r="BS236" s="11"/>
      <c r="BT236" s="11"/>
      <c r="BU236" s="11"/>
    </row>
    <row r="237" ht="15.75" customHeight="1">
      <c r="BQ237" s="11"/>
      <c r="BR237" s="11"/>
      <c r="BS237" s="11"/>
      <c r="BT237" s="11"/>
      <c r="BU237" s="11"/>
    </row>
    <row r="238" ht="15.75" customHeight="1">
      <c r="BQ238" s="11"/>
      <c r="BR238" s="11"/>
      <c r="BS238" s="11"/>
      <c r="BT238" s="11"/>
      <c r="BU238" s="11"/>
    </row>
    <row r="239" ht="15.75" customHeight="1">
      <c r="BQ239" s="11"/>
      <c r="BR239" s="11"/>
      <c r="BS239" s="11"/>
      <c r="BT239" s="11"/>
      <c r="BU239" s="11"/>
    </row>
    <row r="240" ht="15.75" customHeight="1">
      <c r="BQ240" s="11"/>
      <c r="BR240" s="11"/>
      <c r="BS240" s="11"/>
      <c r="BT240" s="11"/>
      <c r="BU240" s="11"/>
    </row>
    <row r="241" ht="15.75" customHeight="1">
      <c r="BQ241" s="11"/>
      <c r="BR241" s="11"/>
      <c r="BS241" s="11"/>
      <c r="BT241" s="11"/>
      <c r="BU241" s="11"/>
    </row>
    <row r="242" ht="15.75" customHeight="1">
      <c r="BQ242" s="11"/>
      <c r="BR242" s="11"/>
      <c r="BS242" s="11"/>
      <c r="BT242" s="11"/>
      <c r="BU242" s="11"/>
    </row>
    <row r="243" ht="15.75" customHeight="1">
      <c r="BQ243" s="11"/>
      <c r="BR243" s="11"/>
      <c r="BS243" s="11"/>
      <c r="BT243" s="11"/>
      <c r="BU243" s="11"/>
    </row>
    <row r="244" ht="15.75" customHeight="1">
      <c r="BQ244" s="11"/>
      <c r="BR244" s="11"/>
      <c r="BS244" s="11"/>
      <c r="BT244" s="11"/>
      <c r="BU244" s="11"/>
    </row>
    <row r="245" ht="15.75" customHeight="1">
      <c r="BQ245" s="11"/>
      <c r="BR245" s="11"/>
      <c r="BS245" s="11"/>
      <c r="BT245" s="11"/>
      <c r="BU245" s="11"/>
    </row>
    <row r="246" ht="15.75" customHeight="1">
      <c r="BQ246" s="11"/>
      <c r="BR246" s="11"/>
      <c r="BS246" s="11"/>
      <c r="BT246" s="11"/>
      <c r="BU246" s="11"/>
    </row>
    <row r="247" ht="15.75" customHeight="1">
      <c r="BQ247" s="11"/>
      <c r="BR247" s="11"/>
      <c r="BS247" s="11"/>
      <c r="BT247" s="11"/>
      <c r="BU247" s="11"/>
    </row>
    <row r="248" ht="15.75" customHeight="1">
      <c r="BQ248" s="11"/>
      <c r="BR248" s="11"/>
      <c r="BS248" s="11"/>
      <c r="BT248" s="11"/>
      <c r="BU248" s="11"/>
    </row>
    <row r="249" ht="15.75" customHeight="1">
      <c r="BQ249" s="11"/>
      <c r="BR249" s="11"/>
      <c r="BS249" s="11"/>
      <c r="BT249" s="11"/>
      <c r="BU249" s="11"/>
    </row>
    <row r="250" ht="15.75" customHeight="1">
      <c r="BQ250" s="11"/>
      <c r="BR250" s="11"/>
      <c r="BS250" s="11"/>
      <c r="BT250" s="11"/>
      <c r="BU250" s="11"/>
    </row>
    <row r="251" ht="15.75" customHeight="1">
      <c r="BQ251" s="11"/>
      <c r="BR251" s="11"/>
      <c r="BS251" s="11"/>
      <c r="BT251" s="11"/>
      <c r="BU251" s="11"/>
    </row>
    <row r="252" ht="15.75" customHeight="1">
      <c r="BQ252" s="11"/>
      <c r="BR252" s="11"/>
      <c r="BS252" s="11"/>
      <c r="BT252" s="11"/>
      <c r="BU252" s="11"/>
    </row>
    <row r="253" ht="15.75" customHeight="1">
      <c r="BQ253" s="11"/>
      <c r="BR253" s="11"/>
      <c r="BS253" s="11"/>
      <c r="BT253" s="11"/>
      <c r="BU253" s="11"/>
    </row>
    <row r="254" ht="15.75" customHeight="1">
      <c r="BQ254" s="11"/>
      <c r="BR254" s="11"/>
      <c r="BS254" s="11"/>
      <c r="BT254" s="11"/>
      <c r="BU254" s="11"/>
    </row>
    <row r="255" ht="15.75" customHeight="1">
      <c r="BQ255" s="11"/>
      <c r="BR255" s="11"/>
      <c r="BS255" s="11"/>
      <c r="BT255" s="11"/>
      <c r="BU255" s="11"/>
    </row>
    <row r="256" ht="15.75" customHeight="1">
      <c r="BQ256" s="11"/>
      <c r="BR256" s="11"/>
      <c r="BS256" s="11"/>
      <c r="BT256" s="11"/>
      <c r="BU256" s="11"/>
    </row>
    <row r="257" ht="15.75" customHeight="1">
      <c r="BQ257" s="11"/>
      <c r="BR257" s="11"/>
      <c r="BS257" s="11"/>
      <c r="BT257" s="11"/>
      <c r="BU257" s="11"/>
    </row>
    <row r="258" ht="15.75" customHeight="1">
      <c r="BQ258" s="11"/>
      <c r="BR258" s="11"/>
      <c r="BS258" s="11"/>
      <c r="BT258" s="11"/>
      <c r="BU258" s="11"/>
    </row>
    <row r="259" ht="15.75" customHeight="1">
      <c r="BQ259" s="11"/>
      <c r="BR259" s="11"/>
      <c r="BS259" s="11"/>
      <c r="BT259" s="11"/>
      <c r="BU259" s="11"/>
    </row>
    <row r="260" ht="15.75" customHeight="1">
      <c r="BQ260" s="11"/>
      <c r="BR260" s="11"/>
      <c r="BS260" s="11"/>
      <c r="BT260" s="11"/>
      <c r="BU260" s="11"/>
    </row>
    <row r="261" ht="15.75" customHeight="1">
      <c r="BQ261" s="11"/>
      <c r="BR261" s="11"/>
      <c r="BS261" s="11"/>
      <c r="BT261" s="11"/>
      <c r="BU261" s="11"/>
    </row>
    <row r="262" ht="15.75" customHeight="1">
      <c r="BQ262" s="11"/>
      <c r="BR262" s="11"/>
      <c r="BS262" s="11"/>
      <c r="BT262" s="11"/>
      <c r="BU262" s="11"/>
    </row>
    <row r="263" ht="15.75" customHeight="1">
      <c r="BQ263" s="11"/>
      <c r="BR263" s="11"/>
      <c r="BS263" s="11"/>
      <c r="BT263" s="11"/>
      <c r="BU263" s="11"/>
    </row>
    <row r="264" ht="15.75" customHeight="1">
      <c r="BQ264" s="11"/>
      <c r="BR264" s="11"/>
      <c r="BS264" s="11"/>
      <c r="BT264" s="11"/>
      <c r="BU264" s="11"/>
    </row>
    <row r="265" ht="15.75" customHeight="1">
      <c r="BQ265" s="11"/>
      <c r="BR265" s="11"/>
      <c r="BS265" s="11"/>
      <c r="BT265" s="11"/>
      <c r="BU265" s="11"/>
    </row>
    <row r="266" ht="15.75" customHeight="1">
      <c r="BQ266" s="11"/>
      <c r="BR266" s="11"/>
      <c r="BS266" s="11"/>
      <c r="BT266" s="11"/>
      <c r="BU266" s="11"/>
    </row>
    <row r="267" ht="15.75" customHeight="1">
      <c r="BQ267" s="11"/>
      <c r="BR267" s="11"/>
      <c r="BS267" s="11"/>
      <c r="BT267" s="11"/>
      <c r="BU267" s="11"/>
    </row>
    <row r="268" ht="15.75" customHeight="1">
      <c r="BQ268" s="11"/>
      <c r="BR268" s="11"/>
      <c r="BS268" s="11"/>
      <c r="BT268" s="11"/>
      <c r="BU268" s="11"/>
    </row>
    <row r="269" ht="15.75" customHeight="1">
      <c r="BQ269" s="11"/>
      <c r="BR269" s="11"/>
      <c r="BS269" s="11"/>
      <c r="BT269" s="11"/>
      <c r="BU269" s="11"/>
    </row>
    <row r="270" ht="15.75" customHeight="1">
      <c r="BQ270" s="11"/>
      <c r="BR270" s="11"/>
      <c r="BS270" s="11"/>
      <c r="BT270" s="11"/>
      <c r="BU270" s="11"/>
    </row>
    <row r="271" ht="15.75" customHeight="1">
      <c r="BQ271" s="11"/>
      <c r="BR271" s="11"/>
      <c r="BS271" s="11"/>
      <c r="BT271" s="11"/>
      <c r="BU271" s="11"/>
    </row>
    <row r="272" ht="15.75" customHeight="1">
      <c r="BQ272" s="11"/>
      <c r="BR272" s="11"/>
      <c r="BS272" s="11"/>
      <c r="BT272" s="11"/>
      <c r="BU272" s="11"/>
    </row>
    <row r="273" ht="15.75" customHeight="1">
      <c r="BQ273" s="11"/>
      <c r="BR273" s="11"/>
      <c r="BS273" s="11"/>
      <c r="BT273" s="11"/>
      <c r="BU273" s="11"/>
    </row>
    <row r="274" ht="15.75" customHeight="1">
      <c r="BQ274" s="11"/>
      <c r="BR274" s="11"/>
      <c r="BS274" s="11"/>
      <c r="BT274" s="11"/>
      <c r="BU274" s="11"/>
    </row>
    <row r="275" ht="15.75" customHeight="1">
      <c r="BQ275" s="11"/>
      <c r="BR275" s="11"/>
      <c r="BS275" s="11"/>
      <c r="BT275" s="11"/>
      <c r="BU275" s="11"/>
    </row>
    <row r="276" ht="15.75" customHeight="1">
      <c r="BQ276" s="11"/>
      <c r="BR276" s="11"/>
      <c r="BS276" s="11"/>
      <c r="BT276" s="11"/>
      <c r="BU276" s="11"/>
    </row>
    <row r="277" ht="15.75" customHeight="1">
      <c r="BQ277" s="11"/>
      <c r="BR277" s="11"/>
      <c r="BS277" s="11"/>
      <c r="BT277" s="11"/>
      <c r="BU277" s="11"/>
    </row>
    <row r="278" ht="15.75" customHeight="1">
      <c r="BQ278" s="11"/>
      <c r="BR278" s="11"/>
      <c r="BS278" s="11"/>
      <c r="BT278" s="11"/>
      <c r="BU278" s="11"/>
    </row>
    <row r="279" ht="15.75" customHeight="1">
      <c r="BQ279" s="11"/>
      <c r="BR279" s="11"/>
      <c r="BS279" s="11"/>
      <c r="BT279" s="11"/>
      <c r="BU279" s="11"/>
    </row>
    <row r="280" ht="15.75" customHeight="1">
      <c r="BQ280" s="11"/>
      <c r="BR280" s="11"/>
      <c r="BS280" s="11"/>
      <c r="BT280" s="11"/>
      <c r="BU280" s="11"/>
    </row>
    <row r="281" ht="15.75" customHeight="1">
      <c r="BQ281" s="11"/>
      <c r="BR281" s="11"/>
      <c r="BS281" s="11"/>
      <c r="BT281" s="11"/>
      <c r="BU281" s="11"/>
    </row>
    <row r="282" ht="15.75" customHeight="1">
      <c r="BQ282" s="11"/>
      <c r="BR282" s="11"/>
      <c r="BS282" s="11"/>
      <c r="BT282" s="11"/>
      <c r="BU282" s="11"/>
    </row>
    <row r="283" ht="15.75" customHeight="1">
      <c r="BQ283" s="11"/>
      <c r="BR283" s="11"/>
      <c r="BS283" s="11"/>
      <c r="BT283" s="11"/>
      <c r="BU283" s="11"/>
    </row>
    <row r="284" ht="15.75" customHeight="1">
      <c r="BQ284" s="11"/>
      <c r="BR284" s="11"/>
      <c r="BS284" s="11"/>
      <c r="BT284" s="11"/>
      <c r="BU284" s="11"/>
    </row>
    <row r="285" ht="15.75" customHeight="1">
      <c r="BQ285" s="11"/>
      <c r="BR285" s="11"/>
      <c r="BS285" s="11"/>
      <c r="BT285" s="11"/>
      <c r="BU285" s="11"/>
    </row>
    <row r="286" ht="15.75" customHeight="1">
      <c r="BQ286" s="11"/>
      <c r="BR286" s="11"/>
      <c r="BS286" s="11"/>
      <c r="BT286" s="11"/>
      <c r="BU286" s="11"/>
    </row>
    <row r="287" ht="15.75" customHeight="1">
      <c r="BQ287" s="11"/>
      <c r="BR287" s="11"/>
      <c r="BS287" s="11"/>
      <c r="BT287" s="11"/>
      <c r="BU287" s="11"/>
    </row>
    <row r="288" ht="15.75" customHeight="1">
      <c r="BQ288" s="11"/>
      <c r="BR288" s="11"/>
      <c r="BS288" s="11"/>
      <c r="BT288" s="11"/>
      <c r="BU288" s="11"/>
    </row>
    <row r="289" ht="15.75" customHeight="1">
      <c r="BQ289" s="11"/>
      <c r="BR289" s="11"/>
      <c r="BS289" s="11"/>
      <c r="BT289" s="11"/>
      <c r="BU289" s="11"/>
    </row>
    <row r="290" ht="15.75" customHeight="1">
      <c r="BQ290" s="11"/>
      <c r="BR290" s="11"/>
      <c r="BS290" s="11"/>
      <c r="BT290" s="11"/>
      <c r="BU290" s="11"/>
    </row>
    <row r="291" ht="15.75" customHeight="1">
      <c r="BQ291" s="11"/>
      <c r="BR291" s="11"/>
      <c r="BS291" s="11"/>
      <c r="BT291" s="11"/>
      <c r="BU291" s="11"/>
    </row>
    <row r="292" ht="15.75" customHeight="1">
      <c r="BQ292" s="11"/>
      <c r="BR292" s="11"/>
      <c r="BS292" s="11"/>
      <c r="BT292" s="11"/>
      <c r="BU292" s="11"/>
    </row>
    <row r="293" ht="15.75" customHeight="1">
      <c r="BQ293" s="11"/>
      <c r="BR293" s="11"/>
      <c r="BS293" s="11"/>
      <c r="BT293" s="11"/>
      <c r="BU293" s="11"/>
    </row>
    <row r="294" ht="15.75" customHeight="1">
      <c r="BQ294" s="11"/>
      <c r="BR294" s="11"/>
      <c r="BS294" s="11"/>
      <c r="BT294" s="11"/>
      <c r="BU294" s="11"/>
    </row>
    <row r="295" ht="15.75" customHeight="1">
      <c r="BQ295" s="11"/>
      <c r="BR295" s="11"/>
      <c r="BS295" s="11"/>
      <c r="BT295" s="11"/>
      <c r="BU295" s="11"/>
    </row>
    <row r="296" ht="15.75" customHeight="1">
      <c r="BQ296" s="11"/>
      <c r="BR296" s="11"/>
      <c r="BS296" s="11"/>
      <c r="BT296" s="11"/>
      <c r="BU296" s="11"/>
    </row>
    <row r="297" ht="15.75" customHeight="1">
      <c r="BQ297" s="11"/>
      <c r="BR297" s="11"/>
      <c r="BS297" s="11"/>
      <c r="BT297" s="11"/>
      <c r="BU297" s="11"/>
    </row>
    <row r="298" ht="15.75" customHeight="1">
      <c r="BQ298" s="11"/>
      <c r="BR298" s="11"/>
      <c r="BS298" s="11"/>
      <c r="BT298" s="11"/>
      <c r="BU298" s="11"/>
    </row>
    <row r="299" ht="15.75" customHeight="1">
      <c r="BQ299" s="11"/>
      <c r="BR299" s="11"/>
      <c r="BS299" s="11"/>
      <c r="BT299" s="11"/>
      <c r="BU299" s="11"/>
    </row>
    <row r="300" ht="15.75" customHeight="1">
      <c r="BQ300" s="11"/>
      <c r="BR300" s="11"/>
      <c r="BS300" s="11"/>
      <c r="BT300" s="11"/>
      <c r="BU300" s="11"/>
    </row>
    <row r="301" ht="15.75" customHeight="1">
      <c r="BQ301" s="11"/>
      <c r="BR301" s="11"/>
      <c r="BS301" s="11"/>
      <c r="BT301" s="11"/>
      <c r="BU301" s="11"/>
    </row>
    <row r="302" ht="15.75" customHeight="1">
      <c r="BQ302" s="11"/>
      <c r="BR302" s="11"/>
      <c r="BS302" s="11"/>
      <c r="BT302" s="11"/>
      <c r="BU302" s="11"/>
    </row>
    <row r="303" ht="15.75" customHeight="1">
      <c r="BQ303" s="11"/>
      <c r="BR303" s="11"/>
      <c r="BS303" s="11"/>
      <c r="BT303" s="11"/>
      <c r="BU303" s="11"/>
    </row>
    <row r="304" ht="15.75" customHeight="1">
      <c r="BQ304" s="11"/>
      <c r="BR304" s="11"/>
      <c r="BS304" s="11"/>
      <c r="BT304" s="11"/>
      <c r="BU304" s="11"/>
    </row>
    <row r="305" ht="15.75" customHeight="1">
      <c r="BQ305" s="11"/>
      <c r="BR305" s="11"/>
      <c r="BS305" s="11"/>
      <c r="BT305" s="11"/>
      <c r="BU305" s="11"/>
    </row>
    <row r="306" ht="15.75" customHeight="1">
      <c r="BQ306" s="11"/>
      <c r="BR306" s="11"/>
      <c r="BS306" s="11"/>
      <c r="BT306" s="11"/>
      <c r="BU306" s="11"/>
    </row>
    <row r="307" ht="15.75" customHeight="1">
      <c r="BQ307" s="11"/>
      <c r="BR307" s="11"/>
      <c r="BS307" s="11"/>
      <c r="BT307" s="11"/>
      <c r="BU307" s="11"/>
    </row>
    <row r="308" ht="15.75" customHeight="1">
      <c r="BQ308" s="11"/>
      <c r="BR308" s="11"/>
      <c r="BS308" s="11"/>
      <c r="BT308" s="11"/>
      <c r="BU308" s="11"/>
    </row>
    <row r="309" ht="15.75" customHeight="1">
      <c r="BQ309" s="11"/>
      <c r="BR309" s="11"/>
      <c r="BS309" s="11"/>
      <c r="BT309" s="11"/>
      <c r="BU309" s="11"/>
    </row>
    <row r="310" ht="15.75" customHeight="1">
      <c r="BQ310" s="11"/>
      <c r="BR310" s="11"/>
      <c r="BS310" s="11"/>
      <c r="BT310" s="11"/>
      <c r="BU310" s="11"/>
    </row>
    <row r="311" ht="15.75" customHeight="1">
      <c r="BQ311" s="11"/>
      <c r="BR311" s="11"/>
      <c r="BS311" s="11"/>
      <c r="BT311" s="11"/>
      <c r="BU311" s="11"/>
    </row>
    <row r="312" ht="15.75" customHeight="1">
      <c r="BQ312" s="11"/>
      <c r="BR312" s="11"/>
      <c r="BS312" s="11"/>
      <c r="BT312" s="11"/>
      <c r="BU312" s="11"/>
    </row>
    <row r="313" ht="15.75" customHeight="1">
      <c r="BQ313" s="11"/>
      <c r="BR313" s="11"/>
      <c r="BS313" s="11"/>
      <c r="BT313" s="11"/>
      <c r="BU313" s="11"/>
    </row>
    <row r="314" ht="15.75" customHeight="1">
      <c r="BQ314" s="11"/>
      <c r="BR314" s="11"/>
      <c r="BS314" s="11"/>
      <c r="BT314" s="11"/>
      <c r="BU314" s="11"/>
    </row>
    <row r="315" ht="15.75" customHeight="1">
      <c r="BQ315" s="11"/>
      <c r="BR315" s="11"/>
      <c r="BS315" s="11"/>
      <c r="BT315" s="11"/>
      <c r="BU315" s="11"/>
    </row>
    <row r="316" ht="15.75" customHeight="1">
      <c r="BQ316" s="11"/>
      <c r="BR316" s="11"/>
      <c r="BS316" s="11"/>
      <c r="BT316" s="11"/>
      <c r="BU316" s="11"/>
    </row>
    <row r="317" ht="15.75" customHeight="1">
      <c r="BQ317" s="11"/>
      <c r="BR317" s="11"/>
      <c r="BS317" s="11"/>
      <c r="BT317" s="11"/>
      <c r="BU317" s="11"/>
    </row>
    <row r="318" ht="15.75" customHeight="1">
      <c r="BQ318" s="11"/>
      <c r="BR318" s="11"/>
      <c r="BS318" s="11"/>
      <c r="BT318" s="11"/>
      <c r="BU318" s="11"/>
    </row>
    <row r="319" ht="15.75" customHeight="1">
      <c r="BQ319" s="11"/>
      <c r="BR319" s="11"/>
      <c r="BS319" s="11"/>
      <c r="BT319" s="11"/>
      <c r="BU319" s="11"/>
    </row>
    <row r="320" ht="15.75" customHeight="1">
      <c r="BQ320" s="11"/>
      <c r="BR320" s="11"/>
      <c r="BS320" s="11"/>
      <c r="BT320" s="11"/>
      <c r="BU320" s="11"/>
    </row>
    <row r="321" ht="15.75" customHeight="1">
      <c r="BQ321" s="11"/>
      <c r="BR321" s="11"/>
      <c r="BS321" s="11"/>
      <c r="BT321" s="11"/>
      <c r="BU321" s="11"/>
    </row>
    <row r="322" ht="15.75" customHeight="1">
      <c r="BQ322" s="11"/>
      <c r="BR322" s="11"/>
      <c r="BS322" s="11"/>
      <c r="BT322" s="11"/>
      <c r="BU322" s="11"/>
    </row>
    <row r="323" ht="15.75" customHeight="1">
      <c r="BQ323" s="11"/>
      <c r="BR323" s="11"/>
      <c r="BS323" s="11"/>
      <c r="BT323" s="11"/>
      <c r="BU323" s="11"/>
    </row>
    <row r="324" ht="15.75" customHeight="1">
      <c r="BQ324" s="11"/>
      <c r="BR324" s="11"/>
      <c r="BS324" s="11"/>
      <c r="BT324" s="11"/>
      <c r="BU324" s="11"/>
    </row>
    <row r="325" ht="15.75" customHeight="1">
      <c r="BQ325" s="11"/>
      <c r="BR325" s="11"/>
      <c r="BS325" s="11"/>
      <c r="BT325" s="11"/>
      <c r="BU325" s="11"/>
    </row>
    <row r="326" ht="15.75" customHeight="1">
      <c r="BQ326" s="11"/>
      <c r="BR326" s="11"/>
      <c r="BS326" s="11"/>
      <c r="BT326" s="11"/>
      <c r="BU326" s="11"/>
    </row>
    <row r="327" ht="15.75" customHeight="1">
      <c r="BQ327" s="11"/>
      <c r="BR327" s="11"/>
      <c r="BS327" s="11"/>
      <c r="BT327" s="11"/>
      <c r="BU327" s="11"/>
    </row>
    <row r="328" ht="15.75" customHeight="1">
      <c r="BQ328" s="11"/>
      <c r="BR328" s="11"/>
      <c r="BS328" s="11"/>
      <c r="BT328" s="11"/>
      <c r="BU328" s="11"/>
    </row>
    <row r="329" ht="15.75" customHeight="1">
      <c r="BQ329" s="11"/>
      <c r="BR329" s="11"/>
      <c r="BS329" s="11"/>
      <c r="BT329" s="11"/>
      <c r="BU329" s="11"/>
    </row>
    <row r="330" ht="15.75" customHeight="1">
      <c r="BQ330" s="11"/>
      <c r="BR330" s="11"/>
      <c r="BS330" s="11"/>
      <c r="BT330" s="11"/>
      <c r="BU330" s="11"/>
    </row>
    <row r="331" ht="15.75" customHeight="1">
      <c r="BQ331" s="11"/>
      <c r="BR331" s="11"/>
      <c r="BS331" s="11"/>
      <c r="BT331" s="11"/>
      <c r="BU331" s="11"/>
    </row>
    <row r="332" ht="15.75" customHeight="1">
      <c r="BQ332" s="11"/>
      <c r="BR332" s="11"/>
      <c r="BS332" s="11"/>
      <c r="BT332" s="11"/>
      <c r="BU332" s="11"/>
    </row>
    <row r="333" ht="15.75" customHeight="1">
      <c r="BQ333" s="11"/>
      <c r="BR333" s="11"/>
      <c r="BS333" s="11"/>
      <c r="BT333" s="11"/>
      <c r="BU333" s="11"/>
    </row>
    <row r="334" ht="15.75" customHeight="1">
      <c r="BQ334" s="11"/>
      <c r="BR334" s="11"/>
      <c r="BS334" s="11"/>
      <c r="BT334" s="11"/>
      <c r="BU334" s="11"/>
    </row>
    <row r="335" ht="15.75" customHeight="1">
      <c r="BQ335" s="11"/>
      <c r="BR335" s="11"/>
      <c r="BS335" s="11"/>
      <c r="BT335" s="11"/>
      <c r="BU335" s="11"/>
    </row>
    <row r="336" ht="15.75" customHeight="1">
      <c r="BQ336" s="11"/>
      <c r="BR336" s="11"/>
      <c r="BS336" s="11"/>
      <c r="BT336" s="11"/>
      <c r="BU336" s="11"/>
    </row>
    <row r="337" ht="15.75" customHeight="1">
      <c r="BQ337" s="11"/>
      <c r="BR337" s="11"/>
      <c r="BS337" s="11"/>
      <c r="BT337" s="11"/>
      <c r="BU337" s="11"/>
    </row>
    <row r="338" ht="15.75" customHeight="1">
      <c r="BQ338" s="11"/>
      <c r="BR338" s="11"/>
      <c r="BS338" s="11"/>
      <c r="BT338" s="11"/>
      <c r="BU338" s="11"/>
    </row>
    <row r="339" ht="15.75" customHeight="1">
      <c r="BQ339" s="11"/>
      <c r="BR339" s="11"/>
      <c r="BS339" s="11"/>
      <c r="BT339" s="11"/>
      <c r="BU339" s="11"/>
    </row>
    <row r="340" ht="15.75" customHeight="1">
      <c r="BQ340" s="11"/>
      <c r="BR340" s="11"/>
      <c r="BS340" s="11"/>
      <c r="BT340" s="11"/>
      <c r="BU340" s="11"/>
    </row>
    <row r="341" ht="15.75" customHeight="1">
      <c r="BQ341" s="11"/>
      <c r="BR341" s="11"/>
      <c r="BS341" s="11"/>
      <c r="BT341" s="11"/>
      <c r="BU341" s="11"/>
    </row>
    <row r="342" ht="15.75" customHeight="1">
      <c r="BQ342" s="11"/>
      <c r="BR342" s="11"/>
      <c r="BS342" s="11"/>
      <c r="BT342" s="11"/>
      <c r="BU342" s="11"/>
    </row>
    <row r="343" ht="15.75" customHeight="1">
      <c r="BQ343" s="11"/>
      <c r="BR343" s="11"/>
      <c r="BS343" s="11"/>
      <c r="BT343" s="11"/>
      <c r="BU343" s="11"/>
    </row>
    <row r="344" ht="15.75" customHeight="1">
      <c r="BQ344" s="11"/>
      <c r="BR344" s="11"/>
      <c r="BS344" s="11"/>
      <c r="BT344" s="11"/>
      <c r="BU344" s="11"/>
    </row>
    <row r="345" ht="15.75" customHeight="1">
      <c r="BQ345" s="11"/>
      <c r="BR345" s="11"/>
      <c r="BS345" s="11"/>
      <c r="BT345" s="11"/>
      <c r="BU345" s="11"/>
    </row>
    <row r="346" ht="15.75" customHeight="1">
      <c r="BQ346" s="11"/>
      <c r="BR346" s="11"/>
      <c r="BS346" s="11"/>
      <c r="BT346" s="11"/>
      <c r="BU346" s="11"/>
    </row>
    <row r="347" ht="15.75" customHeight="1">
      <c r="BQ347" s="11"/>
      <c r="BR347" s="11"/>
      <c r="BS347" s="11"/>
      <c r="BT347" s="11"/>
      <c r="BU347" s="11"/>
    </row>
    <row r="348" ht="15.75" customHeight="1">
      <c r="BQ348" s="11"/>
      <c r="BR348" s="11"/>
      <c r="BS348" s="11"/>
      <c r="BT348" s="11"/>
      <c r="BU348" s="11"/>
    </row>
    <row r="349" ht="15.75" customHeight="1">
      <c r="BQ349" s="11"/>
      <c r="BR349" s="11"/>
      <c r="BS349" s="11"/>
      <c r="BT349" s="11"/>
      <c r="BU349" s="11"/>
    </row>
    <row r="350" ht="15.75" customHeight="1">
      <c r="BQ350" s="11"/>
      <c r="BR350" s="11"/>
      <c r="BS350" s="11"/>
      <c r="BT350" s="11"/>
      <c r="BU350" s="11"/>
    </row>
    <row r="351" ht="15.75" customHeight="1">
      <c r="BQ351" s="11"/>
      <c r="BR351" s="11"/>
      <c r="BS351" s="11"/>
      <c r="BT351" s="11"/>
      <c r="BU351" s="11"/>
    </row>
    <row r="352" ht="15.75" customHeight="1">
      <c r="BQ352" s="11"/>
      <c r="BR352" s="11"/>
      <c r="BS352" s="11"/>
      <c r="BT352" s="11"/>
      <c r="BU352" s="11"/>
    </row>
    <row r="353" ht="15.75" customHeight="1">
      <c r="BQ353" s="11"/>
      <c r="BR353" s="11"/>
      <c r="BS353" s="11"/>
      <c r="BT353" s="11"/>
      <c r="BU353" s="11"/>
    </row>
    <row r="354" ht="15.75" customHeight="1">
      <c r="BQ354" s="11"/>
      <c r="BR354" s="11"/>
      <c r="BS354" s="11"/>
      <c r="BT354" s="11"/>
      <c r="BU354" s="11"/>
    </row>
    <row r="355" ht="15.75" customHeight="1">
      <c r="BQ355" s="11"/>
      <c r="BR355" s="11"/>
      <c r="BS355" s="11"/>
      <c r="BT355" s="11"/>
      <c r="BU355" s="11"/>
    </row>
    <row r="356" ht="15.75" customHeight="1">
      <c r="BQ356" s="11"/>
      <c r="BR356" s="11"/>
      <c r="BS356" s="11"/>
      <c r="BT356" s="11"/>
      <c r="BU356" s="11"/>
    </row>
    <row r="357" ht="15.75" customHeight="1">
      <c r="BQ357" s="11"/>
      <c r="BR357" s="11"/>
      <c r="BS357" s="11"/>
      <c r="BT357" s="11"/>
      <c r="BU357" s="11"/>
    </row>
    <row r="358" ht="15.75" customHeight="1">
      <c r="BQ358" s="11"/>
      <c r="BR358" s="11"/>
      <c r="BS358" s="11"/>
      <c r="BT358" s="11"/>
      <c r="BU358" s="11"/>
    </row>
    <row r="359" ht="15.75" customHeight="1">
      <c r="BQ359" s="11"/>
      <c r="BR359" s="11"/>
      <c r="BS359" s="11"/>
      <c r="BT359" s="11"/>
      <c r="BU359" s="11"/>
    </row>
    <row r="360" ht="15.75" customHeight="1">
      <c r="BQ360" s="11"/>
      <c r="BR360" s="11"/>
      <c r="BS360" s="11"/>
      <c r="BT360" s="11"/>
      <c r="BU360" s="11"/>
    </row>
    <row r="361" ht="15.75" customHeight="1">
      <c r="BQ361" s="11"/>
      <c r="BR361" s="11"/>
      <c r="BS361" s="11"/>
      <c r="BT361" s="11"/>
      <c r="BU361" s="11"/>
    </row>
    <row r="362" ht="15.75" customHeight="1">
      <c r="BQ362" s="11"/>
      <c r="BR362" s="11"/>
      <c r="BS362" s="11"/>
      <c r="BT362" s="11"/>
      <c r="BU362" s="11"/>
    </row>
    <row r="363" ht="15.75" customHeight="1">
      <c r="BQ363" s="11"/>
      <c r="BR363" s="11"/>
      <c r="BS363" s="11"/>
      <c r="BT363" s="11"/>
      <c r="BU363" s="11"/>
    </row>
    <row r="364" ht="15.75" customHeight="1">
      <c r="BQ364" s="11"/>
      <c r="BR364" s="11"/>
      <c r="BS364" s="11"/>
      <c r="BT364" s="11"/>
      <c r="BU364" s="11"/>
    </row>
    <row r="365" ht="15.75" customHeight="1">
      <c r="BQ365" s="11"/>
      <c r="BR365" s="11"/>
      <c r="BS365" s="11"/>
      <c r="BT365" s="11"/>
      <c r="BU365" s="11"/>
    </row>
    <row r="366" ht="15.75" customHeight="1">
      <c r="BQ366" s="11"/>
      <c r="BR366" s="11"/>
      <c r="BS366" s="11"/>
      <c r="BT366" s="11"/>
      <c r="BU366" s="11"/>
    </row>
    <row r="367" ht="15.75" customHeight="1">
      <c r="BQ367" s="11"/>
      <c r="BR367" s="11"/>
      <c r="BS367" s="11"/>
      <c r="BT367" s="11"/>
      <c r="BU367" s="11"/>
    </row>
    <row r="368" ht="15.75" customHeight="1">
      <c r="BQ368" s="11"/>
      <c r="BR368" s="11"/>
      <c r="BS368" s="11"/>
      <c r="BT368" s="11"/>
      <c r="BU368" s="11"/>
    </row>
    <row r="369" ht="15.75" customHeight="1">
      <c r="BQ369" s="11"/>
      <c r="BR369" s="11"/>
      <c r="BS369" s="11"/>
      <c r="BT369" s="11"/>
      <c r="BU369" s="11"/>
    </row>
    <row r="370" ht="15.75" customHeight="1">
      <c r="BQ370" s="11"/>
      <c r="BR370" s="11"/>
      <c r="BS370" s="11"/>
      <c r="BT370" s="11"/>
      <c r="BU370" s="11"/>
    </row>
    <row r="371" ht="15.75" customHeight="1">
      <c r="BQ371" s="11"/>
      <c r="BR371" s="11"/>
      <c r="BS371" s="11"/>
      <c r="BT371" s="11"/>
      <c r="BU371" s="11"/>
    </row>
    <row r="372" ht="15.75" customHeight="1">
      <c r="BQ372" s="11"/>
      <c r="BR372" s="11"/>
      <c r="BS372" s="11"/>
      <c r="BT372" s="11"/>
      <c r="BU372" s="11"/>
    </row>
    <row r="373" ht="15.75" customHeight="1">
      <c r="BQ373" s="11"/>
      <c r="BR373" s="11"/>
      <c r="BS373" s="11"/>
      <c r="BT373" s="11"/>
      <c r="BU373" s="11"/>
    </row>
    <row r="374" ht="15.75" customHeight="1">
      <c r="BQ374" s="11"/>
      <c r="BR374" s="11"/>
      <c r="BS374" s="11"/>
      <c r="BT374" s="11"/>
      <c r="BU374" s="11"/>
    </row>
    <row r="375" ht="15.75" customHeight="1">
      <c r="BQ375" s="11"/>
      <c r="BR375" s="11"/>
      <c r="BS375" s="11"/>
      <c r="BT375" s="11"/>
      <c r="BU375" s="11"/>
    </row>
    <row r="376" ht="15.75" customHeight="1">
      <c r="BQ376" s="11"/>
      <c r="BR376" s="11"/>
      <c r="BS376" s="11"/>
      <c r="BT376" s="11"/>
      <c r="BU376" s="11"/>
    </row>
    <row r="377" ht="15.75" customHeight="1">
      <c r="BQ377" s="11"/>
      <c r="BR377" s="11"/>
      <c r="BS377" s="11"/>
      <c r="BT377" s="11"/>
      <c r="BU377" s="11"/>
    </row>
    <row r="378" ht="15.75" customHeight="1">
      <c r="BQ378" s="11"/>
      <c r="BR378" s="11"/>
      <c r="BS378" s="11"/>
      <c r="BT378" s="11"/>
      <c r="BU378" s="11"/>
    </row>
    <row r="379" ht="15.75" customHeight="1">
      <c r="BQ379" s="11"/>
      <c r="BR379" s="11"/>
      <c r="BS379" s="11"/>
      <c r="BT379" s="11"/>
      <c r="BU379" s="11"/>
    </row>
    <row r="380" ht="15.75" customHeight="1">
      <c r="BQ380" s="11"/>
      <c r="BR380" s="11"/>
      <c r="BS380" s="11"/>
      <c r="BT380" s="11"/>
      <c r="BU380" s="11"/>
    </row>
    <row r="381" ht="15.75" customHeight="1">
      <c r="BQ381" s="11"/>
      <c r="BR381" s="11"/>
      <c r="BS381" s="11"/>
      <c r="BT381" s="11"/>
      <c r="BU381" s="11"/>
    </row>
    <row r="382" ht="15.75" customHeight="1">
      <c r="BQ382" s="11"/>
      <c r="BR382" s="11"/>
      <c r="BS382" s="11"/>
      <c r="BT382" s="11"/>
      <c r="BU382" s="11"/>
    </row>
    <row r="383" ht="15.75" customHeight="1">
      <c r="BQ383" s="11"/>
      <c r="BR383" s="11"/>
      <c r="BS383" s="11"/>
      <c r="BT383" s="11"/>
      <c r="BU383" s="11"/>
    </row>
    <row r="384" ht="15.75" customHeight="1">
      <c r="BQ384" s="11"/>
      <c r="BR384" s="11"/>
      <c r="BS384" s="11"/>
      <c r="BT384" s="11"/>
      <c r="BU384" s="11"/>
    </row>
    <row r="385" ht="15.75" customHeight="1">
      <c r="BQ385" s="11"/>
      <c r="BR385" s="11"/>
      <c r="BS385" s="11"/>
      <c r="BT385" s="11"/>
      <c r="BU385" s="11"/>
    </row>
    <row r="386" ht="15.75" customHeight="1">
      <c r="BQ386" s="11"/>
      <c r="BR386" s="11"/>
      <c r="BS386" s="11"/>
      <c r="BT386" s="11"/>
      <c r="BU386" s="11"/>
    </row>
    <row r="387" ht="15.75" customHeight="1">
      <c r="BQ387" s="11"/>
      <c r="BR387" s="11"/>
      <c r="BS387" s="11"/>
      <c r="BT387" s="11"/>
      <c r="BU387" s="11"/>
    </row>
    <row r="388" ht="15.75" customHeight="1">
      <c r="BQ388" s="11"/>
      <c r="BR388" s="11"/>
      <c r="BS388" s="11"/>
      <c r="BT388" s="11"/>
      <c r="BU388" s="11"/>
    </row>
    <row r="389" ht="15.75" customHeight="1">
      <c r="BQ389" s="11"/>
      <c r="BR389" s="11"/>
      <c r="BS389" s="11"/>
      <c r="BT389" s="11"/>
      <c r="BU389" s="11"/>
    </row>
    <row r="390" ht="15.75" customHeight="1">
      <c r="BQ390" s="11"/>
      <c r="BR390" s="11"/>
      <c r="BS390" s="11"/>
      <c r="BT390" s="11"/>
      <c r="BU390" s="11"/>
    </row>
    <row r="391" ht="15.75" customHeight="1">
      <c r="BQ391" s="11"/>
      <c r="BR391" s="11"/>
      <c r="BS391" s="11"/>
      <c r="BT391" s="11"/>
      <c r="BU391" s="11"/>
    </row>
    <row r="392" ht="15.75" customHeight="1">
      <c r="BQ392" s="11"/>
      <c r="BR392" s="11"/>
      <c r="BS392" s="11"/>
      <c r="BT392" s="11"/>
      <c r="BU392" s="11"/>
    </row>
    <row r="393" ht="15.75" customHeight="1">
      <c r="BQ393" s="11"/>
      <c r="BR393" s="11"/>
      <c r="BS393" s="11"/>
      <c r="BT393" s="11"/>
      <c r="BU393" s="11"/>
    </row>
    <row r="394" ht="15.75" customHeight="1">
      <c r="BQ394" s="11"/>
      <c r="BR394" s="11"/>
      <c r="BS394" s="11"/>
      <c r="BT394" s="11"/>
      <c r="BU394" s="11"/>
    </row>
    <row r="395" ht="15.75" customHeight="1">
      <c r="BQ395" s="11"/>
      <c r="BR395" s="11"/>
      <c r="BS395" s="11"/>
      <c r="BT395" s="11"/>
      <c r="BU395" s="11"/>
    </row>
    <row r="396" ht="15.75" customHeight="1">
      <c r="BQ396" s="11"/>
      <c r="BR396" s="11"/>
      <c r="BS396" s="11"/>
      <c r="BT396" s="11"/>
      <c r="BU396" s="11"/>
    </row>
    <row r="397" ht="15.75" customHeight="1">
      <c r="BQ397" s="11"/>
      <c r="BR397" s="11"/>
      <c r="BS397" s="11"/>
      <c r="BT397" s="11"/>
      <c r="BU397" s="11"/>
    </row>
    <row r="398" ht="15.75" customHeight="1">
      <c r="BQ398" s="11"/>
      <c r="BR398" s="11"/>
      <c r="BS398" s="11"/>
      <c r="BT398" s="11"/>
      <c r="BU398" s="11"/>
    </row>
    <row r="399" ht="15.75" customHeight="1">
      <c r="BQ399" s="11"/>
      <c r="BR399" s="11"/>
      <c r="BS399" s="11"/>
      <c r="BT399" s="11"/>
      <c r="BU399" s="11"/>
    </row>
    <row r="400" ht="15.75" customHeight="1">
      <c r="BQ400" s="11"/>
      <c r="BR400" s="11"/>
      <c r="BS400" s="11"/>
      <c r="BT400" s="11"/>
      <c r="BU400" s="11"/>
    </row>
    <row r="401" ht="15.75" customHeight="1">
      <c r="BQ401" s="11"/>
      <c r="BR401" s="11"/>
      <c r="BS401" s="11"/>
      <c r="BT401" s="11"/>
      <c r="BU401" s="11"/>
    </row>
    <row r="402" ht="15.75" customHeight="1">
      <c r="BQ402" s="11"/>
      <c r="BR402" s="11"/>
      <c r="BS402" s="11"/>
      <c r="BT402" s="11"/>
      <c r="BU402" s="11"/>
    </row>
    <row r="403" ht="15.75" customHeight="1">
      <c r="BQ403" s="11"/>
      <c r="BR403" s="11"/>
      <c r="BS403" s="11"/>
      <c r="BT403" s="11"/>
      <c r="BU403" s="11"/>
    </row>
    <row r="404" ht="15.75" customHeight="1">
      <c r="BQ404" s="11"/>
      <c r="BR404" s="11"/>
      <c r="BS404" s="11"/>
      <c r="BT404" s="11"/>
      <c r="BU404" s="11"/>
    </row>
    <row r="405" ht="15.75" customHeight="1">
      <c r="BQ405" s="11"/>
      <c r="BR405" s="11"/>
      <c r="BS405" s="11"/>
      <c r="BT405" s="11"/>
      <c r="BU405" s="11"/>
    </row>
    <row r="406" ht="15.75" customHeight="1">
      <c r="BQ406" s="11"/>
      <c r="BR406" s="11"/>
      <c r="BS406" s="11"/>
      <c r="BT406" s="11"/>
      <c r="BU406" s="11"/>
    </row>
    <row r="407" ht="15.75" customHeight="1">
      <c r="BQ407" s="11"/>
      <c r="BR407" s="11"/>
      <c r="BS407" s="11"/>
      <c r="BT407" s="11"/>
      <c r="BU407" s="11"/>
    </row>
    <row r="408" ht="15.75" customHeight="1">
      <c r="BQ408" s="11"/>
      <c r="BR408" s="11"/>
      <c r="BS408" s="11"/>
      <c r="BT408" s="11"/>
      <c r="BU408" s="11"/>
    </row>
    <row r="409" ht="15.75" customHeight="1">
      <c r="BQ409" s="11"/>
      <c r="BR409" s="11"/>
      <c r="BS409" s="11"/>
      <c r="BT409" s="11"/>
      <c r="BU409" s="11"/>
    </row>
    <row r="410" ht="15.75" customHeight="1">
      <c r="BQ410" s="11"/>
      <c r="BR410" s="11"/>
      <c r="BS410" s="11"/>
      <c r="BT410" s="11"/>
      <c r="BU410" s="11"/>
    </row>
    <row r="411" ht="15.75" customHeight="1">
      <c r="BQ411" s="11"/>
      <c r="BR411" s="11"/>
      <c r="BS411" s="11"/>
      <c r="BT411" s="11"/>
      <c r="BU411" s="11"/>
    </row>
    <row r="412" ht="15.75" customHeight="1">
      <c r="BQ412" s="11"/>
      <c r="BR412" s="11"/>
      <c r="BS412" s="11"/>
      <c r="BT412" s="11"/>
      <c r="BU412" s="11"/>
    </row>
    <row r="413" ht="15.75" customHeight="1">
      <c r="BQ413" s="11"/>
      <c r="BR413" s="11"/>
      <c r="BS413" s="11"/>
      <c r="BT413" s="11"/>
      <c r="BU413" s="11"/>
    </row>
    <row r="414" ht="15.75" customHeight="1">
      <c r="BQ414" s="11"/>
      <c r="BR414" s="11"/>
      <c r="BS414" s="11"/>
      <c r="BT414" s="11"/>
      <c r="BU414" s="11"/>
    </row>
    <row r="415" ht="15.75" customHeight="1">
      <c r="BQ415" s="11"/>
      <c r="BR415" s="11"/>
      <c r="BS415" s="11"/>
      <c r="BT415" s="11"/>
      <c r="BU415" s="11"/>
    </row>
    <row r="416" ht="15.75" customHeight="1">
      <c r="BQ416" s="11"/>
      <c r="BR416" s="11"/>
      <c r="BS416" s="11"/>
      <c r="BT416" s="11"/>
      <c r="BU416" s="11"/>
    </row>
    <row r="417" ht="15.75" customHeight="1">
      <c r="BQ417" s="11"/>
      <c r="BR417" s="11"/>
      <c r="BS417" s="11"/>
      <c r="BT417" s="11"/>
      <c r="BU417" s="11"/>
    </row>
    <row r="418" ht="15.75" customHeight="1">
      <c r="BQ418" s="11"/>
      <c r="BR418" s="11"/>
      <c r="BS418" s="11"/>
      <c r="BT418" s="11"/>
      <c r="BU418" s="11"/>
    </row>
    <row r="419" ht="15.75" customHeight="1">
      <c r="BQ419" s="11"/>
      <c r="BR419" s="11"/>
      <c r="BS419" s="11"/>
      <c r="BT419" s="11"/>
      <c r="BU419" s="11"/>
    </row>
    <row r="420" ht="15.75" customHeight="1">
      <c r="BQ420" s="11"/>
      <c r="BR420" s="11"/>
      <c r="BS420" s="11"/>
      <c r="BT420" s="11"/>
      <c r="BU420" s="11"/>
    </row>
    <row r="421" ht="15.75" customHeight="1">
      <c r="BQ421" s="11"/>
      <c r="BR421" s="11"/>
      <c r="BS421" s="11"/>
      <c r="BT421" s="11"/>
      <c r="BU421" s="11"/>
    </row>
    <row r="422" ht="15.75" customHeight="1">
      <c r="BQ422" s="11"/>
      <c r="BR422" s="11"/>
      <c r="BS422" s="11"/>
      <c r="BT422" s="11"/>
      <c r="BU422" s="11"/>
    </row>
    <row r="423" ht="15.75" customHeight="1">
      <c r="BQ423" s="11"/>
      <c r="BR423" s="11"/>
      <c r="BS423" s="11"/>
      <c r="BT423" s="11"/>
      <c r="BU423" s="11"/>
    </row>
    <row r="424" ht="15.75" customHeight="1">
      <c r="BQ424" s="11"/>
      <c r="BR424" s="11"/>
      <c r="BS424" s="11"/>
      <c r="BT424" s="11"/>
      <c r="BU424" s="11"/>
    </row>
    <row r="425" ht="15.75" customHeight="1">
      <c r="BQ425" s="11"/>
      <c r="BR425" s="11"/>
      <c r="BS425" s="11"/>
      <c r="BT425" s="11"/>
      <c r="BU425" s="11"/>
    </row>
    <row r="426" ht="15.75" customHeight="1">
      <c r="BQ426" s="11"/>
      <c r="BR426" s="11"/>
      <c r="BS426" s="11"/>
      <c r="BT426" s="11"/>
      <c r="BU426" s="11"/>
    </row>
    <row r="427" ht="15.75" customHeight="1">
      <c r="BQ427" s="11"/>
      <c r="BR427" s="11"/>
      <c r="BS427" s="11"/>
      <c r="BT427" s="11"/>
      <c r="BU427" s="11"/>
    </row>
    <row r="428" ht="15.75" customHeight="1">
      <c r="BQ428" s="11"/>
      <c r="BR428" s="11"/>
      <c r="BS428" s="11"/>
      <c r="BT428" s="11"/>
      <c r="BU428" s="11"/>
    </row>
    <row r="429" ht="15.75" customHeight="1">
      <c r="BQ429" s="11"/>
      <c r="BR429" s="11"/>
      <c r="BS429" s="11"/>
      <c r="BT429" s="11"/>
      <c r="BU429" s="11"/>
    </row>
    <row r="430" ht="15.75" customHeight="1">
      <c r="BQ430" s="11"/>
      <c r="BR430" s="11"/>
      <c r="BS430" s="11"/>
      <c r="BT430" s="11"/>
      <c r="BU430" s="11"/>
    </row>
    <row r="431" ht="15.75" customHeight="1">
      <c r="BQ431" s="11"/>
      <c r="BR431" s="11"/>
      <c r="BS431" s="11"/>
      <c r="BT431" s="11"/>
      <c r="BU431" s="11"/>
    </row>
    <row r="432" ht="15.75" customHeight="1">
      <c r="BQ432" s="11"/>
      <c r="BR432" s="11"/>
      <c r="BS432" s="11"/>
      <c r="BT432" s="11"/>
      <c r="BU432" s="11"/>
    </row>
    <row r="433" ht="15.75" customHeight="1">
      <c r="BQ433" s="11"/>
      <c r="BR433" s="11"/>
      <c r="BS433" s="11"/>
      <c r="BT433" s="11"/>
      <c r="BU433" s="11"/>
    </row>
    <row r="434" ht="15.75" customHeight="1">
      <c r="BQ434" s="11"/>
      <c r="BR434" s="11"/>
      <c r="BS434" s="11"/>
      <c r="BT434" s="11"/>
      <c r="BU434" s="11"/>
    </row>
    <row r="435" ht="15.75" customHeight="1">
      <c r="BQ435" s="11"/>
      <c r="BR435" s="11"/>
      <c r="BS435" s="11"/>
      <c r="BT435" s="11"/>
      <c r="BU435" s="11"/>
    </row>
    <row r="436" ht="15.75" customHeight="1">
      <c r="BQ436" s="11"/>
      <c r="BR436" s="11"/>
      <c r="BS436" s="11"/>
      <c r="BT436" s="11"/>
      <c r="BU436" s="11"/>
    </row>
    <row r="437" ht="15.75" customHeight="1">
      <c r="BQ437" s="11"/>
      <c r="BR437" s="11"/>
      <c r="BS437" s="11"/>
      <c r="BT437" s="11"/>
      <c r="BU437" s="11"/>
    </row>
    <row r="438" ht="15.75" customHeight="1">
      <c r="BQ438" s="11"/>
      <c r="BR438" s="11"/>
      <c r="BS438" s="11"/>
      <c r="BT438" s="11"/>
      <c r="BU438" s="11"/>
    </row>
    <row r="439" ht="15.75" customHeight="1">
      <c r="BQ439" s="11"/>
      <c r="BR439" s="11"/>
      <c r="BS439" s="11"/>
      <c r="BT439" s="11"/>
      <c r="BU439" s="11"/>
    </row>
    <row r="440" ht="15.75" customHeight="1">
      <c r="BQ440" s="11"/>
      <c r="BR440" s="11"/>
      <c r="BS440" s="11"/>
      <c r="BT440" s="11"/>
      <c r="BU440" s="11"/>
    </row>
    <row r="441" ht="15.75" customHeight="1">
      <c r="BQ441" s="11"/>
      <c r="BR441" s="11"/>
      <c r="BS441" s="11"/>
      <c r="BT441" s="11"/>
      <c r="BU441" s="11"/>
    </row>
    <row r="442" ht="15.75" customHeight="1">
      <c r="BQ442" s="11"/>
      <c r="BR442" s="11"/>
      <c r="BS442" s="11"/>
      <c r="BT442" s="11"/>
      <c r="BU442" s="11"/>
    </row>
    <row r="443" ht="15.75" customHeight="1">
      <c r="BQ443" s="11"/>
      <c r="BR443" s="11"/>
      <c r="BS443" s="11"/>
      <c r="BT443" s="11"/>
      <c r="BU443" s="11"/>
    </row>
    <row r="444" ht="15.75" customHeight="1">
      <c r="BQ444" s="11"/>
      <c r="BR444" s="11"/>
      <c r="BS444" s="11"/>
      <c r="BT444" s="11"/>
      <c r="BU444" s="11"/>
    </row>
    <row r="445" ht="15.75" customHeight="1">
      <c r="BQ445" s="11"/>
      <c r="BR445" s="11"/>
      <c r="BS445" s="11"/>
      <c r="BT445" s="11"/>
      <c r="BU445" s="11"/>
    </row>
    <row r="446" ht="15.75" customHeight="1">
      <c r="BQ446" s="11"/>
      <c r="BR446" s="11"/>
      <c r="BS446" s="11"/>
      <c r="BT446" s="11"/>
      <c r="BU446" s="11"/>
    </row>
    <row r="447" ht="15.75" customHeight="1">
      <c r="BQ447" s="11"/>
      <c r="BR447" s="11"/>
      <c r="BS447" s="11"/>
      <c r="BT447" s="11"/>
      <c r="BU447" s="11"/>
    </row>
    <row r="448" ht="15.75" customHeight="1">
      <c r="BQ448" s="11"/>
      <c r="BR448" s="11"/>
      <c r="BS448" s="11"/>
      <c r="BT448" s="11"/>
      <c r="BU448" s="11"/>
    </row>
    <row r="449" ht="15.75" customHeight="1">
      <c r="BQ449" s="11"/>
      <c r="BR449" s="11"/>
      <c r="BS449" s="11"/>
      <c r="BT449" s="11"/>
      <c r="BU449" s="11"/>
    </row>
    <row r="450" ht="15.75" customHeight="1">
      <c r="BQ450" s="11"/>
      <c r="BR450" s="11"/>
      <c r="BS450" s="11"/>
      <c r="BT450" s="11"/>
      <c r="BU450" s="11"/>
    </row>
    <row r="451" ht="15.75" customHeight="1">
      <c r="BQ451" s="11"/>
      <c r="BR451" s="11"/>
      <c r="BS451" s="11"/>
      <c r="BT451" s="11"/>
      <c r="BU451" s="11"/>
    </row>
    <row r="452" ht="15.75" customHeight="1">
      <c r="BQ452" s="11"/>
      <c r="BR452" s="11"/>
      <c r="BS452" s="11"/>
      <c r="BT452" s="11"/>
      <c r="BU452" s="11"/>
    </row>
    <row r="453" ht="15.75" customHeight="1">
      <c r="BQ453" s="11"/>
      <c r="BR453" s="11"/>
      <c r="BS453" s="11"/>
      <c r="BT453" s="11"/>
      <c r="BU453" s="11"/>
    </row>
    <row r="454" ht="15.75" customHeight="1">
      <c r="BQ454" s="11"/>
      <c r="BR454" s="11"/>
      <c r="BS454" s="11"/>
      <c r="BT454" s="11"/>
      <c r="BU454" s="11"/>
    </row>
    <row r="455" ht="15.75" customHeight="1">
      <c r="BQ455" s="11"/>
      <c r="BR455" s="11"/>
      <c r="BS455" s="11"/>
      <c r="BT455" s="11"/>
      <c r="BU455" s="11"/>
    </row>
    <row r="456" ht="15.75" customHeight="1">
      <c r="BQ456" s="11"/>
      <c r="BR456" s="11"/>
      <c r="BS456" s="11"/>
      <c r="BT456" s="11"/>
      <c r="BU456" s="11"/>
    </row>
    <row r="457" ht="15.75" customHeight="1">
      <c r="BQ457" s="11"/>
      <c r="BR457" s="11"/>
      <c r="BS457" s="11"/>
      <c r="BT457" s="11"/>
      <c r="BU457" s="11"/>
    </row>
    <row r="458" ht="15.75" customHeight="1">
      <c r="BQ458" s="11"/>
      <c r="BR458" s="11"/>
      <c r="BS458" s="11"/>
      <c r="BT458" s="11"/>
      <c r="BU458" s="11"/>
    </row>
    <row r="459" ht="15.75" customHeight="1">
      <c r="BQ459" s="11"/>
      <c r="BR459" s="11"/>
      <c r="BS459" s="11"/>
      <c r="BT459" s="11"/>
      <c r="BU459" s="11"/>
    </row>
    <row r="460" ht="15.75" customHeight="1">
      <c r="BQ460" s="11"/>
      <c r="BR460" s="11"/>
      <c r="BS460" s="11"/>
      <c r="BT460" s="11"/>
      <c r="BU460" s="11"/>
    </row>
    <row r="461" ht="15.75" customHeight="1">
      <c r="BQ461" s="11"/>
      <c r="BR461" s="11"/>
      <c r="BS461" s="11"/>
      <c r="BT461" s="11"/>
      <c r="BU461" s="11"/>
    </row>
    <row r="462" ht="15.75" customHeight="1">
      <c r="BQ462" s="11"/>
      <c r="BR462" s="11"/>
      <c r="BS462" s="11"/>
      <c r="BT462" s="11"/>
      <c r="BU462" s="11"/>
    </row>
    <row r="463" ht="15.75" customHeight="1">
      <c r="BQ463" s="11"/>
      <c r="BR463" s="11"/>
      <c r="BS463" s="11"/>
      <c r="BT463" s="11"/>
      <c r="BU463" s="11"/>
    </row>
    <row r="464" ht="15.75" customHeight="1">
      <c r="BQ464" s="11"/>
      <c r="BR464" s="11"/>
      <c r="BS464" s="11"/>
      <c r="BT464" s="11"/>
      <c r="BU464" s="11"/>
    </row>
    <row r="465" ht="15.75" customHeight="1">
      <c r="BQ465" s="11"/>
      <c r="BR465" s="11"/>
      <c r="BS465" s="11"/>
      <c r="BT465" s="11"/>
      <c r="BU465" s="11"/>
    </row>
    <row r="466" ht="15.75" customHeight="1">
      <c r="BQ466" s="11"/>
      <c r="BR466" s="11"/>
      <c r="BS466" s="11"/>
      <c r="BT466" s="11"/>
      <c r="BU466" s="11"/>
    </row>
    <row r="467" ht="15.75" customHeight="1">
      <c r="BQ467" s="11"/>
      <c r="BR467" s="11"/>
      <c r="BS467" s="11"/>
      <c r="BT467" s="11"/>
      <c r="BU467" s="11"/>
    </row>
    <row r="468" ht="15.75" customHeight="1">
      <c r="BQ468" s="11"/>
      <c r="BR468" s="11"/>
      <c r="BS468" s="11"/>
      <c r="BT468" s="11"/>
      <c r="BU468" s="11"/>
    </row>
    <row r="469" ht="15.75" customHeight="1">
      <c r="BQ469" s="11"/>
      <c r="BR469" s="11"/>
      <c r="BS469" s="11"/>
      <c r="BT469" s="11"/>
      <c r="BU469" s="11"/>
    </row>
    <row r="470" ht="15.75" customHeight="1">
      <c r="BQ470" s="11"/>
      <c r="BR470" s="11"/>
      <c r="BS470" s="11"/>
      <c r="BT470" s="11"/>
      <c r="BU470" s="11"/>
    </row>
    <row r="471" ht="15.75" customHeight="1">
      <c r="BQ471" s="11"/>
      <c r="BR471" s="11"/>
      <c r="BS471" s="11"/>
      <c r="BT471" s="11"/>
      <c r="BU471" s="11"/>
    </row>
    <row r="472" ht="15.75" customHeight="1">
      <c r="BQ472" s="11"/>
      <c r="BR472" s="11"/>
      <c r="BS472" s="11"/>
      <c r="BT472" s="11"/>
      <c r="BU472" s="11"/>
    </row>
    <row r="473" ht="15.75" customHeight="1">
      <c r="BQ473" s="11"/>
      <c r="BR473" s="11"/>
      <c r="BS473" s="11"/>
      <c r="BT473" s="11"/>
      <c r="BU473" s="11"/>
    </row>
    <row r="474" ht="15.75" customHeight="1">
      <c r="BQ474" s="11"/>
      <c r="BR474" s="11"/>
      <c r="BS474" s="11"/>
      <c r="BT474" s="11"/>
      <c r="BU474" s="11"/>
    </row>
    <row r="475" ht="15.75" customHeight="1">
      <c r="BQ475" s="11"/>
      <c r="BR475" s="11"/>
      <c r="BS475" s="11"/>
      <c r="BT475" s="11"/>
      <c r="BU475" s="11"/>
    </row>
    <row r="476" ht="15.75" customHeight="1">
      <c r="BQ476" s="11"/>
      <c r="BR476" s="11"/>
      <c r="BS476" s="11"/>
      <c r="BT476" s="11"/>
      <c r="BU476" s="11"/>
    </row>
    <row r="477" ht="15.75" customHeight="1">
      <c r="BQ477" s="11"/>
      <c r="BR477" s="11"/>
      <c r="BS477" s="11"/>
      <c r="BT477" s="11"/>
      <c r="BU477" s="11"/>
    </row>
    <row r="478" ht="15.75" customHeight="1">
      <c r="BQ478" s="11"/>
      <c r="BR478" s="11"/>
      <c r="BS478" s="11"/>
      <c r="BT478" s="11"/>
      <c r="BU478" s="11"/>
    </row>
    <row r="479" ht="15.75" customHeight="1">
      <c r="BQ479" s="11"/>
      <c r="BR479" s="11"/>
      <c r="BS479" s="11"/>
      <c r="BT479" s="11"/>
      <c r="BU479" s="11"/>
    </row>
    <row r="480" ht="15.75" customHeight="1">
      <c r="BQ480" s="11"/>
      <c r="BR480" s="11"/>
      <c r="BS480" s="11"/>
      <c r="BT480" s="11"/>
      <c r="BU480" s="11"/>
    </row>
    <row r="481" ht="15.75" customHeight="1">
      <c r="BQ481" s="11"/>
      <c r="BR481" s="11"/>
      <c r="BS481" s="11"/>
      <c r="BT481" s="11"/>
      <c r="BU481" s="11"/>
    </row>
    <row r="482" ht="15.75" customHeight="1">
      <c r="BQ482" s="11"/>
      <c r="BR482" s="11"/>
      <c r="BS482" s="11"/>
      <c r="BT482" s="11"/>
      <c r="BU482" s="11"/>
    </row>
    <row r="483" ht="15.75" customHeight="1">
      <c r="BQ483" s="11"/>
      <c r="BR483" s="11"/>
      <c r="BS483" s="11"/>
      <c r="BT483" s="11"/>
      <c r="BU483" s="11"/>
    </row>
    <row r="484" ht="15.75" customHeight="1">
      <c r="BQ484" s="11"/>
      <c r="BR484" s="11"/>
      <c r="BS484" s="11"/>
      <c r="BT484" s="11"/>
      <c r="BU484" s="11"/>
    </row>
    <row r="485" ht="15.75" customHeight="1">
      <c r="BQ485" s="11"/>
      <c r="BR485" s="11"/>
      <c r="BS485" s="11"/>
      <c r="BT485" s="11"/>
      <c r="BU485" s="11"/>
    </row>
    <row r="486" ht="15.75" customHeight="1">
      <c r="BQ486" s="11"/>
      <c r="BR486" s="11"/>
      <c r="BS486" s="11"/>
      <c r="BT486" s="11"/>
      <c r="BU486" s="11"/>
    </row>
    <row r="487" ht="15.75" customHeight="1">
      <c r="BQ487" s="11"/>
      <c r="BR487" s="11"/>
      <c r="BS487" s="11"/>
      <c r="BT487" s="11"/>
      <c r="BU487" s="11"/>
    </row>
    <row r="488" ht="15.75" customHeight="1">
      <c r="BQ488" s="11"/>
      <c r="BR488" s="11"/>
      <c r="BS488" s="11"/>
      <c r="BT488" s="11"/>
      <c r="BU488" s="11"/>
    </row>
    <row r="489" ht="15.75" customHeight="1">
      <c r="BQ489" s="11"/>
      <c r="BR489" s="11"/>
      <c r="BS489" s="11"/>
      <c r="BT489" s="11"/>
      <c r="BU489" s="11"/>
    </row>
    <row r="490" ht="15.75" customHeight="1">
      <c r="BQ490" s="11"/>
      <c r="BR490" s="11"/>
      <c r="BS490" s="11"/>
      <c r="BT490" s="11"/>
      <c r="BU490" s="11"/>
    </row>
    <row r="491" ht="15.75" customHeight="1">
      <c r="BQ491" s="11"/>
      <c r="BR491" s="11"/>
      <c r="BS491" s="11"/>
      <c r="BT491" s="11"/>
      <c r="BU491" s="11"/>
    </row>
    <row r="492" ht="15.75" customHeight="1">
      <c r="BQ492" s="11"/>
      <c r="BR492" s="11"/>
      <c r="BS492" s="11"/>
      <c r="BT492" s="11"/>
      <c r="BU492" s="11"/>
    </row>
    <row r="493" ht="15.75" customHeight="1">
      <c r="BQ493" s="11"/>
      <c r="BR493" s="11"/>
      <c r="BS493" s="11"/>
      <c r="BT493" s="11"/>
      <c r="BU493" s="11"/>
    </row>
    <row r="494" ht="15.75" customHeight="1">
      <c r="BQ494" s="11"/>
      <c r="BR494" s="11"/>
      <c r="BS494" s="11"/>
      <c r="BT494" s="11"/>
      <c r="BU494" s="11"/>
    </row>
    <row r="495" ht="15.75" customHeight="1">
      <c r="BQ495" s="11"/>
      <c r="BR495" s="11"/>
      <c r="BS495" s="11"/>
      <c r="BT495" s="11"/>
      <c r="BU495" s="11"/>
    </row>
    <row r="496" ht="15.75" customHeight="1">
      <c r="BQ496" s="11"/>
      <c r="BR496" s="11"/>
      <c r="BS496" s="11"/>
      <c r="BT496" s="11"/>
      <c r="BU496" s="11"/>
    </row>
    <row r="497" ht="15.75" customHeight="1">
      <c r="BQ497" s="11"/>
      <c r="BR497" s="11"/>
      <c r="BS497" s="11"/>
      <c r="BT497" s="11"/>
      <c r="BU497" s="11"/>
    </row>
    <row r="498" ht="15.75" customHeight="1">
      <c r="BQ498" s="11"/>
      <c r="BR498" s="11"/>
      <c r="BS498" s="11"/>
      <c r="BT498" s="11"/>
      <c r="BU498" s="11"/>
    </row>
    <row r="499" ht="15.75" customHeight="1">
      <c r="BQ499" s="11"/>
      <c r="BR499" s="11"/>
      <c r="BS499" s="11"/>
      <c r="BT499" s="11"/>
      <c r="BU499" s="11"/>
    </row>
    <row r="500" ht="15.75" customHeight="1">
      <c r="BQ500" s="11"/>
      <c r="BR500" s="11"/>
      <c r="BS500" s="11"/>
      <c r="BT500" s="11"/>
      <c r="BU500" s="11"/>
    </row>
    <row r="501" ht="15.75" customHeight="1">
      <c r="BQ501" s="11"/>
      <c r="BR501" s="11"/>
      <c r="BS501" s="11"/>
      <c r="BT501" s="11"/>
      <c r="BU501" s="11"/>
    </row>
    <row r="502" ht="15.75" customHeight="1">
      <c r="BQ502" s="11"/>
      <c r="BR502" s="11"/>
      <c r="BS502" s="11"/>
      <c r="BT502" s="11"/>
      <c r="BU502" s="11"/>
    </row>
    <row r="503" ht="15.75" customHeight="1">
      <c r="BQ503" s="11"/>
      <c r="BR503" s="11"/>
      <c r="BS503" s="11"/>
      <c r="BT503" s="11"/>
      <c r="BU503" s="11"/>
    </row>
    <row r="504" ht="15.75" customHeight="1">
      <c r="BQ504" s="11"/>
      <c r="BR504" s="11"/>
      <c r="BS504" s="11"/>
      <c r="BT504" s="11"/>
      <c r="BU504" s="11"/>
    </row>
    <row r="505" ht="15.75" customHeight="1">
      <c r="BQ505" s="11"/>
      <c r="BR505" s="11"/>
      <c r="BS505" s="11"/>
      <c r="BT505" s="11"/>
      <c r="BU505" s="11"/>
    </row>
    <row r="506" ht="15.75" customHeight="1">
      <c r="BQ506" s="11"/>
      <c r="BR506" s="11"/>
      <c r="BS506" s="11"/>
      <c r="BT506" s="11"/>
      <c r="BU506" s="11"/>
    </row>
    <row r="507" ht="15.75" customHeight="1">
      <c r="BQ507" s="11"/>
      <c r="BR507" s="11"/>
      <c r="BS507" s="11"/>
      <c r="BT507" s="11"/>
      <c r="BU507" s="11"/>
    </row>
    <row r="508" ht="15.75" customHeight="1">
      <c r="BQ508" s="11"/>
      <c r="BR508" s="11"/>
      <c r="BS508" s="11"/>
      <c r="BT508" s="11"/>
      <c r="BU508" s="11"/>
    </row>
    <row r="509" ht="15.75" customHeight="1">
      <c r="BQ509" s="11"/>
      <c r="BR509" s="11"/>
      <c r="BS509" s="11"/>
      <c r="BT509" s="11"/>
      <c r="BU509" s="11"/>
    </row>
    <row r="510" ht="15.75" customHeight="1">
      <c r="BQ510" s="11"/>
      <c r="BR510" s="11"/>
      <c r="BS510" s="11"/>
      <c r="BT510" s="11"/>
      <c r="BU510" s="11"/>
    </row>
    <row r="511" ht="15.75" customHeight="1">
      <c r="BQ511" s="11"/>
      <c r="BR511" s="11"/>
      <c r="BS511" s="11"/>
      <c r="BT511" s="11"/>
      <c r="BU511" s="11"/>
    </row>
    <row r="512" ht="15.75" customHeight="1">
      <c r="BQ512" s="11"/>
      <c r="BR512" s="11"/>
      <c r="BS512" s="11"/>
      <c r="BT512" s="11"/>
      <c r="BU512" s="11"/>
    </row>
    <row r="513" ht="15.75" customHeight="1">
      <c r="BQ513" s="11"/>
      <c r="BR513" s="11"/>
      <c r="BS513" s="11"/>
      <c r="BT513" s="11"/>
      <c r="BU513" s="11"/>
    </row>
    <row r="514" ht="15.75" customHeight="1">
      <c r="BQ514" s="11"/>
      <c r="BR514" s="11"/>
      <c r="BS514" s="11"/>
      <c r="BT514" s="11"/>
      <c r="BU514" s="11"/>
    </row>
    <row r="515" ht="15.75" customHeight="1">
      <c r="BQ515" s="11"/>
      <c r="BR515" s="11"/>
      <c r="BS515" s="11"/>
      <c r="BT515" s="11"/>
      <c r="BU515" s="11"/>
    </row>
    <row r="516" ht="15.75" customHeight="1">
      <c r="BQ516" s="11"/>
      <c r="BR516" s="11"/>
      <c r="BS516" s="11"/>
      <c r="BT516" s="11"/>
      <c r="BU516" s="11"/>
    </row>
    <row r="517" ht="15.75" customHeight="1">
      <c r="BQ517" s="11"/>
      <c r="BR517" s="11"/>
      <c r="BS517" s="11"/>
      <c r="BT517" s="11"/>
      <c r="BU517" s="11"/>
    </row>
    <row r="518" ht="15.75" customHeight="1">
      <c r="BQ518" s="11"/>
      <c r="BR518" s="11"/>
      <c r="BS518" s="11"/>
      <c r="BT518" s="11"/>
      <c r="BU518" s="11"/>
    </row>
    <row r="519" ht="15.75" customHeight="1">
      <c r="BQ519" s="11"/>
      <c r="BR519" s="11"/>
      <c r="BS519" s="11"/>
      <c r="BT519" s="11"/>
      <c r="BU519" s="11"/>
    </row>
    <row r="520" ht="15.75" customHeight="1">
      <c r="BQ520" s="11"/>
      <c r="BR520" s="11"/>
      <c r="BS520" s="11"/>
      <c r="BT520" s="11"/>
      <c r="BU520" s="11"/>
    </row>
    <row r="521" ht="15.75" customHeight="1">
      <c r="BQ521" s="11"/>
      <c r="BR521" s="11"/>
      <c r="BS521" s="11"/>
      <c r="BT521" s="11"/>
      <c r="BU521" s="11"/>
    </row>
    <row r="522" ht="15.75" customHeight="1">
      <c r="BQ522" s="11"/>
      <c r="BR522" s="11"/>
      <c r="BS522" s="11"/>
      <c r="BT522" s="11"/>
      <c r="BU522" s="11"/>
    </row>
    <row r="523" ht="15.75" customHeight="1">
      <c r="BQ523" s="11"/>
      <c r="BR523" s="11"/>
      <c r="BS523" s="11"/>
      <c r="BT523" s="11"/>
      <c r="BU523" s="11"/>
    </row>
    <row r="524" ht="15.75" customHeight="1">
      <c r="BQ524" s="11"/>
      <c r="BR524" s="11"/>
      <c r="BS524" s="11"/>
      <c r="BT524" s="11"/>
      <c r="BU524" s="11"/>
    </row>
    <row r="525" ht="15.75" customHeight="1">
      <c r="BQ525" s="11"/>
      <c r="BR525" s="11"/>
      <c r="BS525" s="11"/>
      <c r="BT525" s="11"/>
      <c r="BU525" s="11"/>
    </row>
    <row r="526" ht="15.75" customHeight="1">
      <c r="BQ526" s="11"/>
      <c r="BR526" s="11"/>
      <c r="BS526" s="11"/>
      <c r="BT526" s="11"/>
      <c r="BU526" s="11"/>
    </row>
    <row r="527" ht="15.75" customHeight="1">
      <c r="BQ527" s="11"/>
      <c r="BR527" s="11"/>
      <c r="BS527" s="11"/>
      <c r="BT527" s="11"/>
      <c r="BU527" s="11"/>
    </row>
    <row r="528" ht="15.75" customHeight="1">
      <c r="BQ528" s="11"/>
      <c r="BR528" s="11"/>
      <c r="BS528" s="11"/>
      <c r="BT528" s="11"/>
      <c r="BU528" s="11"/>
    </row>
    <row r="529" ht="15.75" customHeight="1">
      <c r="BQ529" s="11"/>
      <c r="BR529" s="11"/>
      <c r="BS529" s="11"/>
      <c r="BT529" s="11"/>
      <c r="BU529" s="11"/>
    </row>
    <row r="530" ht="15.75" customHeight="1">
      <c r="BQ530" s="11"/>
      <c r="BR530" s="11"/>
      <c r="BS530" s="11"/>
      <c r="BT530" s="11"/>
      <c r="BU530" s="11"/>
    </row>
    <row r="531" ht="15.75" customHeight="1">
      <c r="BQ531" s="11"/>
      <c r="BR531" s="11"/>
      <c r="BS531" s="11"/>
      <c r="BT531" s="11"/>
      <c r="BU531" s="11"/>
    </row>
    <row r="532" ht="15.75" customHeight="1">
      <c r="BQ532" s="11"/>
      <c r="BR532" s="11"/>
      <c r="BS532" s="11"/>
      <c r="BT532" s="11"/>
      <c r="BU532" s="11"/>
    </row>
    <row r="533" ht="15.75" customHeight="1">
      <c r="BQ533" s="11"/>
      <c r="BR533" s="11"/>
      <c r="BS533" s="11"/>
      <c r="BT533" s="11"/>
      <c r="BU533" s="11"/>
    </row>
    <row r="534" ht="15.75" customHeight="1">
      <c r="BQ534" s="11"/>
      <c r="BR534" s="11"/>
      <c r="BS534" s="11"/>
      <c r="BT534" s="11"/>
      <c r="BU534" s="11"/>
    </row>
    <row r="535" ht="15.75" customHeight="1">
      <c r="BQ535" s="11"/>
      <c r="BR535" s="11"/>
      <c r="BS535" s="11"/>
      <c r="BT535" s="11"/>
      <c r="BU535" s="11"/>
    </row>
    <row r="536" ht="15.75" customHeight="1">
      <c r="BQ536" s="11"/>
      <c r="BR536" s="11"/>
      <c r="BS536" s="11"/>
      <c r="BT536" s="11"/>
      <c r="BU536" s="11"/>
    </row>
    <row r="537" ht="15.75" customHeight="1">
      <c r="BQ537" s="11"/>
      <c r="BR537" s="11"/>
      <c r="BS537" s="11"/>
      <c r="BT537" s="11"/>
      <c r="BU537" s="11"/>
    </row>
    <row r="538" ht="15.75" customHeight="1">
      <c r="BQ538" s="11"/>
      <c r="BR538" s="11"/>
      <c r="BS538" s="11"/>
      <c r="BT538" s="11"/>
      <c r="BU538" s="11"/>
    </row>
    <row r="539" ht="15.75" customHeight="1">
      <c r="BQ539" s="11"/>
      <c r="BR539" s="11"/>
      <c r="BS539" s="11"/>
      <c r="BT539" s="11"/>
      <c r="BU539" s="11"/>
    </row>
    <row r="540" ht="15.75" customHeight="1">
      <c r="BQ540" s="11"/>
      <c r="BR540" s="11"/>
      <c r="BS540" s="11"/>
      <c r="BT540" s="11"/>
      <c r="BU540" s="11"/>
    </row>
    <row r="541" ht="15.75" customHeight="1">
      <c r="BQ541" s="11"/>
      <c r="BR541" s="11"/>
      <c r="BS541" s="11"/>
      <c r="BT541" s="11"/>
      <c r="BU541" s="11"/>
    </row>
    <row r="542" ht="15.75" customHeight="1">
      <c r="BQ542" s="11"/>
      <c r="BR542" s="11"/>
      <c r="BS542" s="11"/>
      <c r="BT542" s="11"/>
      <c r="BU542" s="11"/>
    </row>
    <row r="543" ht="15.75" customHeight="1">
      <c r="BQ543" s="11"/>
      <c r="BR543" s="11"/>
      <c r="BS543" s="11"/>
      <c r="BT543" s="11"/>
      <c r="BU543" s="11"/>
    </row>
    <row r="544" ht="15.75" customHeight="1">
      <c r="BQ544" s="11"/>
      <c r="BR544" s="11"/>
      <c r="BS544" s="11"/>
      <c r="BT544" s="11"/>
      <c r="BU544" s="11"/>
    </row>
    <row r="545" ht="15.75" customHeight="1">
      <c r="BQ545" s="11"/>
      <c r="BR545" s="11"/>
      <c r="BS545" s="11"/>
      <c r="BT545" s="11"/>
      <c r="BU545" s="11"/>
    </row>
    <row r="546" ht="15.75" customHeight="1">
      <c r="BQ546" s="11"/>
      <c r="BR546" s="11"/>
      <c r="BS546" s="11"/>
      <c r="BT546" s="11"/>
      <c r="BU546" s="11"/>
    </row>
    <row r="547" ht="15.75" customHeight="1">
      <c r="BQ547" s="11"/>
      <c r="BR547" s="11"/>
      <c r="BS547" s="11"/>
      <c r="BT547" s="11"/>
      <c r="BU547" s="11"/>
    </row>
    <row r="548" ht="15.75" customHeight="1">
      <c r="BQ548" s="11"/>
      <c r="BR548" s="11"/>
      <c r="BS548" s="11"/>
      <c r="BT548" s="11"/>
      <c r="BU548" s="11"/>
    </row>
    <row r="549" ht="15.75" customHeight="1">
      <c r="BQ549" s="11"/>
      <c r="BR549" s="11"/>
      <c r="BS549" s="11"/>
      <c r="BT549" s="11"/>
      <c r="BU549" s="11"/>
    </row>
    <row r="550" ht="15.75" customHeight="1">
      <c r="BQ550" s="11"/>
      <c r="BR550" s="11"/>
      <c r="BS550" s="11"/>
      <c r="BT550" s="11"/>
      <c r="BU550" s="11"/>
    </row>
    <row r="551" ht="15.75" customHeight="1">
      <c r="BQ551" s="11"/>
      <c r="BR551" s="11"/>
      <c r="BS551" s="11"/>
      <c r="BT551" s="11"/>
      <c r="BU551" s="11"/>
    </row>
    <row r="552" ht="15.75" customHeight="1">
      <c r="BQ552" s="11"/>
      <c r="BR552" s="11"/>
      <c r="BS552" s="11"/>
      <c r="BT552" s="11"/>
      <c r="BU552" s="11"/>
    </row>
    <row r="553" ht="15.75" customHeight="1">
      <c r="BQ553" s="11"/>
      <c r="BR553" s="11"/>
      <c r="BS553" s="11"/>
      <c r="BT553" s="11"/>
      <c r="BU553" s="11"/>
    </row>
    <row r="554" ht="15.75" customHeight="1">
      <c r="BQ554" s="11"/>
      <c r="BR554" s="11"/>
      <c r="BS554" s="11"/>
      <c r="BT554" s="11"/>
      <c r="BU554" s="11"/>
    </row>
    <row r="555" ht="15.75" customHeight="1">
      <c r="BQ555" s="11"/>
      <c r="BR555" s="11"/>
      <c r="BS555" s="11"/>
      <c r="BT555" s="11"/>
      <c r="BU555" s="11"/>
    </row>
    <row r="556" ht="15.75" customHeight="1">
      <c r="BQ556" s="11"/>
      <c r="BR556" s="11"/>
      <c r="BS556" s="11"/>
      <c r="BT556" s="11"/>
      <c r="BU556" s="11"/>
    </row>
    <row r="557" ht="15.75" customHeight="1">
      <c r="BQ557" s="11"/>
      <c r="BR557" s="11"/>
      <c r="BS557" s="11"/>
      <c r="BT557" s="11"/>
      <c r="BU557" s="11"/>
    </row>
    <row r="558" ht="15.75" customHeight="1">
      <c r="BQ558" s="11"/>
      <c r="BR558" s="11"/>
      <c r="BS558" s="11"/>
      <c r="BT558" s="11"/>
      <c r="BU558" s="11"/>
    </row>
    <row r="559" ht="15.75" customHeight="1">
      <c r="BQ559" s="11"/>
      <c r="BR559" s="11"/>
      <c r="BS559" s="11"/>
      <c r="BT559" s="11"/>
      <c r="BU559" s="11"/>
    </row>
    <row r="560" ht="15.75" customHeight="1">
      <c r="BQ560" s="11"/>
      <c r="BR560" s="11"/>
      <c r="BS560" s="11"/>
      <c r="BT560" s="11"/>
      <c r="BU560" s="11"/>
    </row>
    <row r="561" ht="15.75" customHeight="1">
      <c r="BQ561" s="11"/>
      <c r="BR561" s="11"/>
      <c r="BS561" s="11"/>
      <c r="BT561" s="11"/>
      <c r="BU561" s="11"/>
    </row>
    <row r="562" ht="15.75" customHeight="1">
      <c r="BQ562" s="11"/>
      <c r="BR562" s="11"/>
      <c r="BS562" s="11"/>
      <c r="BT562" s="11"/>
      <c r="BU562" s="11"/>
    </row>
    <row r="563" ht="15.75" customHeight="1">
      <c r="BQ563" s="11"/>
      <c r="BR563" s="11"/>
      <c r="BS563" s="11"/>
      <c r="BT563" s="11"/>
      <c r="BU563" s="11"/>
    </row>
    <row r="564" ht="15.75" customHeight="1">
      <c r="BQ564" s="11"/>
      <c r="BR564" s="11"/>
      <c r="BS564" s="11"/>
      <c r="BT564" s="11"/>
      <c r="BU564" s="11"/>
    </row>
    <row r="565" ht="15.75" customHeight="1">
      <c r="BQ565" s="11"/>
      <c r="BR565" s="11"/>
      <c r="BS565" s="11"/>
      <c r="BT565" s="11"/>
      <c r="BU565" s="11"/>
    </row>
    <row r="566" ht="15.75" customHeight="1">
      <c r="BQ566" s="11"/>
      <c r="BR566" s="11"/>
      <c r="BS566" s="11"/>
      <c r="BT566" s="11"/>
      <c r="BU566" s="11"/>
    </row>
    <row r="567" ht="15.75" customHeight="1">
      <c r="BQ567" s="11"/>
      <c r="BR567" s="11"/>
      <c r="BS567" s="11"/>
      <c r="BT567" s="11"/>
      <c r="BU567" s="11"/>
    </row>
    <row r="568" ht="15.75" customHeight="1">
      <c r="BQ568" s="11"/>
      <c r="BR568" s="11"/>
      <c r="BS568" s="11"/>
      <c r="BT568" s="11"/>
      <c r="BU568" s="11"/>
    </row>
    <row r="569" ht="15.75" customHeight="1">
      <c r="BQ569" s="11"/>
      <c r="BR569" s="11"/>
      <c r="BS569" s="11"/>
      <c r="BT569" s="11"/>
      <c r="BU569" s="11"/>
    </row>
    <row r="570" ht="15.75" customHeight="1">
      <c r="BQ570" s="11"/>
      <c r="BR570" s="11"/>
      <c r="BS570" s="11"/>
      <c r="BT570" s="11"/>
      <c r="BU570" s="11"/>
    </row>
    <row r="571" ht="15.75" customHeight="1">
      <c r="BQ571" s="11"/>
      <c r="BR571" s="11"/>
      <c r="BS571" s="11"/>
      <c r="BT571" s="11"/>
      <c r="BU571" s="11"/>
    </row>
    <row r="572" ht="15.75" customHeight="1">
      <c r="BQ572" s="11"/>
      <c r="BR572" s="11"/>
      <c r="BS572" s="11"/>
      <c r="BT572" s="11"/>
      <c r="BU572" s="11"/>
    </row>
    <row r="573" ht="15.75" customHeight="1">
      <c r="BQ573" s="11"/>
      <c r="BR573" s="11"/>
      <c r="BS573" s="11"/>
      <c r="BT573" s="11"/>
      <c r="BU573" s="11"/>
    </row>
    <row r="574" ht="15.75" customHeight="1">
      <c r="BQ574" s="11"/>
      <c r="BR574" s="11"/>
      <c r="BS574" s="11"/>
      <c r="BT574" s="11"/>
      <c r="BU574" s="11"/>
    </row>
    <row r="575" ht="15.75" customHeight="1">
      <c r="BQ575" s="11"/>
      <c r="BR575" s="11"/>
      <c r="BS575" s="11"/>
      <c r="BT575" s="11"/>
      <c r="BU575" s="11"/>
    </row>
    <row r="576" ht="15.75" customHeight="1">
      <c r="BQ576" s="11"/>
      <c r="BR576" s="11"/>
      <c r="BS576" s="11"/>
      <c r="BT576" s="11"/>
      <c r="BU576" s="11"/>
    </row>
    <row r="577" ht="15.75" customHeight="1">
      <c r="BQ577" s="11"/>
      <c r="BR577" s="11"/>
      <c r="BS577" s="11"/>
      <c r="BT577" s="11"/>
      <c r="BU577" s="11"/>
    </row>
    <row r="578" ht="15.75" customHeight="1">
      <c r="BQ578" s="11"/>
      <c r="BR578" s="11"/>
      <c r="BS578" s="11"/>
      <c r="BT578" s="11"/>
      <c r="BU578" s="11"/>
    </row>
    <row r="579" ht="15.75" customHeight="1">
      <c r="BQ579" s="11"/>
      <c r="BR579" s="11"/>
      <c r="BS579" s="11"/>
      <c r="BT579" s="11"/>
      <c r="BU579" s="11"/>
    </row>
    <row r="580" ht="15.75" customHeight="1">
      <c r="BQ580" s="11"/>
      <c r="BR580" s="11"/>
      <c r="BS580" s="11"/>
      <c r="BT580" s="11"/>
      <c r="BU580" s="11"/>
    </row>
    <row r="581" ht="15.75" customHeight="1">
      <c r="BQ581" s="11"/>
      <c r="BR581" s="11"/>
      <c r="BS581" s="11"/>
      <c r="BT581" s="11"/>
      <c r="BU581" s="11"/>
    </row>
    <row r="582" ht="15.75" customHeight="1">
      <c r="BQ582" s="11"/>
      <c r="BR582" s="11"/>
      <c r="BS582" s="11"/>
      <c r="BT582" s="11"/>
      <c r="BU582" s="11"/>
    </row>
    <row r="583" ht="15.75" customHeight="1">
      <c r="BQ583" s="11"/>
      <c r="BR583" s="11"/>
      <c r="BS583" s="11"/>
      <c r="BT583" s="11"/>
      <c r="BU583" s="11"/>
    </row>
    <row r="584" ht="15.75" customHeight="1">
      <c r="BQ584" s="11"/>
      <c r="BR584" s="11"/>
      <c r="BS584" s="11"/>
      <c r="BT584" s="11"/>
      <c r="BU584" s="11"/>
    </row>
    <row r="585" ht="15.75" customHeight="1">
      <c r="BQ585" s="11"/>
      <c r="BR585" s="11"/>
      <c r="BS585" s="11"/>
      <c r="BT585" s="11"/>
      <c r="BU585" s="11"/>
    </row>
    <row r="586" ht="15.75" customHeight="1">
      <c r="BQ586" s="11"/>
      <c r="BR586" s="11"/>
      <c r="BS586" s="11"/>
      <c r="BT586" s="11"/>
      <c r="BU586" s="11"/>
    </row>
    <row r="587" ht="15.75" customHeight="1">
      <c r="BQ587" s="11"/>
      <c r="BR587" s="11"/>
      <c r="BS587" s="11"/>
      <c r="BT587" s="11"/>
      <c r="BU587" s="11"/>
    </row>
    <row r="588" ht="15.75" customHeight="1">
      <c r="BQ588" s="11"/>
      <c r="BR588" s="11"/>
      <c r="BS588" s="11"/>
      <c r="BT588" s="11"/>
      <c r="BU588" s="11"/>
    </row>
    <row r="589" ht="15.75" customHeight="1">
      <c r="BQ589" s="11"/>
      <c r="BR589" s="11"/>
      <c r="BS589" s="11"/>
      <c r="BT589" s="11"/>
      <c r="BU589" s="11"/>
    </row>
    <row r="590" ht="15.75" customHeight="1">
      <c r="BQ590" s="11"/>
      <c r="BR590" s="11"/>
      <c r="BS590" s="11"/>
      <c r="BT590" s="11"/>
      <c r="BU590" s="11"/>
    </row>
    <row r="591" ht="15.75" customHeight="1">
      <c r="BQ591" s="11"/>
      <c r="BR591" s="11"/>
      <c r="BS591" s="11"/>
      <c r="BT591" s="11"/>
      <c r="BU591" s="11"/>
    </row>
    <row r="592" ht="15.75" customHeight="1">
      <c r="BQ592" s="11"/>
      <c r="BR592" s="11"/>
      <c r="BS592" s="11"/>
      <c r="BT592" s="11"/>
      <c r="BU592" s="11"/>
    </row>
    <row r="593" ht="15.75" customHeight="1">
      <c r="BQ593" s="11"/>
      <c r="BR593" s="11"/>
      <c r="BS593" s="11"/>
      <c r="BT593" s="11"/>
      <c r="BU593" s="11"/>
    </row>
    <row r="594" ht="15.75" customHeight="1">
      <c r="BQ594" s="11"/>
      <c r="BR594" s="11"/>
      <c r="BS594" s="11"/>
      <c r="BT594" s="11"/>
      <c r="BU594" s="11"/>
    </row>
    <row r="595" ht="15.75" customHeight="1">
      <c r="BQ595" s="11"/>
      <c r="BR595" s="11"/>
      <c r="BS595" s="11"/>
      <c r="BT595" s="11"/>
      <c r="BU595" s="11"/>
    </row>
    <row r="596" ht="15.75" customHeight="1">
      <c r="BQ596" s="11"/>
      <c r="BR596" s="11"/>
      <c r="BS596" s="11"/>
      <c r="BT596" s="11"/>
      <c r="BU596" s="11"/>
    </row>
    <row r="597" ht="15.75" customHeight="1">
      <c r="BQ597" s="11"/>
      <c r="BR597" s="11"/>
      <c r="BS597" s="11"/>
      <c r="BT597" s="11"/>
      <c r="BU597" s="11"/>
    </row>
    <row r="598" ht="15.75" customHeight="1">
      <c r="BQ598" s="11"/>
      <c r="BR598" s="11"/>
      <c r="BS598" s="11"/>
      <c r="BT598" s="11"/>
      <c r="BU598" s="11"/>
    </row>
    <row r="599" ht="15.75" customHeight="1">
      <c r="BQ599" s="11"/>
      <c r="BR599" s="11"/>
      <c r="BS599" s="11"/>
      <c r="BT599" s="11"/>
      <c r="BU599" s="11"/>
    </row>
    <row r="600" ht="15.75" customHeight="1">
      <c r="BQ600" s="11"/>
      <c r="BR600" s="11"/>
      <c r="BS600" s="11"/>
      <c r="BT600" s="11"/>
      <c r="BU600" s="11"/>
    </row>
    <row r="601" ht="15.75" customHeight="1">
      <c r="BQ601" s="11"/>
      <c r="BR601" s="11"/>
      <c r="BS601" s="11"/>
      <c r="BT601" s="11"/>
      <c r="BU601" s="11"/>
    </row>
    <row r="602" ht="15.75" customHeight="1">
      <c r="BQ602" s="11"/>
      <c r="BR602" s="11"/>
      <c r="BS602" s="11"/>
      <c r="BT602" s="11"/>
      <c r="BU602" s="11"/>
    </row>
    <row r="603" ht="15.75" customHeight="1">
      <c r="BQ603" s="11"/>
      <c r="BR603" s="11"/>
      <c r="BS603" s="11"/>
      <c r="BT603" s="11"/>
      <c r="BU603" s="11"/>
    </row>
    <row r="604" ht="15.75" customHeight="1">
      <c r="BQ604" s="11"/>
      <c r="BR604" s="11"/>
      <c r="BS604" s="11"/>
      <c r="BT604" s="11"/>
      <c r="BU604" s="11"/>
    </row>
    <row r="605" ht="15.75" customHeight="1">
      <c r="BQ605" s="11"/>
      <c r="BR605" s="11"/>
      <c r="BS605" s="11"/>
      <c r="BT605" s="11"/>
      <c r="BU605" s="11"/>
    </row>
    <row r="606" ht="15.75" customHeight="1">
      <c r="BQ606" s="11"/>
      <c r="BR606" s="11"/>
      <c r="BS606" s="11"/>
      <c r="BT606" s="11"/>
      <c r="BU606" s="11"/>
    </row>
    <row r="607" ht="15.75" customHeight="1">
      <c r="BQ607" s="11"/>
      <c r="BR607" s="11"/>
      <c r="BS607" s="11"/>
      <c r="BT607" s="11"/>
      <c r="BU607" s="11"/>
    </row>
    <row r="608" ht="15.75" customHeight="1">
      <c r="BQ608" s="11"/>
      <c r="BR608" s="11"/>
      <c r="BS608" s="11"/>
      <c r="BT608" s="11"/>
      <c r="BU608" s="11"/>
    </row>
    <row r="609" ht="15.75" customHeight="1">
      <c r="BQ609" s="11"/>
      <c r="BR609" s="11"/>
      <c r="BS609" s="11"/>
      <c r="BT609" s="11"/>
      <c r="BU609" s="11"/>
    </row>
    <row r="610" ht="15.75" customHeight="1">
      <c r="BQ610" s="11"/>
      <c r="BR610" s="11"/>
      <c r="BS610" s="11"/>
      <c r="BT610" s="11"/>
      <c r="BU610" s="11"/>
    </row>
    <row r="611" ht="15.75" customHeight="1">
      <c r="BQ611" s="11"/>
      <c r="BR611" s="11"/>
      <c r="BS611" s="11"/>
      <c r="BT611" s="11"/>
      <c r="BU611" s="11"/>
    </row>
    <row r="612" ht="15.75" customHeight="1">
      <c r="BQ612" s="11"/>
      <c r="BR612" s="11"/>
      <c r="BS612" s="11"/>
      <c r="BT612" s="11"/>
      <c r="BU612" s="11"/>
    </row>
    <row r="613" ht="15.75" customHeight="1">
      <c r="BQ613" s="11"/>
      <c r="BR613" s="11"/>
      <c r="BS613" s="11"/>
      <c r="BT613" s="11"/>
      <c r="BU613" s="11"/>
    </row>
    <row r="614" ht="15.75" customHeight="1">
      <c r="BQ614" s="11"/>
      <c r="BR614" s="11"/>
      <c r="BS614" s="11"/>
      <c r="BT614" s="11"/>
      <c r="BU614" s="11"/>
    </row>
    <row r="615" ht="15.75" customHeight="1">
      <c r="BQ615" s="11"/>
      <c r="BR615" s="11"/>
      <c r="BS615" s="11"/>
      <c r="BT615" s="11"/>
      <c r="BU615" s="11"/>
    </row>
    <row r="616" ht="15.75" customHeight="1">
      <c r="BQ616" s="11"/>
      <c r="BR616" s="11"/>
      <c r="BS616" s="11"/>
      <c r="BT616" s="11"/>
      <c r="BU616" s="11"/>
    </row>
    <row r="617" ht="15.75" customHeight="1">
      <c r="BQ617" s="11"/>
      <c r="BR617" s="11"/>
      <c r="BS617" s="11"/>
      <c r="BT617" s="11"/>
      <c r="BU617" s="11"/>
    </row>
    <row r="618" ht="15.75" customHeight="1">
      <c r="BQ618" s="11"/>
      <c r="BR618" s="11"/>
      <c r="BS618" s="11"/>
      <c r="BT618" s="11"/>
      <c r="BU618" s="11"/>
    </row>
    <row r="619" ht="15.75" customHeight="1">
      <c r="BQ619" s="11"/>
      <c r="BR619" s="11"/>
      <c r="BS619" s="11"/>
      <c r="BT619" s="11"/>
      <c r="BU619" s="11"/>
    </row>
    <row r="620" ht="15.75" customHeight="1">
      <c r="BQ620" s="11"/>
      <c r="BR620" s="11"/>
      <c r="BS620" s="11"/>
      <c r="BT620" s="11"/>
      <c r="BU620" s="11"/>
    </row>
    <row r="621" ht="15.75" customHeight="1">
      <c r="BQ621" s="11"/>
      <c r="BR621" s="11"/>
      <c r="BS621" s="11"/>
      <c r="BT621" s="11"/>
      <c r="BU621" s="11"/>
    </row>
    <row r="622" ht="15.75" customHeight="1">
      <c r="BQ622" s="11"/>
      <c r="BR622" s="11"/>
      <c r="BS622" s="11"/>
      <c r="BT622" s="11"/>
      <c r="BU622" s="11"/>
    </row>
    <row r="623" ht="15.75" customHeight="1">
      <c r="BQ623" s="11"/>
      <c r="BR623" s="11"/>
      <c r="BS623" s="11"/>
      <c r="BT623" s="11"/>
      <c r="BU623" s="11"/>
    </row>
    <row r="624" ht="15.75" customHeight="1">
      <c r="BQ624" s="11"/>
      <c r="BR624" s="11"/>
      <c r="BS624" s="11"/>
      <c r="BT624" s="11"/>
      <c r="BU624" s="11"/>
    </row>
    <row r="625" ht="15.75" customHeight="1">
      <c r="BQ625" s="11"/>
      <c r="BR625" s="11"/>
      <c r="BS625" s="11"/>
      <c r="BT625" s="11"/>
      <c r="BU625" s="11"/>
    </row>
    <row r="626" ht="15.75" customHeight="1">
      <c r="BQ626" s="11"/>
      <c r="BR626" s="11"/>
      <c r="BS626" s="11"/>
      <c r="BT626" s="11"/>
      <c r="BU626" s="11"/>
    </row>
    <row r="627" ht="15.75" customHeight="1">
      <c r="BQ627" s="11"/>
      <c r="BR627" s="11"/>
      <c r="BS627" s="11"/>
      <c r="BT627" s="11"/>
      <c r="BU627" s="11"/>
    </row>
    <row r="628" ht="15.75" customHeight="1">
      <c r="BQ628" s="11"/>
      <c r="BR628" s="11"/>
      <c r="BS628" s="11"/>
      <c r="BT628" s="11"/>
      <c r="BU628" s="11"/>
    </row>
    <row r="629" ht="15.75" customHeight="1">
      <c r="BQ629" s="11"/>
      <c r="BR629" s="11"/>
      <c r="BS629" s="11"/>
      <c r="BT629" s="11"/>
      <c r="BU629" s="11"/>
    </row>
    <row r="630" ht="15.75" customHeight="1">
      <c r="BQ630" s="11"/>
      <c r="BR630" s="11"/>
      <c r="BS630" s="11"/>
      <c r="BT630" s="11"/>
      <c r="BU630" s="11"/>
    </row>
    <row r="631" ht="15.75" customHeight="1">
      <c r="BQ631" s="11"/>
      <c r="BR631" s="11"/>
      <c r="BS631" s="11"/>
      <c r="BT631" s="11"/>
      <c r="BU631" s="11"/>
    </row>
    <row r="632" ht="15.75" customHeight="1">
      <c r="BQ632" s="11"/>
      <c r="BR632" s="11"/>
      <c r="BS632" s="11"/>
      <c r="BT632" s="11"/>
      <c r="BU632" s="11"/>
    </row>
    <row r="633" ht="15.75" customHeight="1">
      <c r="BQ633" s="11"/>
      <c r="BR633" s="11"/>
      <c r="BS633" s="11"/>
      <c r="BT633" s="11"/>
      <c r="BU633" s="11"/>
    </row>
    <row r="634" ht="15.75" customHeight="1">
      <c r="BQ634" s="11"/>
      <c r="BR634" s="11"/>
      <c r="BS634" s="11"/>
      <c r="BT634" s="11"/>
      <c r="BU634" s="11"/>
    </row>
    <row r="635" ht="15.75" customHeight="1">
      <c r="BQ635" s="11"/>
      <c r="BR635" s="11"/>
      <c r="BS635" s="11"/>
      <c r="BT635" s="11"/>
      <c r="BU635" s="11"/>
    </row>
    <row r="636" ht="15.75" customHeight="1">
      <c r="BQ636" s="11"/>
      <c r="BR636" s="11"/>
      <c r="BS636" s="11"/>
      <c r="BT636" s="11"/>
      <c r="BU636" s="11"/>
    </row>
    <row r="637" ht="15.75" customHeight="1">
      <c r="BQ637" s="11"/>
      <c r="BR637" s="11"/>
      <c r="BS637" s="11"/>
      <c r="BT637" s="11"/>
      <c r="BU637" s="11"/>
    </row>
    <row r="638" ht="15.75" customHeight="1">
      <c r="BQ638" s="11"/>
      <c r="BR638" s="11"/>
      <c r="BS638" s="11"/>
      <c r="BT638" s="11"/>
      <c r="BU638" s="11"/>
    </row>
    <row r="639" ht="15.75" customHeight="1">
      <c r="BQ639" s="11"/>
      <c r="BR639" s="11"/>
      <c r="BS639" s="11"/>
      <c r="BT639" s="11"/>
      <c r="BU639" s="11"/>
    </row>
    <row r="640" ht="15.75" customHeight="1">
      <c r="BQ640" s="11"/>
      <c r="BR640" s="11"/>
      <c r="BS640" s="11"/>
      <c r="BT640" s="11"/>
      <c r="BU640" s="11"/>
    </row>
    <row r="641" ht="15.75" customHeight="1">
      <c r="BQ641" s="11"/>
      <c r="BR641" s="11"/>
      <c r="BS641" s="11"/>
      <c r="BT641" s="11"/>
      <c r="BU641" s="11"/>
    </row>
    <row r="642" ht="15.75" customHeight="1">
      <c r="BQ642" s="11"/>
      <c r="BR642" s="11"/>
      <c r="BS642" s="11"/>
      <c r="BT642" s="11"/>
      <c r="BU642" s="11"/>
    </row>
    <row r="643" ht="15.75" customHeight="1">
      <c r="BQ643" s="11"/>
      <c r="BR643" s="11"/>
      <c r="BS643" s="11"/>
      <c r="BT643" s="11"/>
      <c r="BU643" s="11"/>
    </row>
    <row r="644" ht="15.75" customHeight="1">
      <c r="BQ644" s="11"/>
      <c r="BR644" s="11"/>
      <c r="BS644" s="11"/>
      <c r="BT644" s="11"/>
      <c r="BU644" s="11"/>
    </row>
    <row r="645" ht="15.75" customHeight="1">
      <c r="BQ645" s="11"/>
      <c r="BR645" s="11"/>
      <c r="BS645" s="11"/>
      <c r="BT645" s="11"/>
      <c r="BU645" s="11"/>
    </row>
    <row r="646" ht="15.75" customHeight="1">
      <c r="BQ646" s="11"/>
      <c r="BR646" s="11"/>
      <c r="BS646" s="11"/>
      <c r="BT646" s="11"/>
      <c r="BU646" s="11"/>
    </row>
    <row r="647" ht="15.75" customHeight="1">
      <c r="BQ647" s="11"/>
      <c r="BR647" s="11"/>
      <c r="BS647" s="11"/>
      <c r="BT647" s="11"/>
      <c r="BU647" s="11"/>
    </row>
    <row r="648" ht="15.75" customHeight="1">
      <c r="BQ648" s="11"/>
      <c r="BR648" s="11"/>
      <c r="BS648" s="11"/>
      <c r="BT648" s="11"/>
      <c r="BU648" s="11"/>
    </row>
    <row r="649" ht="15.75" customHeight="1">
      <c r="BQ649" s="11"/>
      <c r="BR649" s="11"/>
      <c r="BS649" s="11"/>
      <c r="BT649" s="11"/>
      <c r="BU649" s="11"/>
    </row>
    <row r="650" ht="15.75" customHeight="1">
      <c r="BQ650" s="11"/>
      <c r="BR650" s="11"/>
      <c r="BS650" s="11"/>
      <c r="BT650" s="11"/>
      <c r="BU650" s="11"/>
    </row>
    <row r="651" ht="15.75" customHeight="1">
      <c r="BQ651" s="11"/>
      <c r="BR651" s="11"/>
      <c r="BS651" s="11"/>
      <c r="BT651" s="11"/>
      <c r="BU651" s="11"/>
    </row>
    <row r="652" ht="15.75" customHeight="1">
      <c r="BQ652" s="11"/>
      <c r="BR652" s="11"/>
      <c r="BS652" s="11"/>
      <c r="BT652" s="11"/>
      <c r="BU652" s="11"/>
    </row>
    <row r="653" ht="15.75" customHeight="1">
      <c r="BQ653" s="11"/>
      <c r="BR653" s="11"/>
      <c r="BS653" s="11"/>
      <c r="BT653" s="11"/>
      <c r="BU653" s="11"/>
    </row>
    <row r="654" ht="15.75" customHeight="1">
      <c r="BQ654" s="11"/>
      <c r="BR654" s="11"/>
      <c r="BS654" s="11"/>
      <c r="BT654" s="11"/>
      <c r="BU654" s="11"/>
    </row>
    <row r="655" ht="15.75" customHeight="1">
      <c r="BQ655" s="11"/>
      <c r="BR655" s="11"/>
      <c r="BS655" s="11"/>
      <c r="BT655" s="11"/>
      <c r="BU655" s="11"/>
    </row>
    <row r="656" ht="15.75" customHeight="1">
      <c r="BQ656" s="11"/>
      <c r="BR656" s="11"/>
      <c r="BS656" s="11"/>
      <c r="BT656" s="11"/>
      <c r="BU656" s="11"/>
    </row>
    <row r="657" ht="15.75" customHeight="1">
      <c r="BQ657" s="11"/>
      <c r="BR657" s="11"/>
      <c r="BS657" s="11"/>
      <c r="BT657" s="11"/>
      <c r="BU657" s="11"/>
    </row>
    <row r="658" ht="15.75" customHeight="1">
      <c r="BQ658" s="11"/>
      <c r="BR658" s="11"/>
      <c r="BS658" s="11"/>
      <c r="BT658" s="11"/>
      <c r="BU658" s="11"/>
    </row>
    <row r="659" ht="15.75" customHeight="1">
      <c r="BQ659" s="11"/>
      <c r="BR659" s="11"/>
      <c r="BS659" s="11"/>
      <c r="BT659" s="11"/>
      <c r="BU659" s="11"/>
    </row>
    <row r="660" ht="15.75" customHeight="1">
      <c r="BQ660" s="11"/>
      <c r="BR660" s="11"/>
      <c r="BS660" s="11"/>
      <c r="BT660" s="11"/>
      <c r="BU660" s="11"/>
    </row>
    <row r="661" ht="15.75" customHeight="1">
      <c r="BQ661" s="11"/>
      <c r="BR661" s="11"/>
      <c r="BS661" s="11"/>
      <c r="BT661" s="11"/>
      <c r="BU661" s="11"/>
    </row>
    <row r="662" ht="15.75" customHeight="1">
      <c r="BQ662" s="11"/>
      <c r="BR662" s="11"/>
      <c r="BS662" s="11"/>
      <c r="BT662" s="11"/>
      <c r="BU662" s="11"/>
    </row>
    <row r="663" ht="15.75" customHeight="1">
      <c r="BQ663" s="11"/>
      <c r="BR663" s="11"/>
      <c r="BS663" s="11"/>
      <c r="BT663" s="11"/>
      <c r="BU663" s="11"/>
    </row>
    <row r="664" ht="15.75" customHeight="1">
      <c r="BQ664" s="11"/>
      <c r="BR664" s="11"/>
      <c r="BS664" s="11"/>
      <c r="BT664" s="11"/>
      <c r="BU664" s="11"/>
    </row>
    <row r="665" ht="15.75" customHeight="1">
      <c r="BQ665" s="11"/>
      <c r="BR665" s="11"/>
      <c r="BS665" s="11"/>
      <c r="BT665" s="11"/>
      <c r="BU665" s="11"/>
    </row>
    <row r="666" ht="15.75" customHeight="1">
      <c r="BQ666" s="11"/>
      <c r="BR666" s="11"/>
      <c r="BS666" s="11"/>
      <c r="BT666" s="11"/>
      <c r="BU666" s="11"/>
    </row>
    <row r="667" ht="15.75" customHeight="1">
      <c r="BQ667" s="11"/>
      <c r="BR667" s="11"/>
      <c r="BS667" s="11"/>
      <c r="BT667" s="11"/>
      <c r="BU667" s="11"/>
    </row>
    <row r="668" ht="15.75" customHeight="1">
      <c r="BQ668" s="11"/>
      <c r="BR668" s="11"/>
      <c r="BS668" s="11"/>
      <c r="BT668" s="11"/>
      <c r="BU668" s="11"/>
    </row>
    <row r="669" ht="15.75" customHeight="1">
      <c r="BQ669" s="11"/>
      <c r="BR669" s="11"/>
      <c r="BS669" s="11"/>
      <c r="BT669" s="11"/>
      <c r="BU669" s="11"/>
    </row>
    <row r="670" ht="15.75" customHeight="1">
      <c r="BQ670" s="11"/>
      <c r="BR670" s="11"/>
      <c r="BS670" s="11"/>
      <c r="BT670" s="11"/>
      <c r="BU670" s="11"/>
    </row>
    <row r="671" ht="15.75" customHeight="1">
      <c r="BQ671" s="11"/>
      <c r="BR671" s="11"/>
      <c r="BS671" s="11"/>
      <c r="BT671" s="11"/>
      <c r="BU671" s="11"/>
    </row>
    <row r="672" ht="15.75" customHeight="1">
      <c r="BQ672" s="11"/>
      <c r="BR672" s="11"/>
      <c r="BS672" s="11"/>
      <c r="BT672" s="11"/>
      <c r="BU672" s="11"/>
    </row>
    <row r="673" ht="15.75" customHeight="1">
      <c r="BQ673" s="11"/>
      <c r="BR673" s="11"/>
      <c r="BS673" s="11"/>
      <c r="BT673" s="11"/>
      <c r="BU673" s="11"/>
    </row>
    <row r="674" ht="15.75" customHeight="1">
      <c r="BQ674" s="11"/>
      <c r="BR674" s="11"/>
      <c r="BS674" s="11"/>
      <c r="BT674" s="11"/>
      <c r="BU674" s="11"/>
    </row>
    <row r="675" ht="15.75" customHeight="1">
      <c r="BQ675" s="11"/>
      <c r="BR675" s="11"/>
      <c r="BS675" s="11"/>
      <c r="BT675" s="11"/>
      <c r="BU675" s="11"/>
    </row>
    <row r="676" ht="15.75" customHeight="1">
      <c r="BQ676" s="11"/>
      <c r="BR676" s="11"/>
      <c r="BS676" s="11"/>
      <c r="BT676" s="11"/>
      <c r="BU676" s="11"/>
    </row>
    <row r="677" ht="15.75" customHeight="1">
      <c r="BQ677" s="11"/>
      <c r="BR677" s="11"/>
      <c r="BS677" s="11"/>
      <c r="BT677" s="11"/>
      <c r="BU677" s="11"/>
    </row>
    <row r="678" ht="15.75" customHeight="1">
      <c r="BQ678" s="11"/>
      <c r="BR678" s="11"/>
      <c r="BS678" s="11"/>
      <c r="BT678" s="11"/>
      <c r="BU678" s="11"/>
    </row>
    <row r="679" ht="15.75" customHeight="1">
      <c r="BQ679" s="11"/>
      <c r="BR679" s="11"/>
      <c r="BS679" s="11"/>
      <c r="BT679" s="11"/>
      <c r="BU679" s="11"/>
    </row>
    <row r="680" ht="15.75" customHeight="1">
      <c r="BQ680" s="11"/>
      <c r="BR680" s="11"/>
      <c r="BS680" s="11"/>
      <c r="BT680" s="11"/>
      <c r="BU680" s="11"/>
    </row>
    <row r="681" ht="15.75" customHeight="1">
      <c r="BQ681" s="11"/>
      <c r="BR681" s="11"/>
      <c r="BS681" s="11"/>
      <c r="BT681" s="11"/>
      <c r="BU681" s="11"/>
    </row>
    <row r="682" ht="15.75" customHeight="1">
      <c r="BQ682" s="11"/>
      <c r="BR682" s="11"/>
      <c r="BS682" s="11"/>
      <c r="BT682" s="11"/>
      <c r="BU682" s="11"/>
    </row>
    <row r="683" ht="15.75" customHeight="1">
      <c r="BQ683" s="11"/>
      <c r="BR683" s="11"/>
      <c r="BS683" s="11"/>
      <c r="BT683" s="11"/>
      <c r="BU683" s="11"/>
    </row>
    <row r="684" ht="15.75" customHeight="1">
      <c r="BQ684" s="11"/>
      <c r="BR684" s="11"/>
      <c r="BS684" s="11"/>
      <c r="BT684" s="11"/>
      <c r="BU684" s="11"/>
    </row>
    <row r="685" ht="15.75" customHeight="1">
      <c r="BQ685" s="11"/>
      <c r="BR685" s="11"/>
      <c r="BS685" s="11"/>
      <c r="BT685" s="11"/>
      <c r="BU685" s="11"/>
    </row>
    <row r="686" ht="15.75" customHeight="1">
      <c r="BQ686" s="11"/>
      <c r="BR686" s="11"/>
      <c r="BS686" s="11"/>
      <c r="BT686" s="11"/>
      <c r="BU686" s="11"/>
    </row>
    <row r="687" ht="15.75" customHeight="1">
      <c r="BQ687" s="11"/>
      <c r="BR687" s="11"/>
      <c r="BS687" s="11"/>
      <c r="BT687" s="11"/>
      <c r="BU687" s="11"/>
    </row>
    <row r="688" ht="15.75" customHeight="1">
      <c r="BQ688" s="11"/>
      <c r="BR688" s="11"/>
      <c r="BS688" s="11"/>
      <c r="BT688" s="11"/>
      <c r="BU688" s="11"/>
    </row>
    <row r="689" ht="15.75" customHeight="1">
      <c r="BQ689" s="11"/>
      <c r="BR689" s="11"/>
      <c r="BS689" s="11"/>
      <c r="BT689" s="11"/>
      <c r="BU689" s="11"/>
    </row>
    <row r="690" ht="15.75" customHeight="1">
      <c r="BQ690" s="11"/>
      <c r="BR690" s="11"/>
      <c r="BS690" s="11"/>
      <c r="BT690" s="11"/>
      <c r="BU690" s="11"/>
    </row>
    <row r="691" ht="15.75" customHeight="1">
      <c r="BQ691" s="11"/>
      <c r="BR691" s="11"/>
      <c r="BS691" s="11"/>
      <c r="BT691" s="11"/>
      <c r="BU691" s="11"/>
    </row>
    <row r="692" ht="15.75" customHeight="1">
      <c r="BQ692" s="11"/>
      <c r="BR692" s="11"/>
      <c r="BS692" s="11"/>
      <c r="BT692" s="11"/>
      <c r="BU692" s="11"/>
    </row>
    <row r="693" ht="15.75" customHeight="1">
      <c r="BQ693" s="11"/>
      <c r="BR693" s="11"/>
      <c r="BS693" s="11"/>
      <c r="BT693" s="11"/>
      <c r="BU693" s="11"/>
    </row>
    <row r="694" ht="15.75" customHeight="1">
      <c r="BQ694" s="11"/>
      <c r="BR694" s="11"/>
      <c r="BS694" s="11"/>
      <c r="BT694" s="11"/>
      <c r="BU694" s="11"/>
    </row>
    <row r="695" ht="15.75" customHeight="1">
      <c r="BQ695" s="11"/>
      <c r="BR695" s="11"/>
      <c r="BS695" s="11"/>
      <c r="BT695" s="11"/>
      <c r="BU695" s="11"/>
    </row>
    <row r="696" ht="15.75" customHeight="1">
      <c r="BQ696" s="11"/>
      <c r="BR696" s="11"/>
      <c r="BS696" s="11"/>
      <c r="BT696" s="11"/>
      <c r="BU696" s="11"/>
    </row>
    <row r="697" ht="15.75" customHeight="1">
      <c r="BQ697" s="11"/>
      <c r="BR697" s="11"/>
      <c r="BS697" s="11"/>
      <c r="BT697" s="11"/>
      <c r="BU697" s="11"/>
    </row>
    <row r="698" ht="15.75" customHeight="1">
      <c r="BQ698" s="11"/>
      <c r="BR698" s="11"/>
      <c r="BS698" s="11"/>
      <c r="BT698" s="11"/>
      <c r="BU698" s="11"/>
    </row>
    <row r="699" ht="15.75" customHeight="1">
      <c r="BQ699" s="11"/>
      <c r="BR699" s="11"/>
      <c r="BS699" s="11"/>
      <c r="BT699" s="11"/>
      <c r="BU699" s="11"/>
    </row>
    <row r="700" ht="15.75" customHeight="1">
      <c r="BQ700" s="11"/>
      <c r="BR700" s="11"/>
      <c r="BS700" s="11"/>
      <c r="BT700" s="11"/>
      <c r="BU700" s="11"/>
    </row>
    <row r="701" ht="15.75" customHeight="1">
      <c r="BQ701" s="11"/>
      <c r="BR701" s="11"/>
      <c r="BS701" s="11"/>
      <c r="BT701" s="11"/>
      <c r="BU701" s="11"/>
    </row>
    <row r="702" ht="15.75" customHeight="1">
      <c r="BQ702" s="11"/>
      <c r="BR702" s="11"/>
      <c r="BS702" s="11"/>
      <c r="BT702" s="11"/>
      <c r="BU702" s="11"/>
    </row>
    <row r="703" ht="15.75" customHeight="1">
      <c r="BQ703" s="11"/>
      <c r="BR703" s="11"/>
      <c r="BS703" s="11"/>
      <c r="BT703" s="11"/>
      <c r="BU703" s="11"/>
    </row>
    <row r="704" ht="15.75" customHeight="1">
      <c r="BQ704" s="11"/>
      <c r="BR704" s="11"/>
      <c r="BS704" s="11"/>
      <c r="BT704" s="11"/>
      <c r="BU704" s="11"/>
    </row>
    <row r="705" ht="15.75" customHeight="1">
      <c r="BQ705" s="11"/>
      <c r="BR705" s="11"/>
      <c r="BS705" s="11"/>
      <c r="BT705" s="11"/>
      <c r="BU705" s="11"/>
    </row>
    <row r="706" ht="15.75" customHeight="1">
      <c r="BQ706" s="11"/>
      <c r="BR706" s="11"/>
      <c r="BS706" s="11"/>
      <c r="BT706" s="11"/>
      <c r="BU706" s="11"/>
    </row>
    <row r="707" ht="15.75" customHeight="1">
      <c r="BQ707" s="11"/>
      <c r="BR707" s="11"/>
      <c r="BS707" s="11"/>
      <c r="BT707" s="11"/>
      <c r="BU707" s="11"/>
    </row>
    <row r="708" ht="15.75" customHeight="1">
      <c r="BQ708" s="11"/>
      <c r="BR708" s="11"/>
      <c r="BS708" s="11"/>
      <c r="BT708" s="11"/>
      <c r="BU708" s="11"/>
    </row>
    <row r="709" ht="15.75" customHeight="1">
      <c r="BQ709" s="11"/>
      <c r="BR709" s="11"/>
      <c r="BS709" s="11"/>
      <c r="BT709" s="11"/>
      <c r="BU709" s="11"/>
    </row>
    <row r="710" ht="15.75" customHeight="1">
      <c r="BQ710" s="11"/>
      <c r="BR710" s="11"/>
      <c r="BS710" s="11"/>
      <c r="BT710" s="11"/>
      <c r="BU710" s="11"/>
    </row>
    <row r="711" ht="15.75" customHeight="1">
      <c r="BQ711" s="11"/>
      <c r="BR711" s="11"/>
      <c r="BS711" s="11"/>
      <c r="BT711" s="11"/>
      <c r="BU711" s="11"/>
    </row>
    <row r="712" ht="15.75" customHeight="1">
      <c r="BQ712" s="11"/>
      <c r="BR712" s="11"/>
      <c r="BS712" s="11"/>
      <c r="BT712" s="11"/>
      <c r="BU712" s="11"/>
    </row>
    <row r="713" ht="15.75" customHeight="1">
      <c r="BQ713" s="11"/>
      <c r="BR713" s="11"/>
      <c r="BS713" s="11"/>
      <c r="BT713" s="11"/>
      <c r="BU713" s="11"/>
    </row>
    <row r="714" ht="15.75" customHeight="1">
      <c r="BQ714" s="11"/>
      <c r="BR714" s="11"/>
      <c r="BS714" s="11"/>
      <c r="BT714" s="11"/>
      <c r="BU714" s="11"/>
    </row>
    <row r="715" ht="15.75" customHeight="1">
      <c r="BQ715" s="11"/>
      <c r="BR715" s="11"/>
      <c r="BS715" s="11"/>
      <c r="BT715" s="11"/>
      <c r="BU715" s="11"/>
    </row>
    <row r="716" ht="15.75" customHeight="1">
      <c r="BQ716" s="11"/>
      <c r="BR716" s="11"/>
      <c r="BS716" s="11"/>
      <c r="BT716" s="11"/>
      <c r="BU716" s="11"/>
    </row>
    <row r="717" ht="15.75" customHeight="1">
      <c r="BQ717" s="11"/>
      <c r="BR717" s="11"/>
      <c r="BS717" s="11"/>
      <c r="BT717" s="11"/>
      <c r="BU717" s="11"/>
    </row>
    <row r="718" ht="15.75" customHeight="1">
      <c r="BQ718" s="11"/>
      <c r="BR718" s="11"/>
      <c r="BS718" s="11"/>
      <c r="BT718" s="11"/>
      <c r="BU718" s="11"/>
    </row>
    <row r="719" ht="15.75" customHeight="1">
      <c r="BQ719" s="11"/>
      <c r="BR719" s="11"/>
      <c r="BS719" s="11"/>
      <c r="BT719" s="11"/>
      <c r="BU719" s="11"/>
    </row>
    <row r="720" ht="15.75" customHeight="1">
      <c r="BQ720" s="11"/>
      <c r="BR720" s="11"/>
      <c r="BS720" s="11"/>
      <c r="BT720" s="11"/>
      <c r="BU720" s="11"/>
    </row>
    <row r="721" ht="15.75" customHeight="1">
      <c r="BQ721" s="11"/>
      <c r="BR721" s="11"/>
      <c r="BS721" s="11"/>
      <c r="BT721" s="11"/>
      <c r="BU721" s="11"/>
    </row>
    <row r="722" ht="15.75" customHeight="1">
      <c r="BQ722" s="11"/>
      <c r="BR722" s="11"/>
      <c r="BS722" s="11"/>
      <c r="BT722" s="11"/>
      <c r="BU722" s="11"/>
    </row>
    <row r="723" ht="15.75" customHeight="1">
      <c r="BQ723" s="11"/>
      <c r="BR723" s="11"/>
      <c r="BS723" s="11"/>
      <c r="BT723" s="11"/>
      <c r="BU723" s="11"/>
    </row>
    <row r="724" ht="15.75" customHeight="1">
      <c r="BQ724" s="11"/>
      <c r="BR724" s="11"/>
      <c r="BS724" s="11"/>
      <c r="BT724" s="11"/>
      <c r="BU724" s="11"/>
    </row>
    <row r="725" ht="15.75" customHeight="1">
      <c r="BQ725" s="11"/>
      <c r="BR725" s="11"/>
      <c r="BS725" s="11"/>
      <c r="BT725" s="11"/>
      <c r="BU725" s="11"/>
    </row>
    <row r="726" ht="15.75" customHeight="1">
      <c r="BQ726" s="11"/>
      <c r="BR726" s="11"/>
      <c r="BS726" s="11"/>
      <c r="BT726" s="11"/>
      <c r="BU726" s="11"/>
    </row>
    <row r="727" ht="15.75" customHeight="1">
      <c r="BQ727" s="11"/>
      <c r="BR727" s="11"/>
      <c r="BS727" s="11"/>
      <c r="BT727" s="11"/>
      <c r="BU727" s="11"/>
    </row>
    <row r="728" ht="15.75" customHeight="1">
      <c r="BQ728" s="11"/>
      <c r="BR728" s="11"/>
      <c r="BS728" s="11"/>
      <c r="BT728" s="11"/>
      <c r="BU728" s="11"/>
    </row>
    <row r="729" ht="15.75" customHeight="1">
      <c r="BQ729" s="11"/>
      <c r="BR729" s="11"/>
      <c r="BS729" s="11"/>
      <c r="BT729" s="11"/>
      <c r="BU729" s="11"/>
    </row>
    <row r="730" ht="15.75" customHeight="1">
      <c r="BQ730" s="11"/>
      <c r="BR730" s="11"/>
      <c r="BS730" s="11"/>
      <c r="BT730" s="11"/>
      <c r="BU730" s="11"/>
    </row>
    <row r="731" ht="15.75" customHeight="1">
      <c r="BQ731" s="11"/>
      <c r="BR731" s="11"/>
      <c r="BS731" s="11"/>
      <c r="BT731" s="11"/>
      <c r="BU731" s="11"/>
    </row>
    <row r="732" ht="15.75" customHeight="1">
      <c r="BQ732" s="11"/>
      <c r="BR732" s="11"/>
      <c r="BS732" s="11"/>
      <c r="BT732" s="11"/>
      <c r="BU732" s="11"/>
    </row>
    <row r="733" ht="15.75" customHeight="1">
      <c r="BQ733" s="11"/>
      <c r="BR733" s="11"/>
      <c r="BS733" s="11"/>
      <c r="BT733" s="11"/>
      <c r="BU733" s="11"/>
    </row>
    <row r="734" ht="15.75" customHeight="1">
      <c r="BQ734" s="11"/>
      <c r="BR734" s="11"/>
      <c r="BS734" s="11"/>
      <c r="BT734" s="11"/>
      <c r="BU734" s="11"/>
    </row>
    <row r="735" ht="15.75" customHeight="1">
      <c r="BQ735" s="11"/>
      <c r="BR735" s="11"/>
      <c r="BS735" s="11"/>
      <c r="BT735" s="11"/>
      <c r="BU735" s="11"/>
    </row>
    <row r="736" ht="15.75" customHeight="1">
      <c r="BQ736" s="11"/>
      <c r="BR736" s="11"/>
      <c r="BS736" s="11"/>
      <c r="BT736" s="11"/>
      <c r="BU736" s="11"/>
    </row>
    <row r="737" ht="15.75" customHeight="1">
      <c r="BQ737" s="11"/>
      <c r="BR737" s="11"/>
      <c r="BS737" s="11"/>
      <c r="BT737" s="11"/>
      <c r="BU737" s="11"/>
    </row>
    <row r="738" ht="15.75" customHeight="1">
      <c r="BQ738" s="11"/>
      <c r="BR738" s="11"/>
      <c r="BS738" s="11"/>
      <c r="BT738" s="11"/>
      <c r="BU738" s="11"/>
    </row>
    <row r="739" ht="15.75" customHeight="1">
      <c r="BQ739" s="11"/>
      <c r="BR739" s="11"/>
      <c r="BS739" s="11"/>
      <c r="BT739" s="11"/>
      <c r="BU739" s="11"/>
    </row>
    <row r="740" ht="15.75" customHeight="1">
      <c r="BQ740" s="11"/>
      <c r="BR740" s="11"/>
      <c r="BS740" s="11"/>
      <c r="BT740" s="11"/>
      <c r="BU740" s="11"/>
    </row>
    <row r="741" ht="15.75" customHeight="1">
      <c r="BQ741" s="11"/>
      <c r="BR741" s="11"/>
      <c r="BS741" s="11"/>
      <c r="BT741" s="11"/>
      <c r="BU741" s="11"/>
    </row>
    <row r="742" ht="15.75" customHeight="1">
      <c r="BQ742" s="11"/>
      <c r="BR742" s="11"/>
      <c r="BS742" s="11"/>
      <c r="BT742" s="11"/>
      <c r="BU742" s="11"/>
    </row>
    <row r="743" ht="15.75" customHeight="1">
      <c r="BQ743" s="11"/>
      <c r="BR743" s="11"/>
      <c r="BS743" s="11"/>
      <c r="BT743" s="11"/>
      <c r="BU743" s="11"/>
    </row>
    <row r="744" ht="15.75" customHeight="1">
      <c r="BQ744" s="11"/>
      <c r="BR744" s="11"/>
      <c r="BS744" s="11"/>
      <c r="BT744" s="11"/>
      <c r="BU744" s="11"/>
    </row>
    <row r="745" ht="15.75" customHeight="1">
      <c r="BQ745" s="11"/>
      <c r="BR745" s="11"/>
      <c r="BS745" s="11"/>
      <c r="BT745" s="11"/>
      <c r="BU745" s="11"/>
    </row>
    <row r="746" ht="15.75" customHeight="1">
      <c r="BQ746" s="11"/>
      <c r="BR746" s="11"/>
      <c r="BS746" s="11"/>
      <c r="BT746" s="11"/>
      <c r="BU746" s="11"/>
    </row>
    <row r="747" ht="15.75" customHeight="1">
      <c r="BQ747" s="11"/>
      <c r="BR747" s="11"/>
      <c r="BS747" s="11"/>
      <c r="BT747" s="11"/>
      <c r="BU747" s="11"/>
    </row>
    <row r="748" ht="15.75" customHeight="1">
      <c r="BQ748" s="11"/>
      <c r="BR748" s="11"/>
      <c r="BS748" s="11"/>
      <c r="BT748" s="11"/>
      <c r="BU748" s="11"/>
    </row>
    <row r="749" ht="15.75" customHeight="1">
      <c r="BQ749" s="11"/>
      <c r="BR749" s="11"/>
      <c r="BS749" s="11"/>
      <c r="BT749" s="11"/>
      <c r="BU749" s="11"/>
    </row>
    <row r="750" ht="15.75" customHeight="1">
      <c r="BQ750" s="11"/>
      <c r="BR750" s="11"/>
      <c r="BS750" s="11"/>
      <c r="BT750" s="11"/>
      <c r="BU750" s="11"/>
    </row>
    <row r="751" ht="15.75" customHeight="1">
      <c r="BQ751" s="11"/>
      <c r="BR751" s="11"/>
      <c r="BS751" s="11"/>
      <c r="BT751" s="11"/>
      <c r="BU751" s="11"/>
    </row>
    <row r="752" ht="15.75" customHeight="1">
      <c r="BQ752" s="11"/>
      <c r="BR752" s="11"/>
      <c r="BS752" s="11"/>
      <c r="BT752" s="11"/>
      <c r="BU752" s="11"/>
    </row>
    <row r="753" ht="15.75" customHeight="1">
      <c r="BQ753" s="11"/>
      <c r="BR753" s="11"/>
      <c r="BS753" s="11"/>
      <c r="BT753" s="11"/>
      <c r="BU753" s="11"/>
    </row>
    <row r="754" ht="15.75" customHeight="1">
      <c r="BQ754" s="11"/>
      <c r="BR754" s="11"/>
      <c r="BS754" s="11"/>
      <c r="BT754" s="11"/>
      <c r="BU754" s="11"/>
    </row>
    <row r="755" ht="15.75" customHeight="1">
      <c r="BQ755" s="11"/>
      <c r="BR755" s="11"/>
      <c r="BS755" s="11"/>
      <c r="BT755" s="11"/>
      <c r="BU755" s="11"/>
    </row>
    <row r="756" ht="15.75" customHeight="1">
      <c r="BQ756" s="11"/>
      <c r="BR756" s="11"/>
      <c r="BS756" s="11"/>
      <c r="BT756" s="11"/>
      <c r="BU756" s="11"/>
    </row>
    <row r="757" ht="15.75" customHeight="1">
      <c r="BQ757" s="11"/>
      <c r="BR757" s="11"/>
      <c r="BS757" s="11"/>
      <c r="BT757" s="11"/>
      <c r="BU757" s="11"/>
    </row>
    <row r="758" ht="15.75" customHeight="1">
      <c r="BQ758" s="11"/>
      <c r="BR758" s="11"/>
      <c r="BS758" s="11"/>
      <c r="BT758" s="11"/>
      <c r="BU758" s="11"/>
    </row>
    <row r="759" ht="15.75" customHeight="1">
      <c r="BQ759" s="11"/>
      <c r="BR759" s="11"/>
      <c r="BS759" s="11"/>
      <c r="BT759" s="11"/>
      <c r="BU759" s="11"/>
    </row>
    <row r="760" ht="15.75" customHeight="1">
      <c r="BQ760" s="11"/>
      <c r="BR760" s="11"/>
      <c r="BS760" s="11"/>
      <c r="BT760" s="11"/>
      <c r="BU760" s="11"/>
    </row>
    <row r="761" ht="15.75" customHeight="1">
      <c r="BQ761" s="11"/>
      <c r="BR761" s="11"/>
      <c r="BS761" s="11"/>
      <c r="BT761" s="11"/>
      <c r="BU761" s="11"/>
    </row>
    <row r="762" ht="15.75" customHeight="1">
      <c r="BQ762" s="11"/>
      <c r="BR762" s="11"/>
      <c r="BS762" s="11"/>
      <c r="BT762" s="11"/>
      <c r="BU762" s="11"/>
    </row>
    <row r="763" ht="15.75" customHeight="1">
      <c r="BQ763" s="11"/>
      <c r="BR763" s="11"/>
      <c r="BS763" s="11"/>
      <c r="BT763" s="11"/>
      <c r="BU763" s="11"/>
    </row>
    <row r="764" ht="15.75" customHeight="1">
      <c r="BQ764" s="11"/>
      <c r="BR764" s="11"/>
      <c r="BS764" s="11"/>
      <c r="BT764" s="11"/>
      <c r="BU764" s="11"/>
    </row>
    <row r="765" ht="15.75" customHeight="1">
      <c r="BQ765" s="11"/>
      <c r="BR765" s="11"/>
      <c r="BS765" s="11"/>
      <c r="BT765" s="11"/>
      <c r="BU765" s="11"/>
    </row>
    <row r="766" ht="15.75" customHeight="1">
      <c r="BQ766" s="11"/>
      <c r="BR766" s="11"/>
      <c r="BS766" s="11"/>
      <c r="BT766" s="11"/>
      <c r="BU766" s="11"/>
    </row>
    <row r="767" ht="15.75" customHeight="1">
      <c r="BQ767" s="11"/>
      <c r="BR767" s="11"/>
      <c r="BS767" s="11"/>
      <c r="BT767" s="11"/>
      <c r="BU767" s="11"/>
    </row>
    <row r="768" ht="15.75" customHeight="1">
      <c r="BQ768" s="11"/>
      <c r="BR768" s="11"/>
      <c r="BS768" s="11"/>
      <c r="BT768" s="11"/>
      <c r="BU768" s="11"/>
    </row>
    <row r="769" ht="15.75" customHeight="1">
      <c r="BQ769" s="11"/>
      <c r="BR769" s="11"/>
      <c r="BS769" s="11"/>
      <c r="BT769" s="11"/>
      <c r="BU769" s="11"/>
    </row>
    <row r="770" ht="15.75" customHeight="1">
      <c r="BQ770" s="11"/>
      <c r="BR770" s="11"/>
      <c r="BS770" s="11"/>
      <c r="BT770" s="11"/>
      <c r="BU770" s="11"/>
    </row>
    <row r="771" ht="15.75" customHeight="1">
      <c r="BQ771" s="11"/>
      <c r="BR771" s="11"/>
      <c r="BS771" s="11"/>
      <c r="BT771" s="11"/>
      <c r="BU771" s="11"/>
    </row>
    <row r="772" ht="15.75" customHeight="1">
      <c r="BQ772" s="11"/>
      <c r="BR772" s="11"/>
      <c r="BS772" s="11"/>
      <c r="BT772" s="11"/>
      <c r="BU772" s="11"/>
    </row>
    <row r="773" ht="15.75" customHeight="1">
      <c r="BQ773" s="11"/>
      <c r="BR773" s="11"/>
      <c r="BS773" s="11"/>
      <c r="BT773" s="11"/>
      <c r="BU773" s="11"/>
    </row>
    <row r="774" ht="15.75" customHeight="1">
      <c r="BQ774" s="11"/>
      <c r="BR774" s="11"/>
      <c r="BS774" s="11"/>
      <c r="BT774" s="11"/>
      <c r="BU774" s="11"/>
    </row>
    <row r="775" ht="15.75" customHeight="1">
      <c r="BQ775" s="11"/>
      <c r="BR775" s="11"/>
      <c r="BS775" s="11"/>
      <c r="BT775" s="11"/>
      <c r="BU775" s="11"/>
    </row>
    <row r="776" ht="15.75" customHeight="1">
      <c r="BQ776" s="11"/>
      <c r="BR776" s="11"/>
      <c r="BS776" s="11"/>
      <c r="BT776" s="11"/>
      <c r="BU776" s="11"/>
    </row>
    <row r="777" ht="15.75" customHeight="1">
      <c r="BQ777" s="11"/>
      <c r="BR777" s="11"/>
      <c r="BS777" s="11"/>
      <c r="BT777" s="11"/>
      <c r="BU777" s="11"/>
    </row>
    <row r="778" ht="15.75" customHeight="1">
      <c r="BQ778" s="11"/>
      <c r="BR778" s="11"/>
      <c r="BS778" s="11"/>
      <c r="BT778" s="11"/>
      <c r="BU778" s="11"/>
    </row>
    <row r="779" ht="15.75" customHeight="1">
      <c r="BQ779" s="11"/>
      <c r="BR779" s="11"/>
      <c r="BS779" s="11"/>
      <c r="BT779" s="11"/>
      <c r="BU779" s="11"/>
    </row>
    <row r="780" ht="15.75" customHeight="1">
      <c r="BQ780" s="11"/>
      <c r="BR780" s="11"/>
      <c r="BS780" s="11"/>
      <c r="BT780" s="11"/>
      <c r="BU780" s="11"/>
    </row>
    <row r="781" ht="15.75" customHeight="1">
      <c r="BQ781" s="11"/>
      <c r="BR781" s="11"/>
      <c r="BS781" s="11"/>
      <c r="BT781" s="11"/>
      <c r="BU781" s="11"/>
    </row>
    <row r="782" ht="15.75" customHeight="1">
      <c r="BQ782" s="11"/>
      <c r="BR782" s="11"/>
      <c r="BS782" s="11"/>
      <c r="BT782" s="11"/>
      <c r="BU782" s="11"/>
    </row>
    <row r="783" ht="15.75" customHeight="1">
      <c r="BQ783" s="11"/>
      <c r="BR783" s="11"/>
      <c r="BS783" s="11"/>
      <c r="BT783" s="11"/>
      <c r="BU783" s="11"/>
    </row>
    <row r="784" ht="15.75" customHeight="1">
      <c r="BQ784" s="11"/>
      <c r="BR784" s="11"/>
      <c r="BS784" s="11"/>
      <c r="BT784" s="11"/>
      <c r="BU784" s="11"/>
    </row>
    <row r="785" ht="15.75" customHeight="1">
      <c r="BQ785" s="11"/>
      <c r="BR785" s="11"/>
      <c r="BS785" s="11"/>
      <c r="BT785" s="11"/>
      <c r="BU785" s="11"/>
    </row>
    <row r="786" ht="15.75" customHeight="1">
      <c r="BQ786" s="11"/>
      <c r="BR786" s="11"/>
      <c r="BS786" s="11"/>
      <c r="BT786" s="11"/>
      <c r="BU786" s="11"/>
    </row>
    <row r="787" ht="15.75" customHeight="1">
      <c r="BQ787" s="11"/>
      <c r="BR787" s="11"/>
      <c r="BS787" s="11"/>
      <c r="BT787" s="11"/>
      <c r="BU787" s="11"/>
    </row>
    <row r="788" ht="15.75" customHeight="1">
      <c r="BQ788" s="11"/>
      <c r="BR788" s="11"/>
      <c r="BS788" s="11"/>
      <c r="BT788" s="11"/>
      <c r="BU788" s="11"/>
    </row>
    <row r="789" ht="15.75" customHeight="1">
      <c r="BQ789" s="11"/>
      <c r="BR789" s="11"/>
      <c r="BS789" s="11"/>
      <c r="BT789" s="11"/>
      <c r="BU789" s="11"/>
    </row>
    <row r="790" ht="15.75" customHeight="1">
      <c r="BQ790" s="11"/>
      <c r="BR790" s="11"/>
      <c r="BS790" s="11"/>
      <c r="BT790" s="11"/>
      <c r="BU790" s="11"/>
    </row>
    <row r="791" ht="15.75" customHeight="1">
      <c r="BQ791" s="11"/>
      <c r="BR791" s="11"/>
      <c r="BS791" s="11"/>
      <c r="BT791" s="11"/>
      <c r="BU791" s="11"/>
    </row>
    <row r="792" ht="15.75" customHeight="1">
      <c r="BQ792" s="11"/>
      <c r="BR792" s="11"/>
      <c r="BS792" s="11"/>
      <c r="BT792" s="11"/>
      <c r="BU792" s="11"/>
    </row>
    <row r="793" ht="15.75" customHeight="1">
      <c r="BQ793" s="11"/>
      <c r="BR793" s="11"/>
      <c r="BS793" s="11"/>
      <c r="BT793" s="11"/>
      <c r="BU793" s="11"/>
    </row>
    <row r="794" ht="15.75" customHeight="1">
      <c r="BQ794" s="11"/>
      <c r="BR794" s="11"/>
      <c r="BS794" s="11"/>
      <c r="BT794" s="11"/>
      <c r="BU794" s="11"/>
    </row>
    <row r="795" ht="15.75" customHeight="1">
      <c r="BQ795" s="11"/>
      <c r="BR795" s="11"/>
      <c r="BS795" s="11"/>
      <c r="BT795" s="11"/>
      <c r="BU795" s="11"/>
    </row>
    <row r="796" ht="15.75" customHeight="1">
      <c r="BQ796" s="11"/>
      <c r="BR796" s="11"/>
      <c r="BS796" s="11"/>
      <c r="BT796" s="11"/>
      <c r="BU796" s="11"/>
    </row>
    <row r="797" ht="15.75" customHeight="1">
      <c r="BQ797" s="11"/>
      <c r="BR797" s="11"/>
      <c r="BS797" s="11"/>
      <c r="BT797" s="11"/>
      <c r="BU797" s="11"/>
    </row>
    <row r="798" ht="15.75" customHeight="1">
      <c r="BQ798" s="11"/>
      <c r="BR798" s="11"/>
      <c r="BS798" s="11"/>
      <c r="BT798" s="11"/>
      <c r="BU798" s="11"/>
    </row>
    <row r="799" ht="15.75" customHeight="1">
      <c r="BQ799" s="11"/>
      <c r="BR799" s="11"/>
      <c r="BS799" s="11"/>
      <c r="BT799" s="11"/>
      <c r="BU799" s="11"/>
    </row>
    <row r="800" ht="15.75" customHeight="1">
      <c r="BQ800" s="11"/>
      <c r="BR800" s="11"/>
      <c r="BS800" s="11"/>
      <c r="BT800" s="11"/>
      <c r="BU800" s="11"/>
    </row>
    <row r="801" ht="15.75" customHeight="1">
      <c r="BQ801" s="11"/>
      <c r="BR801" s="11"/>
      <c r="BS801" s="11"/>
      <c r="BT801" s="11"/>
      <c r="BU801" s="11"/>
    </row>
    <row r="802" ht="15.75" customHeight="1">
      <c r="BQ802" s="11"/>
      <c r="BR802" s="11"/>
      <c r="BS802" s="11"/>
      <c r="BT802" s="11"/>
      <c r="BU802" s="11"/>
    </row>
    <row r="803" ht="15.75" customHeight="1">
      <c r="BQ803" s="11"/>
      <c r="BR803" s="11"/>
      <c r="BS803" s="11"/>
      <c r="BT803" s="11"/>
      <c r="BU803" s="11"/>
    </row>
    <row r="804" ht="15.75" customHeight="1">
      <c r="BQ804" s="11"/>
      <c r="BR804" s="11"/>
      <c r="BS804" s="11"/>
      <c r="BT804" s="11"/>
      <c r="BU804" s="11"/>
    </row>
    <row r="805" ht="15.75" customHeight="1">
      <c r="BQ805" s="11"/>
      <c r="BR805" s="11"/>
      <c r="BS805" s="11"/>
      <c r="BT805" s="11"/>
      <c r="BU805" s="11"/>
    </row>
    <row r="806" ht="15.75" customHeight="1">
      <c r="BQ806" s="11"/>
      <c r="BR806" s="11"/>
      <c r="BS806" s="11"/>
      <c r="BT806" s="11"/>
      <c r="BU806" s="11"/>
    </row>
    <row r="807" ht="15.75" customHeight="1">
      <c r="BQ807" s="11"/>
      <c r="BR807" s="11"/>
      <c r="BS807" s="11"/>
      <c r="BT807" s="11"/>
      <c r="BU807" s="11"/>
    </row>
    <row r="808" ht="15.75" customHeight="1">
      <c r="BQ808" s="11"/>
      <c r="BR808" s="11"/>
      <c r="BS808" s="11"/>
      <c r="BT808" s="11"/>
      <c r="BU808" s="11"/>
    </row>
    <row r="809" ht="15.75" customHeight="1">
      <c r="BQ809" s="11"/>
      <c r="BR809" s="11"/>
      <c r="BS809" s="11"/>
      <c r="BT809" s="11"/>
      <c r="BU809" s="11"/>
    </row>
    <row r="810" ht="15.75" customHeight="1">
      <c r="BQ810" s="11"/>
      <c r="BR810" s="11"/>
      <c r="BS810" s="11"/>
      <c r="BT810" s="11"/>
      <c r="BU810" s="11"/>
    </row>
    <row r="811" ht="15.75" customHeight="1">
      <c r="BQ811" s="11"/>
      <c r="BR811" s="11"/>
      <c r="BS811" s="11"/>
      <c r="BT811" s="11"/>
      <c r="BU811" s="11"/>
    </row>
    <row r="812" ht="15.75" customHeight="1">
      <c r="BQ812" s="11"/>
      <c r="BR812" s="11"/>
      <c r="BS812" s="11"/>
      <c r="BT812" s="11"/>
      <c r="BU812" s="11"/>
    </row>
    <row r="813" ht="15.75" customHeight="1">
      <c r="BQ813" s="11"/>
      <c r="BR813" s="11"/>
      <c r="BS813" s="11"/>
      <c r="BT813" s="11"/>
      <c r="BU813" s="11"/>
    </row>
    <row r="814" ht="15.75" customHeight="1">
      <c r="BQ814" s="11"/>
      <c r="BR814" s="11"/>
      <c r="BS814" s="11"/>
      <c r="BT814" s="11"/>
      <c r="BU814" s="11"/>
    </row>
    <row r="815" ht="15.75" customHeight="1">
      <c r="BQ815" s="11"/>
      <c r="BR815" s="11"/>
      <c r="BS815" s="11"/>
      <c r="BT815" s="11"/>
      <c r="BU815" s="11"/>
    </row>
    <row r="816" ht="15.75" customHeight="1">
      <c r="BQ816" s="11"/>
      <c r="BR816" s="11"/>
      <c r="BS816" s="11"/>
      <c r="BT816" s="11"/>
      <c r="BU816" s="11"/>
    </row>
    <row r="817" ht="15.75" customHeight="1">
      <c r="BQ817" s="11"/>
      <c r="BR817" s="11"/>
      <c r="BS817" s="11"/>
      <c r="BT817" s="11"/>
      <c r="BU817" s="11"/>
    </row>
    <row r="818" ht="15.75" customHeight="1">
      <c r="BQ818" s="11"/>
      <c r="BR818" s="11"/>
      <c r="BS818" s="11"/>
      <c r="BT818" s="11"/>
      <c r="BU818" s="11"/>
    </row>
    <row r="819" ht="15.75" customHeight="1">
      <c r="BQ819" s="11"/>
      <c r="BR819" s="11"/>
      <c r="BS819" s="11"/>
      <c r="BT819" s="11"/>
      <c r="BU819" s="11"/>
    </row>
    <row r="820" ht="15.75" customHeight="1">
      <c r="BQ820" s="11"/>
      <c r="BR820" s="11"/>
      <c r="BS820" s="11"/>
      <c r="BT820" s="11"/>
      <c r="BU820" s="11"/>
    </row>
    <row r="821" ht="15.75" customHeight="1">
      <c r="BQ821" s="11"/>
      <c r="BR821" s="11"/>
      <c r="BS821" s="11"/>
      <c r="BT821" s="11"/>
      <c r="BU821" s="11"/>
    </row>
    <row r="822" ht="15.75" customHeight="1">
      <c r="BQ822" s="11"/>
      <c r="BR822" s="11"/>
      <c r="BS822" s="11"/>
      <c r="BT822" s="11"/>
      <c r="BU822" s="11"/>
    </row>
    <row r="823" ht="15.75" customHeight="1">
      <c r="BQ823" s="11"/>
      <c r="BR823" s="11"/>
      <c r="BS823" s="11"/>
      <c r="BT823" s="11"/>
      <c r="BU823" s="11"/>
    </row>
    <row r="824" ht="15.75" customHeight="1">
      <c r="BQ824" s="11"/>
      <c r="BR824" s="11"/>
      <c r="BS824" s="11"/>
      <c r="BT824" s="11"/>
      <c r="BU824" s="11"/>
    </row>
    <row r="825" ht="15.75" customHeight="1">
      <c r="BQ825" s="11"/>
      <c r="BR825" s="11"/>
      <c r="BS825" s="11"/>
      <c r="BT825" s="11"/>
      <c r="BU825" s="11"/>
    </row>
    <row r="826" ht="15.75" customHeight="1">
      <c r="BQ826" s="11"/>
      <c r="BR826" s="11"/>
      <c r="BS826" s="11"/>
      <c r="BT826" s="11"/>
      <c r="BU826" s="11"/>
    </row>
    <row r="827" ht="15.75" customHeight="1">
      <c r="BQ827" s="11"/>
      <c r="BR827" s="11"/>
      <c r="BS827" s="11"/>
      <c r="BT827" s="11"/>
      <c r="BU827" s="11"/>
    </row>
    <row r="828" ht="15.75" customHeight="1">
      <c r="BQ828" s="11"/>
      <c r="BR828" s="11"/>
      <c r="BS828" s="11"/>
      <c r="BT828" s="11"/>
      <c r="BU828" s="11"/>
    </row>
    <row r="829" ht="15.75" customHeight="1">
      <c r="BQ829" s="11"/>
      <c r="BR829" s="11"/>
      <c r="BS829" s="11"/>
      <c r="BT829" s="11"/>
      <c r="BU829" s="11"/>
    </row>
    <row r="830" ht="15.75" customHeight="1">
      <c r="BQ830" s="11"/>
      <c r="BR830" s="11"/>
      <c r="BS830" s="11"/>
      <c r="BT830" s="11"/>
      <c r="BU830" s="11"/>
    </row>
    <row r="831" ht="15.75" customHeight="1">
      <c r="BQ831" s="11"/>
      <c r="BR831" s="11"/>
      <c r="BS831" s="11"/>
      <c r="BT831" s="11"/>
      <c r="BU831" s="11"/>
    </row>
    <row r="832" ht="15.75" customHeight="1">
      <c r="BQ832" s="11"/>
      <c r="BR832" s="11"/>
      <c r="BS832" s="11"/>
      <c r="BT832" s="11"/>
      <c r="BU832" s="11"/>
    </row>
    <row r="833" ht="15.75" customHeight="1">
      <c r="BQ833" s="11"/>
      <c r="BR833" s="11"/>
      <c r="BS833" s="11"/>
      <c r="BT833" s="11"/>
      <c r="BU833" s="11"/>
    </row>
    <row r="834" ht="15.75" customHeight="1">
      <c r="BQ834" s="11"/>
      <c r="BR834" s="11"/>
      <c r="BS834" s="11"/>
      <c r="BT834" s="11"/>
      <c r="BU834" s="11"/>
    </row>
    <row r="835" ht="15.75" customHeight="1">
      <c r="BQ835" s="11"/>
      <c r="BR835" s="11"/>
      <c r="BS835" s="11"/>
      <c r="BT835" s="11"/>
      <c r="BU835" s="11"/>
    </row>
    <row r="836" ht="15.75" customHeight="1">
      <c r="BQ836" s="11"/>
      <c r="BR836" s="11"/>
      <c r="BS836" s="11"/>
      <c r="BT836" s="11"/>
      <c r="BU836" s="11"/>
    </row>
    <row r="837" ht="15.75" customHeight="1">
      <c r="BQ837" s="11"/>
      <c r="BR837" s="11"/>
      <c r="BS837" s="11"/>
      <c r="BT837" s="11"/>
      <c r="BU837" s="11"/>
    </row>
    <row r="838" ht="15.75" customHeight="1">
      <c r="BQ838" s="11"/>
      <c r="BR838" s="11"/>
      <c r="BS838" s="11"/>
      <c r="BT838" s="11"/>
      <c r="BU838" s="11"/>
    </row>
    <row r="839" ht="15.75" customHeight="1">
      <c r="BQ839" s="11"/>
      <c r="BR839" s="11"/>
      <c r="BS839" s="11"/>
      <c r="BT839" s="11"/>
      <c r="BU839" s="11"/>
    </row>
    <row r="840" ht="15.75" customHeight="1">
      <c r="BQ840" s="11"/>
      <c r="BR840" s="11"/>
      <c r="BS840" s="11"/>
      <c r="BT840" s="11"/>
      <c r="BU840" s="11"/>
    </row>
    <row r="841" ht="15.75" customHeight="1">
      <c r="BQ841" s="11"/>
      <c r="BR841" s="11"/>
      <c r="BS841" s="11"/>
      <c r="BT841" s="11"/>
      <c r="BU841" s="11"/>
    </row>
    <row r="842" ht="15.75" customHeight="1">
      <c r="BQ842" s="11"/>
      <c r="BR842" s="11"/>
      <c r="BS842" s="11"/>
      <c r="BT842" s="11"/>
      <c r="BU842" s="11"/>
    </row>
    <row r="843" ht="15.75" customHeight="1">
      <c r="BQ843" s="11"/>
      <c r="BR843" s="11"/>
      <c r="BS843" s="11"/>
      <c r="BT843" s="11"/>
      <c r="BU843" s="11"/>
    </row>
    <row r="844" ht="15.75" customHeight="1">
      <c r="BQ844" s="11"/>
      <c r="BR844" s="11"/>
      <c r="BS844" s="11"/>
      <c r="BT844" s="11"/>
      <c r="BU844" s="11"/>
    </row>
    <row r="845" ht="15.75" customHeight="1">
      <c r="BQ845" s="11"/>
      <c r="BR845" s="11"/>
      <c r="BS845" s="11"/>
      <c r="BT845" s="11"/>
      <c r="BU845" s="11"/>
    </row>
    <row r="846" ht="15.75" customHeight="1">
      <c r="BQ846" s="11"/>
      <c r="BR846" s="11"/>
      <c r="BS846" s="11"/>
      <c r="BT846" s="11"/>
      <c r="BU846" s="11"/>
    </row>
    <row r="847" ht="15.75" customHeight="1">
      <c r="BQ847" s="11"/>
      <c r="BR847" s="11"/>
      <c r="BS847" s="11"/>
      <c r="BT847" s="11"/>
      <c r="BU847" s="11"/>
    </row>
    <row r="848" ht="15.75" customHeight="1">
      <c r="BQ848" s="11"/>
      <c r="BR848" s="11"/>
      <c r="BS848" s="11"/>
      <c r="BT848" s="11"/>
      <c r="BU848" s="11"/>
    </row>
    <row r="849" ht="15.75" customHeight="1">
      <c r="BQ849" s="11"/>
      <c r="BR849" s="11"/>
      <c r="BS849" s="11"/>
      <c r="BT849" s="11"/>
      <c r="BU849" s="11"/>
    </row>
    <row r="850" ht="15.75" customHeight="1">
      <c r="BQ850" s="11"/>
      <c r="BR850" s="11"/>
      <c r="BS850" s="11"/>
      <c r="BT850" s="11"/>
      <c r="BU850" s="11"/>
    </row>
    <row r="851" ht="15.75" customHeight="1">
      <c r="BQ851" s="11"/>
      <c r="BR851" s="11"/>
      <c r="BS851" s="11"/>
      <c r="BT851" s="11"/>
      <c r="BU851" s="11"/>
    </row>
    <row r="852" ht="15.75" customHeight="1">
      <c r="BQ852" s="11"/>
      <c r="BR852" s="11"/>
      <c r="BS852" s="11"/>
      <c r="BT852" s="11"/>
      <c r="BU852" s="11"/>
    </row>
    <row r="853" ht="15.75" customHeight="1">
      <c r="BQ853" s="11"/>
      <c r="BR853" s="11"/>
      <c r="BS853" s="11"/>
      <c r="BT853" s="11"/>
      <c r="BU853" s="11"/>
    </row>
    <row r="854" ht="15.75" customHeight="1">
      <c r="BQ854" s="11"/>
      <c r="BR854" s="11"/>
      <c r="BS854" s="11"/>
      <c r="BT854" s="11"/>
      <c r="BU854" s="11"/>
    </row>
    <row r="855" ht="15.75" customHeight="1">
      <c r="BQ855" s="11"/>
      <c r="BR855" s="11"/>
      <c r="BS855" s="11"/>
      <c r="BT855" s="11"/>
      <c r="BU855" s="11"/>
    </row>
    <row r="856" ht="15.75" customHeight="1">
      <c r="BQ856" s="11"/>
      <c r="BR856" s="11"/>
      <c r="BS856" s="11"/>
      <c r="BT856" s="11"/>
      <c r="BU856" s="11"/>
    </row>
    <row r="857" ht="15.75" customHeight="1">
      <c r="BQ857" s="11"/>
      <c r="BR857" s="11"/>
      <c r="BS857" s="11"/>
      <c r="BT857" s="11"/>
      <c r="BU857" s="11"/>
    </row>
    <row r="858" ht="15.75" customHeight="1">
      <c r="BQ858" s="11"/>
      <c r="BR858" s="11"/>
      <c r="BS858" s="11"/>
      <c r="BT858" s="11"/>
      <c r="BU858" s="11"/>
    </row>
    <row r="859" ht="15.75" customHeight="1">
      <c r="BQ859" s="11"/>
      <c r="BR859" s="11"/>
      <c r="BS859" s="11"/>
      <c r="BT859" s="11"/>
      <c r="BU859" s="11"/>
    </row>
    <row r="860" ht="15.75" customHeight="1">
      <c r="BQ860" s="11"/>
      <c r="BR860" s="11"/>
      <c r="BS860" s="11"/>
      <c r="BT860" s="11"/>
      <c r="BU860" s="11"/>
    </row>
    <row r="861" ht="15.75" customHeight="1">
      <c r="BQ861" s="11"/>
      <c r="BR861" s="11"/>
      <c r="BS861" s="11"/>
      <c r="BT861" s="11"/>
      <c r="BU861" s="11"/>
    </row>
    <row r="862" ht="15.75" customHeight="1">
      <c r="BQ862" s="11"/>
      <c r="BR862" s="11"/>
      <c r="BS862" s="11"/>
      <c r="BT862" s="11"/>
      <c r="BU862" s="11"/>
    </row>
    <row r="863" ht="15.75" customHeight="1">
      <c r="BQ863" s="11"/>
      <c r="BR863" s="11"/>
      <c r="BS863" s="11"/>
      <c r="BT863" s="11"/>
      <c r="BU863" s="11"/>
    </row>
    <row r="864" ht="15.75" customHeight="1">
      <c r="BQ864" s="11"/>
      <c r="BR864" s="11"/>
      <c r="BS864" s="11"/>
      <c r="BT864" s="11"/>
      <c r="BU864" s="11"/>
    </row>
    <row r="865" ht="15.75" customHeight="1">
      <c r="BQ865" s="11"/>
      <c r="BR865" s="11"/>
      <c r="BS865" s="11"/>
      <c r="BT865" s="11"/>
      <c r="BU865" s="11"/>
    </row>
    <row r="866" ht="15.75" customHeight="1">
      <c r="BQ866" s="11"/>
      <c r="BR866" s="11"/>
      <c r="BS866" s="11"/>
      <c r="BT866" s="11"/>
      <c r="BU866" s="11"/>
    </row>
    <row r="867" ht="15.75" customHeight="1">
      <c r="BQ867" s="11"/>
      <c r="BR867" s="11"/>
      <c r="BS867" s="11"/>
      <c r="BT867" s="11"/>
      <c r="BU867" s="11"/>
    </row>
    <row r="868" ht="15.75" customHeight="1">
      <c r="BQ868" s="11"/>
      <c r="BR868" s="11"/>
      <c r="BS868" s="11"/>
      <c r="BT868" s="11"/>
      <c r="BU868" s="11"/>
    </row>
    <row r="869" ht="15.75" customHeight="1">
      <c r="BQ869" s="11"/>
      <c r="BR869" s="11"/>
      <c r="BS869" s="11"/>
      <c r="BT869" s="11"/>
      <c r="BU869" s="11"/>
    </row>
    <row r="870" ht="15.75" customHeight="1">
      <c r="BQ870" s="11"/>
      <c r="BR870" s="11"/>
      <c r="BS870" s="11"/>
      <c r="BT870" s="11"/>
      <c r="BU870" s="11"/>
    </row>
    <row r="871" ht="15.75" customHeight="1">
      <c r="BQ871" s="11"/>
      <c r="BR871" s="11"/>
      <c r="BS871" s="11"/>
      <c r="BT871" s="11"/>
      <c r="BU871" s="11"/>
    </row>
    <row r="872" ht="15.75" customHeight="1">
      <c r="BQ872" s="11"/>
      <c r="BR872" s="11"/>
      <c r="BS872" s="11"/>
      <c r="BT872" s="11"/>
      <c r="BU872" s="11"/>
    </row>
    <row r="873" ht="15.75" customHeight="1">
      <c r="BQ873" s="11"/>
      <c r="BR873" s="11"/>
      <c r="BS873" s="11"/>
      <c r="BT873" s="11"/>
      <c r="BU873" s="11"/>
    </row>
    <row r="874" ht="15.75" customHeight="1">
      <c r="BQ874" s="11"/>
      <c r="BR874" s="11"/>
      <c r="BS874" s="11"/>
      <c r="BT874" s="11"/>
      <c r="BU874" s="11"/>
    </row>
    <row r="875" ht="15.75" customHeight="1">
      <c r="BQ875" s="11"/>
      <c r="BR875" s="11"/>
      <c r="BS875" s="11"/>
      <c r="BT875" s="11"/>
      <c r="BU875" s="11"/>
    </row>
    <row r="876" ht="15.75" customHeight="1">
      <c r="BQ876" s="11"/>
      <c r="BR876" s="11"/>
      <c r="BS876" s="11"/>
      <c r="BT876" s="11"/>
      <c r="BU876" s="11"/>
    </row>
    <row r="877" ht="15.75" customHeight="1">
      <c r="BQ877" s="11"/>
      <c r="BR877" s="11"/>
      <c r="BS877" s="11"/>
      <c r="BT877" s="11"/>
      <c r="BU877" s="11"/>
    </row>
    <row r="878" ht="15.75" customHeight="1">
      <c r="BQ878" s="11"/>
      <c r="BR878" s="11"/>
      <c r="BS878" s="11"/>
      <c r="BT878" s="11"/>
      <c r="BU878" s="11"/>
    </row>
    <row r="879" ht="15.75" customHeight="1">
      <c r="BQ879" s="11"/>
      <c r="BR879" s="11"/>
      <c r="BS879" s="11"/>
      <c r="BT879" s="11"/>
      <c r="BU879" s="11"/>
    </row>
    <row r="880" ht="15.75" customHeight="1">
      <c r="BQ880" s="11"/>
      <c r="BR880" s="11"/>
      <c r="BS880" s="11"/>
      <c r="BT880" s="11"/>
      <c r="BU880" s="11"/>
    </row>
    <row r="881" ht="15.75" customHeight="1">
      <c r="BQ881" s="11"/>
      <c r="BR881" s="11"/>
      <c r="BS881" s="11"/>
      <c r="BT881" s="11"/>
      <c r="BU881" s="11"/>
    </row>
    <row r="882" ht="15.75" customHeight="1">
      <c r="BQ882" s="11"/>
      <c r="BR882" s="11"/>
      <c r="BS882" s="11"/>
      <c r="BT882" s="11"/>
      <c r="BU882" s="11"/>
    </row>
    <row r="883" ht="15.75" customHeight="1">
      <c r="BQ883" s="11"/>
      <c r="BR883" s="11"/>
      <c r="BS883" s="11"/>
      <c r="BT883" s="11"/>
      <c r="BU883" s="11"/>
    </row>
    <row r="884" ht="15.75" customHeight="1">
      <c r="BQ884" s="11"/>
      <c r="BR884" s="11"/>
      <c r="BS884" s="11"/>
      <c r="BT884" s="11"/>
      <c r="BU884" s="11"/>
    </row>
    <row r="885" ht="15.75" customHeight="1">
      <c r="BQ885" s="11"/>
      <c r="BR885" s="11"/>
      <c r="BS885" s="11"/>
      <c r="BT885" s="11"/>
      <c r="BU885" s="11"/>
    </row>
    <row r="886" ht="15.75" customHeight="1">
      <c r="BQ886" s="11"/>
      <c r="BR886" s="11"/>
      <c r="BS886" s="11"/>
      <c r="BT886" s="11"/>
      <c r="BU886" s="11"/>
    </row>
    <row r="887" ht="15.75" customHeight="1">
      <c r="BQ887" s="11"/>
      <c r="BR887" s="11"/>
      <c r="BS887" s="11"/>
      <c r="BT887" s="11"/>
      <c r="BU887" s="11"/>
    </row>
    <row r="888" ht="15.75" customHeight="1">
      <c r="BQ888" s="11"/>
      <c r="BR888" s="11"/>
      <c r="BS888" s="11"/>
      <c r="BT888" s="11"/>
      <c r="BU888" s="11"/>
    </row>
    <row r="889" ht="15.75" customHeight="1">
      <c r="BQ889" s="11"/>
      <c r="BR889" s="11"/>
      <c r="BS889" s="11"/>
      <c r="BT889" s="11"/>
      <c r="BU889" s="11"/>
    </row>
    <row r="890" ht="15.75" customHeight="1">
      <c r="BQ890" s="11"/>
      <c r="BR890" s="11"/>
      <c r="BS890" s="11"/>
      <c r="BT890" s="11"/>
      <c r="BU890" s="11"/>
    </row>
    <row r="891" ht="15.75" customHeight="1">
      <c r="BQ891" s="11"/>
      <c r="BR891" s="11"/>
      <c r="BS891" s="11"/>
      <c r="BT891" s="11"/>
      <c r="BU891" s="11"/>
    </row>
    <row r="892" ht="15.75" customHeight="1">
      <c r="BQ892" s="11"/>
      <c r="BR892" s="11"/>
      <c r="BS892" s="11"/>
      <c r="BT892" s="11"/>
      <c r="BU892" s="11"/>
    </row>
    <row r="893" ht="15.75" customHeight="1">
      <c r="BQ893" s="11"/>
      <c r="BR893" s="11"/>
      <c r="BS893" s="11"/>
      <c r="BT893" s="11"/>
      <c r="BU893" s="11"/>
    </row>
    <row r="894" ht="15.75" customHeight="1">
      <c r="BQ894" s="11"/>
      <c r="BR894" s="11"/>
      <c r="BS894" s="11"/>
      <c r="BT894" s="11"/>
      <c r="BU894" s="11"/>
    </row>
    <row r="895" ht="15.75" customHeight="1">
      <c r="BQ895" s="11"/>
      <c r="BR895" s="11"/>
      <c r="BS895" s="11"/>
      <c r="BT895" s="11"/>
      <c r="BU895" s="11"/>
    </row>
    <row r="896" ht="15.75" customHeight="1">
      <c r="BQ896" s="11"/>
      <c r="BR896" s="11"/>
      <c r="BS896" s="11"/>
      <c r="BT896" s="11"/>
      <c r="BU896" s="11"/>
    </row>
    <row r="897" ht="15.75" customHeight="1">
      <c r="BQ897" s="11"/>
      <c r="BR897" s="11"/>
      <c r="BS897" s="11"/>
      <c r="BT897" s="11"/>
      <c r="BU897" s="11"/>
    </row>
    <row r="898" ht="15.75" customHeight="1">
      <c r="BQ898" s="11"/>
      <c r="BR898" s="11"/>
      <c r="BS898" s="11"/>
      <c r="BT898" s="11"/>
      <c r="BU898" s="11"/>
    </row>
    <row r="899" ht="15.75" customHeight="1">
      <c r="BQ899" s="11"/>
      <c r="BR899" s="11"/>
      <c r="BS899" s="11"/>
      <c r="BT899" s="11"/>
      <c r="BU899" s="11"/>
    </row>
    <row r="900" ht="15.75" customHeight="1">
      <c r="BQ900" s="11"/>
      <c r="BR900" s="11"/>
      <c r="BS900" s="11"/>
      <c r="BT900" s="11"/>
      <c r="BU900" s="11"/>
    </row>
    <row r="901" ht="15.75" customHeight="1">
      <c r="BQ901" s="11"/>
      <c r="BR901" s="11"/>
      <c r="BS901" s="11"/>
      <c r="BT901" s="11"/>
      <c r="BU901" s="11"/>
    </row>
    <row r="902" ht="15.75" customHeight="1">
      <c r="BQ902" s="11"/>
      <c r="BR902" s="11"/>
      <c r="BS902" s="11"/>
      <c r="BT902" s="11"/>
      <c r="BU902" s="11"/>
    </row>
    <row r="903" ht="15.75" customHeight="1">
      <c r="BQ903" s="11"/>
      <c r="BR903" s="11"/>
      <c r="BS903" s="11"/>
      <c r="BT903" s="11"/>
      <c r="BU903" s="11"/>
    </row>
    <row r="904" ht="15.75" customHeight="1">
      <c r="BQ904" s="11"/>
      <c r="BR904" s="11"/>
      <c r="BS904" s="11"/>
      <c r="BT904" s="11"/>
      <c r="BU904" s="11"/>
    </row>
    <row r="905" ht="15.75" customHeight="1">
      <c r="BQ905" s="11"/>
      <c r="BR905" s="11"/>
      <c r="BS905" s="11"/>
      <c r="BT905" s="11"/>
      <c r="BU905" s="11"/>
    </row>
    <row r="906" ht="15.75" customHeight="1">
      <c r="BQ906" s="11"/>
      <c r="BR906" s="11"/>
      <c r="BS906" s="11"/>
      <c r="BT906" s="11"/>
      <c r="BU906" s="11"/>
    </row>
    <row r="907" ht="15.75" customHeight="1">
      <c r="BQ907" s="11"/>
      <c r="BR907" s="11"/>
      <c r="BS907" s="11"/>
      <c r="BT907" s="11"/>
      <c r="BU907" s="11"/>
    </row>
    <row r="908" ht="15.75" customHeight="1">
      <c r="BQ908" s="11"/>
      <c r="BR908" s="11"/>
      <c r="BS908" s="11"/>
      <c r="BT908" s="11"/>
      <c r="BU908" s="11"/>
    </row>
    <row r="909" ht="15.75" customHeight="1">
      <c r="BQ909" s="11"/>
      <c r="BR909" s="11"/>
      <c r="BS909" s="11"/>
      <c r="BT909" s="11"/>
      <c r="BU909" s="11"/>
    </row>
    <row r="910" ht="15.75" customHeight="1">
      <c r="BQ910" s="11"/>
      <c r="BR910" s="11"/>
      <c r="BS910" s="11"/>
      <c r="BT910" s="11"/>
      <c r="BU910" s="11"/>
    </row>
    <row r="911" ht="15.75" customHeight="1">
      <c r="BQ911" s="11"/>
      <c r="BR911" s="11"/>
      <c r="BS911" s="11"/>
      <c r="BT911" s="11"/>
      <c r="BU911" s="11"/>
    </row>
    <row r="912" ht="15.75" customHeight="1">
      <c r="BQ912" s="11"/>
      <c r="BR912" s="11"/>
      <c r="BS912" s="11"/>
      <c r="BT912" s="11"/>
      <c r="BU912" s="11"/>
    </row>
    <row r="913" ht="15.75" customHeight="1">
      <c r="BQ913" s="11"/>
      <c r="BR913" s="11"/>
      <c r="BS913" s="11"/>
      <c r="BT913" s="11"/>
      <c r="BU913" s="11"/>
    </row>
    <row r="914" ht="15.75" customHeight="1">
      <c r="BQ914" s="11"/>
      <c r="BR914" s="11"/>
      <c r="BS914" s="11"/>
      <c r="BT914" s="11"/>
      <c r="BU914" s="11"/>
    </row>
    <row r="915" ht="15.75" customHeight="1">
      <c r="BQ915" s="11"/>
      <c r="BR915" s="11"/>
      <c r="BS915" s="11"/>
      <c r="BT915" s="11"/>
      <c r="BU915" s="11"/>
    </row>
    <row r="916" ht="15.75" customHeight="1">
      <c r="BQ916" s="11"/>
      <c r="BR916" s="11"/>
      <c r="BS916" s="11"/>
      <c r="BT916" s="11"/>
      <c r="BU916" s="11"/>
    </row>
    <row r="917" ht="15.75" customHeight="1">
      <c r="BQ917" s="11"/>
      <c r="BR917" s="11"/>
      <c r="BS917" s="11"/>
      <c r="BT917" s="11"/>
      <c r="BU917" s="11"/>
    </row>
    <row r="918" ht="15.75" customHeight="1">
      <c r="BQ918" s="11"/>
      <c r="BR918" s="11"/>
      <c r="BS918" s="11"/>
      <c r="BT918" s="11"/>
      <c r="BU918" s="11"/>
    </row>
    <row r="919" ht="15.75" customHeight="1">
      <c r="BQ919" s="11"/>
      <c r="BR919" s="11"/>
      <c r="BS919" s="11"/>
      <c r="BT919" s="11"/>
      <c r="BU919" s="11"/>
    </row>
    <row r="920" ht="15.75" customHeight="1">
      <c r="BQ920" s="11"/>
      <c r="BR920" s="11"/>
      <c r="BS920" s="11"/>
      <c r="BT920" s="11"/>
      <c r="BU920" s="11"/>
    </row>
    <row r="921" ht="15.75" customHeight="1">
      <c r="BQ921" s="11"/>
      <c r="BR921" s="11"/>
      <c r="BS921" s="11"/>
      <c r="BT921" s="11"/>
      <c r="BU921" s="11"/>
    </row>
    <row r="922" ht="15.75" customHeight="1">
      <c r="BQ922" s="11"/>
      <c r="BR922" s="11"/>
      <c r="BS922" s="11"/>
      <c r="BT922" s="11"/>
      <c r="BU922" s="11"/>
    </row>
    <row r="923" ht="15.75" customHeight="1">
      <c r="BQ923" s="11"/>
      <c r="BR923" s="11"/>
      <c r="BS923" s="11"/>
      <c r="BT923" s="11"/>
      <c r="BU923" s="11"/>
    </row>
    <row r="924" ht="15.75" customHeight="1">
      <c r="BQ924" s="11"/>
      <c r="BR924" s="11"/>
      <c r="BS924" s="11"/>
      <c r="BT924" s="11"/>
      <c r="BU924" s="11"/>
    </row>
    <row r="925" ht="15.75" customHeight="1">
      <c r="BQ925" s="11"/>
      <c r="BR925" s="11"/>
      <c r="BS925" s="11"/>
      <c r="BT925" s="11"/>
      <c r="BU925" s="11"/>
    </row>
    <row r="926" ht="15.75" customHeight="1">
      <c r="BQ926" s="11"/>
      <c r="BR926" s="11"/>
      <c r="BS926" s="11"/>
      <c r="BT926" s="11"/>
      <c r="BU926" s="11"/>
    </row>
    <row r="927" ht="15.75" customHeight="1">
      <c r="BQ927" s="11"/>
      <c r="BR927" s="11"/>
      <c r="BS927" s="11"/>
      <c r="BT927" s="11"/>
      <c r="BU927" s="11"/>
    </row>
    <row r="928" ht="15.75" customHeight="1">
      <c r="BQ928" s="11"/>
      <c r="BR928" s="11"/>
      <c r="BS928" s="11"/>
      <c r="BT928" s="11"/>
      <c r="BU928" s="11"/>
    </row>
    <row r="929" ht="15.75" customHeight="1">
      <c r="BQ929" s="11"/>
      <c r="BR929" s="11"/>
      <c r="BS929" s="11"/>
      <c r="BT929" s="11"/>
      <c r="BU929" s="11"/>
    </row>
    <row r="930" ht="15.75" customHeight="1">
      <c r="BQ930" s="11"/>
      <c r="BR930" s="11"/>
      <c r="BS930" s="11"/>
      <c r="BT930" s="11"/>
      <c r="BU930" s="11"/>
    </row>
    <row r="931" ht="15.75" customHeight="1">
      <c r="BQ931" s="11"/>
      <c r="BR931" s="11"/>
      <c r="BS931" s="11"/>
      <c r="BT931" s="11"/>
      <c r="BU931" s="11"/>
    </row>
    <row r="932" ht="15.75" customHeight="1">
      <c r="BQ932" s="11"/>
      <c r="BR932" s="11"/>
      <c r="BS932" s="11"/>
      <c r="BT932" s="11"/>
      <c r="BU932" s="11"/>
    </row>
    <row r="933" ht="15.75" customHeight="1">
      <c r="BQ933" s="11"/>
      <c r="BR933" s="11"/>
      <c r="BS933" s="11"/>
      <c r="BT933" s="11"/>
      <c r="BU933" s="11"/>
    </row>
    <row r="934" ht="15.75" customHeight="1">
      <c r="BQ934" s="11"/>
      <c r="BR934" s="11"/>
      <c r="BS934" s="11"/>
      <c r="BT934" s="11"/>
      <c r="BU934" s="11"/>
    </row>
    <row r="935" ht="15.75" customHeight="1">
      <c r="BQ935" s="11"/>
      <c r="BR935" s="11"/>
      <c r="BS935" s="11"/>
      <c r="BT935" s="11"/>
      <c r="BU935" s="11"/>
    </row>
    <row r="936" ht="15.75" customHeight="1">
      <c r="BQ936" s="11"/>
      <c r="BR936" s="11"/>
      <c r="BS936" s="11"/>
      <c r="BT936" s="11"/>
      <c r="BU936" s="11"/>
    </row>
    <row r="937" ht="15.75" customHeight="1">
      <c r="BQ937" s="11"/>
      <c r="BR937" s="11"/>
      <c r="BS937" s="11"/>
      <c r="BT937" s="11"/>
      <c r="BU937" s="11"/>
    </row>
    <row r="938" ht="15.75" customHeight="1">
      <c r="BQ938" s="11"/>
      <c r="BR938" s="11"/>
      <c r="BS938" s="11"/>
      <c r="BT938" s="11"/>
      <c r="BU938" s="11"/>
    </row>
    <row r="939" ht="15.75" customHeight="1">
      <c r="BQ939" s="11"/>
      <c r="BR939" s="11"/>
      <c r="BS939" s="11"/>
      <c r="BT939" s="11"/>
      <c r="BU939" s="11"/>
    </row>
    <row r="940" ht="15.75" customHeight="1">
      <c r="BQ940" s="11"/>
      <c r="BR940" s="11"/>
      <c r="BS940" s="11"/>
      <c r="BT940" s="11"/>
      <c r="BU940" s="11"/>
    </row>
    <row r="941" ht="15.75" customHeight="1">
      <c r="BQ941" s="11"/>
      <c r="BR941" s="11"/>
      <c r="BS941" s="11"/>
      <c r="BT941" s="11"/>
      <c r="BU941" s="11"/>
    </row>
    <row r="942" ht="15.75" customHeight="1">
      <c r="BQ942" s="11"/>
      <c r="BR942" s="11"/>
      <c r="BS942" s="11"/>
      <c r="BT942" s="11"/>
      <c r="BU942" s="11"/>
    </row>
    <row r="943" ht="15.75" customHeight="1">
      <c r="BQ943" s="11"/>
      <c r="BR943" s="11"/>
      <c r="BS943" s="11"/>
      <c r="BT943" s="11"/>
      <c r="BU943" s="11"/>
    </row>
    <row r="944" ht="15.75" customHeight="1">
      <c r="BQ944" s="11"/>
      <c r="BR944" s="11"/>
      <c r="BS944" s="11"/>
      <c r="BT944" s="11"/>
      <c r="BU944" s="11"/>
    </row>
    <row r="945" ht="15.75" customHeight="1">
      <c r="BQ945" s="11"/>
      <c r="BR945" s="11"/>
      <c r="BS945" s="11"/>
      <c r="BT945" s="11"/>
      <c r="BU945" s="11"/>
    </row>
    <row r="946" ht="15.75" customHeight="1">
      <c r="BQ946" s="11"/>
      <c r="BR946" s="11"/>
      <c r="BS946" s="11"/>
      <c r="BT946" s="11"/>
      <c r="BU946" s="11"/>
    </row>
    <row r="947" ht="15.75" customHeight="1">
      <c r="BQ947" s="11"/>
      <c r="BR947" s="11"/>
      <c r="BS947" s="11"/>
      <c r="BT947" s="11"/>
      <c r="BU947" s="11"/>
    </row>
    <row r="948" ht="15.75" customHeight="1">
      <c r="BQ948" s="11"/>
      <c r="BR948" s="11"/>
      <c r="BS948" s="11"/>
      <c r="BT948" s="11"/>
      <c r="BU948" s="11"/>
    </row>
    <row r="949" ht="15.75" customHeight="1">
      <c r="BQ949" s="11"/>
      <c r="BR949" s="11"/>
      <c r="BS949" s="11"/>
      <c r="BT949" s="11"/>
      <c r="BU949" s="11"/>
    </row>
    <row r="950" ht="15.75" customHeight="1">
      <c r="BQ950" s="11"/>
      <c r="BR950" s="11"/>
      <c r="BS950" s="11"/>
      <c r="BT950" s="11"/>
      <c r="BU950" s="11"/>
    </row>
    <row r="951" ht="15.75" customHeight="1">
      <c r="BQ951" s="11"/>
      <c r="BR951" s="11"/>
      <c r="BS951" s="11"/>
      <c r="BT951" s="11"/>
      <c r="BU951" s="11"/>
    </row>
    <row r="952" ht="15.75" customHeight="1">
      <c r="BQ952" s="11"/>
      <c r="BR952" s="11"/>
      <c r="BS952" s="11"/>
      <c r="BT952" s="11"/>
      <c r="BU952" s="11"/>
    </row>
    <row r="953" ht="15.75" customHeight="1">
      <c r="BQ953" s="11"/>
      <c r="BR953" s="11"/>
      <c r="BS953" s="11"/>
      <c r="BT953" s="11"/>
      <c r="BU953" s="11"/>
    </row>
    <row r="954" ht="15.75" customHeight="1">
      <c r="BQ954" s="11"/>
      <c r="BR954" s="11"/>
      <c r="BS954" s="11"/>
      <c r="BT954" s="11"/>
      <c r="BU954" s="11"/>
    </row>
    <row r="955" ht="15.75" customHeight="1">
      <c r="BQ955" s="11"/>
      <c r="BR955" s="11"/>
      <c r="BS955" s="11"/>
      <c r="BT955" s="11"/>
      <c r="BU955" s="11"/>
    </row>
    <row r="956" ht="15.75" customHeight="1">
      <c r="BQ956" s="11"/>
      <c r="BR956" s="11"/>
      <c r="BS956" s="11"/>
      <c r="BT956" s="11"/>
      <c r="BU956" s="11"/>
    </row>
    <row r="957" ht="15.75" customHeight="1">
      <c r="BQ957" s="11"/>
      <c r="BR957" s="11"/>
      <c r="BS957" s="11"/>
      <c r="BT957" s="11"/>
      <c r="BU957" s="11"/>
    </row>
    <row r="958" ht="15.75" customHeight="1">
      <c r="BQ958" s="11"/>
      <c r="BR958" s="11"/>
      <c r="BS958" s="11"/>
      <c r="BT958" s="11"/>
      <c r="BU958" s="11"/>
    </row>
    <row r="959" ht="15.75" customHeight="1">
      <c r="BQ959" s="11"/>
      <c r="BR959" s="11"/>
      <c r="BS959" s="11"/>
      <c r="BT959" s="11"/>
      <c r="BU959" s="11"/>
    </row>
    <row r="960" ht="15.75" customHeight="1">
      <c r="BQ960" s="11"/>
      <c r="BR960" s="11"/>
      <c r="BS960" s="11"/>
      <c r="BT960" s="11"/>
      <c r="BU960" s="11"/>
    </row>
    <row r="961" ht="15.75" customHeight="1">
      <c r="BQ961" s="11"/>
      <c r="BR961" s="11"/>
      <c r="BS961" s="11"/>
      <c r="BT961" s="11"/>
      <c r="BU961" s="11"/>
    </row>
    <row r="962" ht="15.75" customHeight="1">
      <c r="BQ962" s="11"/>
      <c r="BR962" s="11"/>
      <c r="BS962" s="11"/>
      <c r="BT962" s="11"/>
      <c r="BU962" s="11"/>
    </row>
    <row r="963" ht="15.75" customHeight="1">
      <c r="BQ963" s="11"/>
      <c r="BR963" s="11"/>
      <c r="BS963" s="11"/>
      <c r="BT963" s="11"/>
      <c r="BU963" s="11"/>
    </row>
    <row r="964" ht="15.75" customHeight="1">
      <c r="BQ964" s="11"/>
      <c r="BR964" s="11"/>
      <c r="BS964" s="11"/>
      <c r="BT964" s="11"/>
      <c r="BU964" s="11"/>
    </row>
    <row r="965" ht="15.75" customHeight="1">
      <c r="BQ965" s="11"/>
      <c r="BR965" s="11"/>
      <c r="BS965" s="11"/>
      <c r="BT965" s="11"/>
      <c r="BU965" s="11"/>
    </row>
    <row r="966" ht="15.75" customHeight="1">
      <c r="BQ966" s="11"/>
      <c r="BR966" s="11"/>
      <c r="BS966" s="11"/>
      <c r="BT966" s="11"/>
      <c r="BU966" s="11"/>
    </row>
    <row r="967" ht="15.75" customHeight="1">
      <c r="BQ967" s="11"/>
      <c r="BR967" s="11"/>
      <c r="BS967" s="11"/>
      <c r="BT967" s="11"/>
      <c r="BU967" s="11"/>
    </row>
    <row r="968" ht="15.75" customHeight="1">
      <c r="BQ968" s="11"/>
      <c r="BR968" s="11"/>
      <c r="BS968" s="11"/>
      <c r="BT968" s="11"/>
      <c r="BU968" s="11"/>
    </row>
    <row r="969" ht="15.75" customHeight="1">
      <c r="BQ969" s="11"/>
      <c r="BR969" s="11"/>
      <c r="BS969" s="11"/>
      <c r="BT969" s="11"/>
      <c r="BU969" s="11"/>
    </row>
    <row r="970" ht="15.75" customHeight="1">
      <c r="BQ970" s="11"/>
      <c r="BR970" s="11"/>
      <c r="BS970" s="11"/>
      <c r="BT970" s="11"/>
      <c r="BU970" s="11"/>
    </row>
    <row r="971" ht="15.75" customHeight="1">
      <c r="BQ971" s="11"/>
      <c r="BR971" s="11"/>
      <c r="BS971" s="11"/>
      <c r="BT971" s="11"/>
      <c r="BU971" s="11"/>
    </row>
    <row r="972" ht="15.75" customHeight="1">
      <c r="BQ972" s="11"/>
      <c r="BR972" s="11"/>
      <c r="BS972" s="11"/>
      <c r="BT972" s="11"/>
      <c r="BU972" s="11"/>
    </row>
    <row r="973" ht="15.75" customHeight="1">
      <c r="BQ973" s="11"/>
      <c r="BR973" s="11"/>
      <c r="BS973" s="11"/>
      <c r="BT973" s="11"/>
      <c r="BU973" s="11"/>
    </row>
    <row r="974" ht="15.75" customHeight="1">
      <c r="BQ974" s="11"/>
      <c r="BR974" s="11"/>
      <c r="BS974" s="11"/>
      <c r="BT974" s="11"/>
      <c r="BU974" s="11"/>
    </row>
    <row r="975" ht="15.75" customHeight="1">
      <c r="BQ975" s="11"/>
      <c r="BR975" s="11"/>
      <c r="BS975" s="11"/>
      <c r="BT975" s="11"/>
      <c r="BU975" s="11"/>
    </row>
    <row r="976" ht="15.75" customHeight="1">
      <c r="BQ976" s="11"/>
      <c r="BR976" s="11"/>
      <c r="BS976" s="11"/>
      <c r="BT976" s="11"/>
      <c r="BU976" s="11"/>
    </row>
    <row r="977" ht="15.75" customHeight="1">
      <c r="BQ977" s="11"/>
      <c r="BR977" s="11"/>
      <c r="BS977" s="11"/>
      <c r="BT977" s="11"/>
      <c r="BU977" s="11"/>
    </row>
    <row r="978" ht="15.75" customHeight="1">
      <c r="BQ978" s="11"/>
      <c r="BR978" s="11"/>
      <c r="BS978" s="11"/>
      <c r="BT978" s="11"/>
      <c r="BU978" s="11"/>
    </row>
    <row r="979" ht="15.75" customHeight="1">
      <c r="BQ979" s="11"/>
      <c r="BR979" s="11"/>
      <c r="BS979" s="11"/>
      <c r="BT979" s="11"/>
      <c r="BU979" s="11"/>
    </row>
    <row r="980" ht="15.75" customHeight="1">
      <c r="BQ980" s="11"/>
      <c r="BR980" s="11"/>
      <c r="BS980" s="11"/>
      <c r="BT980" s="11"/>
      <c r="BU980" s="11"/>
    </row>
    <row r="981" ht="15.75" customHeight="1">
      <c r="BQ981" s="11"/>
      <c r="BR981" s="11"/>
      <c r="BS981" s="11"/>
      <c r="BT981" s="11"/>
      <c r="BU981" s="11"/>
    </row>
    <row r="982" ht="15.75" customHeight="1">
      <c r="BQ982" s="11"/>
      <c r="BR982" s="11"/>
      <c r="BS982" s="11"/>
      <c r="BT982" s="11"/>
      <c r="BU982" s="11"/>
    </row>
    <row r="983" ht="15.75" customHeight="1">
      <c r="BQ983" s="11"/>
      <c r="BR983" s="11"/>
      <c r="BS983" s="11"/>
      <c r="BT983" s="11"/>
      <c r="BU983" s="11"/>
    </row>
    <row r="984" ht="15.75" customHeight="1">
      <c r="BQ984" s="11"/>
      <c r="BR984" s="11"/>
      <c r="BS984" s="11"/>
      <c r="BT984" s="11"/>
      <c r="BU984" s="11"/>
    </row>
    <row r="985" ht="15.75" customHeight="1">
      <c r="BQ985" s="11"/>
      <c r="BR985" s="11"/>
      <c r="BS985" s="11"/>
      <c r="BT985" s="11"/>
      <c r="BU985" s="11"/>
    </row>
    <row r="986" ht="15.75" customHeight="1">
      <c r="BQ986" s="11"/>
      <c r="BR986" s="11"/>
      <c r="BS986" s="11"/>
      <c r="BT986" s="11"/>
      <c r="BU986" s="11"/>
    </row>
    <row r="987" ht="15.75" customHeight="1">
      <c r="BQ987" s="11"/>
      <c r="BR987" s="11"/>
      <c r="BS987" s="11"/>
      <c r="BT987" s="11"/>
      <c r="BU987" s="11"/>
    </row>
    <row r="988" ht="15.75" customHeight="1">
      <c r="BQ988" s="11"/>
      <c r="BR988" s="11"/>
      <c r="BS988" s="11"/>
      <c r="BT988" s="11"/>
      <c r="BU988" s="11"/>
    </row>
    <row r="989" ht="15.75" customHeight="1">
      <c r="BQ989" s="11"/>
      <c r="BR989" s="11"/>
      <c r="BS989" s="11"/>
      <c r="BT989" s="11"/>
      <c r="BU989" s="11"/>
    </row>
    <row r="990" ht="15.75" customHeight="1">
      <c r="BQ990" s="11"/>
      <c r="BR990" s="11"/>
      <c r="BS990" s="11"/>
      <c r="BT990" s="11"/>
      <c r="BU990" s="11"/>
    </row>
    <row r="991" ht="15.75" customHeight="1">
      <c r="BQ991" s="11"/>
      <c r="BR991" s="11"/>
      <c r="BS991" s="11"/>
      <c r="BT991" s="11"/>
      <c r="BU991" s="11"/>
    </row>
    <row r="992" ht="15.75" customHeight="1">
      <c r="BQ992" s="11"/>
      <c r="BR992" s="11"/>
      <c r="BS992" s="11"/>
      <c r="BT992" s="11"/>
      <c r="BU992" s="11"/>
    </row>
    <row r="993" ht="15.75" customHeight="1">
      <c r="BQ993" s="11"/>
      <c r="BR993" s="11"/>
      <c r="BS993" s="11"/>
      <c r="BT993" s="11"/>
      <c r="BU993" s="11"/>
    </row>
    <row r="994" ht="15.75" customHeight="1">
      <c r="BQ994" s="11"/>
      <c r="BR994" s="11"/>
      <c r="BS994" s="11"/>
      <c r="BT994" s="11"/>
      <c r="BU994" s="11"/>
    </row>
    <row r="995" ht="15.75" customHeight="1">
      <c r="BQ995" s="11"/>
      <c r="BR995" s="11"/>
      <c r="BS995" s="11"/>
      <c r="BT995" s="11"/>
      <c r="BU995" s="11"/>
    </row>
    <row r="996" ht="15.75" customHeight="1">
      <c r="BQ996" s="11"/>
      <c r="BR996" s="11"/>
      <c r="BS996" s="11"/>
      <c r="BT996" s="11"/>
      <c r="BU996" s="11"/>
    </row>
    <row r="997" ht="15.75" customHeight="1">
      <c r="BQ997" s="11"/>
      <c r="BR997" s="11"/>
      <c r="BS997" s="11"/>
      <c r="BT997" s="11"/>
      <c r="BU997" s="11"/>
    </row>
    <row r="998" ht="15.75" customHeight="1">
      <c r="BQ998" s="11"/>
      <c r="BR998" s="11"/>
      <c r="BS998" s="11"/>
      <c r="BT998" s="11"/>
      <c r="BU998" s="11"/>
    </row>
    <row r="999" ht="15.75" customHeight="1">
      <c r="BQ999" s="11"/>
      <c r="BR999" s="11"/>
      <c r="BS999" s="11"/>
      <c r="BT999" s="11"/>
      <c r="BU999" s="11"/>
    </row>
    <row r="1000" ht="15.75" customHeight="1">
      <c r="BQ1000" s="11"/>
      <c r="BR1000" s="11"/>
      <c r="BS1000" s="11"/>
      <c r="BT1000" s="11"/>
      <c r="BU1000" s="11"/>
    </row>
  </sheetData>
  <mergeCells count="678">
    <mergeCell ref="AK7:AN7"/>
    <mergeCell ref="AO7:AU7"/>
    <mergeCell ref="AV7:BB7"/>
    <mergeCell ref="BC7:BI7"/>
    <mergeCell ref="A1:BN3"/>
    <mergeCell ref="AK6:AN6"/>
    <mergeCell ref="AO6:AU6"/>
    <mergeCell ref="AV6:BB6"/>
    <mergeCell ref="BC6:BI6"/>
    <mergeCell ref="B7:G7"/>
    <mergeCell ref="H7:AE7"/>
    <mergeCell ref="H9:I9"/>
    <mergeCell ref="J9:M9"/>
    <mergeCell ref="N9:O9"/>
    <mergeCell ref="P9:S9"/>
    <mergeCell ref="T9:U9"/>
    <mergeCell ref="V9:Y9"/>
    <mergeCell ref="Z9:AA9"/>
    <mergeCell ref="AB9:AE9"/>
    <mergeCell ref="BF17:BH17"/>
    <mergeCell ref="BF18:BH18"/>
    <mergeCell ref="BI18:BK18"/>
    <mergeCell ref="BL18:BN18"/>
    <mergeCell ref="BF15:BH15"/>
    <mergeCell ref="BI15:BK15"/>
    <mergeCell ref="BF16:BH16"/>
    <mergeCell ref="BI16:BK16"/>
    <mergeCell ref="BL16:BN16"/>
    <mergeCell ref="BI17:BK17"/>
    <mergeCell ref="BL17:BN17"/>
    <mergeCell ref="BC20:BE20"/>
    <mergeCell ref="BF20:BH20"/>
    <mergeCell ref="BI20:BK20"/>
    <mergeCell ref="BL20:BN20"/>
    <mergeCell ref="AA18:BB18"/>
    <mergeCell ref="AA19:BB19"/>
    <mergeCell ref="BC19:BE19"/>
    <mergeCell ref="BF19:BH19"/>
    <mergeCell ref="BI19:BK19"/>
    <mergeCell ref="BL19:BN19"/>
    <mergeCell ref="AA20:BB20"/>
    <mergeCell ref="BF22:BH22"/>
    <mergeCell ref="BI22:BK22"/>
    <mergeCell ref="AA21:BB21"/>
    <mergeCell ref="BC21:BE21"/>
    <mergeCell ref="BF21:BH21"/>
    <mergeCell ref="BI21:BK21"/>
    <mergeCell ref="BL21:BN21"/>
    <mergeCell ref="AA22:BB22"/>
    <mergeCell ref="BC22:BE22"/>
    <mergeCell ref="BL22:BN22"/>
    <mergeCell ref="AV9:BB9"/>
    <mergeCell ref="BC9:BI9"/>
    <mergeCell ref="AV10:BB10"/>
    <mergeCell ref="BC10:BI10"/>
    <mergeCell ref="B8:G8"/>
    <mergeCell ref="H8:AE8"/>
    <mergeCell ref="AK8:AN8"/>
    <mergeCell ref="AO8:AU8"/>
    <mergeCell ref="AV8:BB8"/>
    <mergeCell ref="BC8:BI8"/>
    <mergeCell ref="B9:G9"/>
    <mergeCell ref="BF13:BH13"/>
    <mergeCell ref="BI13:BK13"/>
    <mergeCell ref="BL13:BN13"/>
    <mergeCell ref="AK9:AN9"/>
    <mergeCell ref="AO9:AU9"/>
    <mergeCell ref="AK10:AN10"/>
    <mergeCell ref="AO10:AU10"/>
    <mergeCell ref="B13:Z13"/>
    <mergeCell ref="AA13:BB13"/>
    <mergeCell ref="BC13:BE13"/>
    <mergeCell ref="B14:Z14"/>
    <mergeCell ref="AA14:BB14"/>
    <mergeCell ref="BC14:BE14"/>
    <mergeCell ref="BF14:BH14"/>
    <mergeCell ref="BI14:BK14"/>
    <mergeCell ref="BL14:BN14"/>
    <mergeCell ref="BL15:BN15"/>
    <mergeCell ref="AA15:BB15"/>
    <mergeCell ref="BC15:BE15"/>
    <mergeCell ref="AA16:BB16"/>
    <mergeCell ref="BC16:BE16"/>
    <mergeCell ref="AA17:BB17"/>
    <mergeCell ref="BC17:BE17"/>
    <mergeCell ref="BC18:BE18"/>
    <mergeCell ref="B15:Z15"/>
    <mergeCell ref="B16:Z16"/>
    <mergeCell ref="B17:Z17"/>
    <mergeCell ref="B18:Z18"/>
    <mergeCell ref="B19:Z19"/>
    <mergeCell ref="B20:Z20"/>
    <mergeCell ref="B21:Z21"/>
    <mergeCell ref="BI30:BK30"/>
    <mergeCell ref="BL30:BN30"/>
    <mergeCell ref="AA28:BB28"/>
    <mergeCell ref="AA29:BB29"/>
    <mergeCell ref="BC29:BE29"/>
    <mergeCell ref="BF29:BH29"/>
    <mergeCell ref="BI29:BK29"/>
    <mergeCell ref="BL29:BN29"/>
    <mergeCell ref="AA30:BB30"/>
    <mergeCell ref="AA33:BB33"/>
    <mergeCell ref="AA34:BB34"/>
    <mergeCell ref="AA32:BB32"/>
    <mergeCell ref="BC32:BE32"/>
    <mergeCell ref="BF32:BH32"/>
    <mergeCell ref="BI32:BK32"/>
    <mergeCell ref="BL32:BN32"/>
    <mergeCell ref="BC33:BE33"/>
    <mergeCell ref="BL33:BN33"/>
    <mergeCell ref="AA62:BB62"/>
    <mergeCell ref="BC62:BE62"/>
    <mergeCell ref="BF62:BH62"/>
    <mergeCell ref="BI62:BK62"/>
    <mergeCell ref="BL62:BN62"/>
    <mergeCell ref="BC63:BE63"/>
    <mergeCell ref="BL63:BN63"/>
    <mergeCell ref="BI65:BK65"/>
    <mergeCell ref="BL65:BN65"/>
    <mergeCell ref="AA63:BB63"/>
    <mergeCell ref="AA64:BB64"/>
    <mergeCell ref="BC64:BE64"/>
    <mergeCell ref="BF64:BH64"/>
    <mergeCell ref="BI64:BK64"/>
    <mergeCell ref="BL64:BN64"/>
    <mergeCell ref="AA65:BB65"/>
    <mergeCell ref="BF59:BH59"/>
    <mergeCell ref="BI59:BK59"/>
    <mergeCell ref="AA58:BB58"/>
    <mergeCell ref="BC58:BE58"/>
    <mergeCell ref="BF58:BH58"/>
    <mergeCell ref="BI58:BK58"/>
    <mergeCell ref="BL58:BN58"/>
    <mergeCell ref="BC59:BE59"/>
    <mergeCell ref="BL59:BN59"/>
    <mergeCell ref="BC61:BE61"/>
    <mergeCell ref="BF61:BH61"/>
    <mergeCell ref="BI61:BK61"/>
    <mergeCell ref="BL61:BN61"/>
    <mergeCell ref="AA59:BB59"/>
    <mergeCell ref="AA60:BB60"/>
    <mergeCell ref="BC60:BE60"/>
    <mergeCell ref="BF60:BH60"/>
    <mergeCell ref="BI60:BK60"/>
    <mergeCell ref="BL60:BN60"/>
    <mergeCell ref="AA61:BB61"/>
    <mergeCell ref="BF63:BH63"/>
    <mergeCell ref="BI63:BK63"/>
    <mergeCell ref="BC65:BE65"/>
    <mergeCell ref="BF65:BH65"/>
    <mergeCell ref="AA70:BB70"/>
    <mergeCell ref="BC70:BE70"/>
    <mergeCell ref="BF70:BH70"/>
    <mergeCell ref="BI70:BK70"/>
    <mergeCell ref="BL70:BN70"/>
    <mergeCell ref="BC71:BE71"/>
    <mergeCell ref="BL71:BN71"/>
    <mergeCell ref="BI73:BK73"/>
    <mergeCell ref="BL73:BN73"/>
    <mergeCell ref="AA71:BB71"/>
    <mergeCell ref="AA72:BB72"/>
    <mergeCell ref="BC72:BE72"/>
    <mergeCell ref="BF72:BH72"/>
    <mergeCell ref="BI72:BK72"/>
    <mergeCell ref="BL72:BN72"/>
    <mergeCell ref="AA73:BB73"/>
    <mergeCell ref="BF67:BH67"/>
    <mergeCell ref="BI67:BK67"/>
    <mergeCell ref="AA66:BB66"/>
    <mergeCell ref="BC66:BE66"/>
    <mergeCell ref="BF66:BH66"/>
    <mergeCell ref="BI66:BK66"/>
    <mergeCell ref="BL66:BN66"/>
    <mergeCell ref="BC67:BE67"/>
    <mergeCell ref="BL67:BN67"/>
    <mergeCell ref="BC69:BE69"/>
    <mergeCell ref="BF69:BH69"/>
    <mergeCell ref="BI69:BK69"/>
    <mergeCell ref="BL69:BN69"/>
    <mergeCell ref="AA67:BB67"/>
    <mergeCell ref="AA68:BB68"/>
    <mergeCell ref="BC68:BE68"/>
    <mergeCell ref="BF68:BH68"/>
    <mergeCell ref="BI68:BK68"/>
    <mergeCell ref="BL68:BN68"/>
    <mergeCell ref="AA69:BB69"/>
    <mergeCell ref="BF71:BH71"/>
    <mergeCell ref="BI71:BK71"/>
    <mergeCell ref="BC73:BE73"/>
    <mergeCell ref="BF73:BH73"/>
    <mergeCell ref="AA78:BB78"/>
    <mergeCell ref="BC78:BE78"/>
    <mergeCell ref="BF78:BH78"/>
    <mergeCell ref="BI78:BK78"/>
    <mergeCell ref="BL78:BN78"/>
    <mergeCell ref="BC79:BE79"/>
    <mergeCell ref="BL79:BN79"/>
    <mergeCell ref="BI81:BK81"/>
    <mergeCell ref="BL81:BN81"/>
    <mergeCell ref="AA79:BB79"/>
    <mergeCell ref="AA80:BB80"/>
    <mergeCell ref="BC80:BE80"/>
    <mergeCell ref="BF80:BH80"/>
    <mergeCell ref="BI80:BK80"/>
    <mergeCell ref="BL80:BN80"/>
    <mergeCell ref="AA81:BB81"/>
    <mergeCell ref="BF75:BH75"/>
    <mergeCell ref="BI75:BK75"/>
    <mergeCell ref="AA74:BB74"/>
    <mergeCell ref="BC74:BE74"/>
    <mergeCell ref="BF74:BH74"/>
    <mergeCell ref="BI74:BK74"/>
    <mergeCell ref="BL74:BN74"/>
    <mergeCell ref="BC75:BE75"/>
    <mergeCell ref="BL75:BN75"/>
    <mergeCell ref="BC77:BE77"/>
    <mergeCell ref="BF77:BH77"/>
    <mergeCell ref="BI77:BK77"/>
    <mergeCell ref="BL77:BN77"/>
    <mergeCell ref="AA75:BB75"/>
    <mergeCell ref="AA76:BB76"/>
    <mergeCell ref="BC76:BE76"/>
    <mergeCell ref="BF76:BH76"/>
    <mergeCell ref="BI76:BK76"/>
    <mergeCell ref="BL76:BN76"/>
    <mergeCell ref="AA77:BB77"/>
    <mergeCell ref="BF79:BH79"/>
    <mergeCell ref="BI79:BK79"/>
    <mergeCell ref="BC81:BE81"/>
    <mergeCell ref="BF81:BH81"/>
    <mergeCell ref="B22:Z22"/>
    <mergeCell ref="B23:Z23"/>
    <mergeCell ref="AA23:BB23"/>
    <mergeCell ref="BC23:BE23"/>
    <mergeCell ref="BF23:BH23"/>
    <mergeCell ref="BI23:BK23"/>
    <mergeCell ref="BL23:BN23"/>
    <mergeCell ref="C24:Z24"/>
    <mergeCell ref="AA24:BB24"/>
    <mergeCell ref="BC24:BE24"/>
    <mergeCell ref="BF24:BH24"/>
    <mergeCell ref="BI24:BK24"/>
    <mergeCell ref="BL24:BN24"/>
    <mergeCell ref="BL25:BN25"/>
    <mergeCell ref="BF27:BH27"/>
    <mergeCell ref="BF28:BH28"/>
    <mergeCell ref="BI28:BK28"/>
    <mergeCell ref="BL28:BN28"/>
    <mergeCell ref="BF25:BH25"/>
    <mergeCell ref="BI25:BK25"/>
    <mergeCell ref="BF26:BH26"/>
    <mergeCell ref="BI26:BK26"/>
    <mergeCell ref="BL26:BN26"/>
    <mergeCell ref="BI27:BK27"/>
    <mergeCell ref="BL27:BN27"/>
    <mergeCell ref="AA25:BB25"/>
    <mergeCell ref="BC25:BE25"/>
    <mergeCell ref="AA26:BB26"/>
    <mergeCell ref="BC26:BE26"/>
    <mergeCell ref="AA27:BB27"/>
    <mergeCell ref="BC27:BE27"/>
    <mergeCell ref="BC28:BE28"/>
    <mergeCell ref="BC30:BE30"/>
    <mergeCell ref="BF30:BH30"/>
    <mergeCell ref="AA31:BB31"/>
    <mergeCell ref="BC31:BE31"/>
    <mergeCell ref="BF31:BH31"/>
    <mergeCell ref="BI31:BK31"/>
    <mergeCell ref="BL31:BN31"/>
    <mergeCell ref="BC35:BE35"/>
    <mergeCell ref="BF35:BH35"/>
    <mergeCell ref="BI35:BK35"/>
    <mergeCell ref="BL35:BN35"/>
    <mergeCell ref="BF33:BH33"/>
    <mergeCell ref="BI33:BK33"/>
    <mergeCell ref="BC34:BE34"/>
    <mergeCell ref="BF34:BH34"/>
    <mergeCell ref="BI34:BK34"/>
    <mergeCell ref="BL34:BN34"/>
    <mergeCell ref="AA35:BB35"/>
    <mergeCell ref="BF37:BH37"/>
    <mergeCell ref="BI37:BK37"/>
    <mergeCell ref="AA36:BB36"/>
    <mergeCell ref="BC36:BE36"/>
    <mergeCell ref="BF36:BH36"/>
    <mergeCell ref="BI36:BK36"/>
    <mergeCell ref="BL36:BN36"/>
    <mergeCell ref="BC37:BE37"/>
    <mergeCell ref="BL37:BN37"/>
    <mergeCell ref="BC39:BE39"/>
    <mergeCell ref="BF39:BH39"/>
    <mergeCell ref="BI39:BK39"/>
    <mergeCell ref="BL39:BN39"/>
    <mergeCell ref="AA37:BB37"/>
    <mergeCell ref="AA38:BB38"/>
    <mergeCell ref="BC38:BE38"/>
    <mergeCell ref="BF38:BH38"/>
    <mergeCell ref="BI38:BK38"/>
    <mergeCell ref="BL38:BN38"/>
    <mergeCell ref="AA39:BB39"/>
    <mergeCell ref="AA44:BB44"/>
    <mergeCell ref="BC44:BE44"/>
    <mergeCell ref="BF44:BH44"/>
    <mergeCell ref="BI44:BK44"/>
    <mergeCell ref="BL44:BN44"/>
    <mergeCell ref="BC45:BE45"/>
    <mergeCell ref="BL45:BN45"/>
    <mergeCell ref="BI47:BK47"/>
    <mergeCell ref="BL47:BN47"/>
    <mergeCell ref="AA45:BB45"/>
    <mergeCell ref="AA46:BB46"/>
    <mergeCell ref="BC46:BE46"/>
    <mergeCell ref="BF46:BH46"/>
    <mergeCell ref="BI46:BK46"/>
    <mergeCell ref="BL46:BN46"/>
    <mergeCell ref="AA47:BB47"/>
    <mergeCell ref="BF41:BH41"/>
    <mergeCell ref="BI41:BK41"/>
    <mergeCell ref="AA40:BB40"/>
    <mergeCell ref="BC40:BE40"/>
    <mergeCell ref="BF40:BH40"/>
    <mergeCell ref="BI40:BK40"/>
    <mergeCell ref="BL40:BN40"/>
    <mergeCell ref="BC41:BE41"/>
    <mergeCell ref="BL41:BN41"/>
    <mergeCell ref="BC43:BE43"/>
    <mergeCell ref="BF43:BH43"/>
    <mergeCell ref="BI43:BK43"/>
    <mergeCell ref="BL43:BN43"/>
    <mergeCell ref="AA41:BB41"/>
    <mergeCell ref="AA42:BB42"/>
    <mergeCell ref="BC42:BE42"/>
    <mergeCell ref="BF42:BH42"/>
    <mergeCell ref="BI42:BK42"/>
    <mergeCell ref="BL42:BN42"/>
    <mergeCell ref="AA43:BB43"/>
    <mergeCell ref="BF45:BH45"/>
    <mergeCell ref="BI45:BK45"/>
    <mergeCell ref="BC47:BE47"/>
    <mergeCell ref="BF47:BH47"/>
    <mergeCell ref="AA48:BB48"/>
    <mergeCell ref="BC48:BE48"/>
    <mergeCell ref="BF48:BH48"/>
    <mergeCell ref="BI48:BK48"/>
    <mergeCell ref="BL48:BN48"/>
    <mergeCell ref="AA53:BB53"/>
    <mergeCell ref="BC53:BE53"/>
    <mergeCell ref="BF53:BH53"/>
    <mergeCell ref="BI53:BK53"/>
    <mergeCell ref="BL53:BN53"/>
    <mergeCell ref="BC54:BE54"/>
    <mergeCell ref="BL54:BN54"/>
    <mergeCell ref="BI56:BK56"/>
    <mergeCell ref="BL56:BN56"/>
    <mergeCell ref="AA54:BB54"/>
    <mergeCell ref="AA55:BB55"/>
    <mergeCell ref="BC55:BE55"/>
    <mergeCell ref="BF55:BH55"/>
    <mergeCell ref="BI55:BK55"/>
    <mergeCell ref="BL55:BN55"/>
    <mergeCell ref="AA56:BB56"/>
    <mergeCell ref="BF50:BH50"/>
    <mergeCell ref="BI50:BK50"/>
    <mergeCell ref="AA49:BB49"/>
    <mergeCell ref="BC49:BE49"/>
    <mergeCell ref="BF49:BH49"/>
    <mergeCell ref="BI49:BK49"/>
    <mergeCell ref="BL49:BN49"/>
    <mergeCell ref="BC50:BE50"/>
    <mergeCell ref="BL50:BN50"/>
    <mergeCell ref="BC52:BE52"/>
    <mergeCell ref="BF52:BH52"/>
    <mergeCell ref="BI52:BK52"/>
    <mergeCell ref="BL52:BN52"/>
    <mergeCell ref="AA50:BB50"/>
    <mergeCell ref="AA51:BB51"/>
    <mergeCell ref="BC51:BE51"/>
    <mergeCell ref="BF51:BH51"/>
    <mergeCell ref="BI51:BK51"/>
    <mergeCell ref="BL51:BN51"/>
    <mergeCell ref="AA52:BB52"/>
    <mergeCell ref="BF54:BH54"/>
    <mergeCell ref="BI54:BK54"/>
    <mergeCell ref="BC56:BE56"/>
    <mergeCell ref="BF56:BH56"/>
    <mergeCell ref="AA57:BB57"/>
    <mergeCell ref="BC57:BE57"/>
    <mergeCell ref="BF57:BH57"/>
    <mergeCell ref="BI57:BK57"/>
    <mergeCell ref="BL57:BN57"/>
    <mergeCell ref="C25:Z25"/>
    <mergeCell ref="B26:Z26"/>
    <mergeCell ref="B27:Z27"/>
    <mergeCell ref="B28:Z28"/>
    <mergeCell ref="B29:Z29"/>
    <mergeCell ref="B30:Z30"/>
    <mergeCell ref="B31:Z31"/>
    <mergeCell ref="B32:Z32"/>
    <mergeCell ref="B33:Z33"/>
    <mergeCell ref="B34:Z34"/>
    <mergeCell ref="B35:Z35"/>
    <mergeCell ref="B36:Z36"/>
    <mergeCell ref="B37:Z37"/>
    <mergeCell ref="B38:Z38"/>
    <mergeCell ref="C39:Z39"/>
    <mergeCell ref="C40:Z40"/>
    <mergeCell ref="B41:Z41"/>
    <mergeCell ref="B42:Z42"/>
    <mergeCell ref="B43:Z43"/>
    <mergeCell ref="B44:Z44"/>
    <mergeCell ref="B45:Z45"/>
    <mergeCell ref="B46:Z46"/>
    <mergeCell ref="B47:Z47"/>
    <mergeCell ref="B48:Z48"/>
    <mergeCell ref="B49:Z49"/>
    <mergeCell ref="B50:Z50"/>
    <mergeCell ref="B51:Z51"/>
    <mergeCell ref="B52:Z52"/>
    <mergeCell ref="B53:Z53"/>
    <mergeCell ref="B54:Z54"/>
    <mergeCell ref="B55:Z55"/>
    <mergeCell ref="B56:Z56"/>
    <mergeCell ref="B57:Z57"/>
    <mergeCell ref="B58:Z58"/>
    <mergeCell ref="B59:Z59"/>
    <mergeCell ref="B60:Z60"/>
    <mergeCell ref="B61:Z61"/>
    <mergeCell ref="B62:Z62"/>
    <mergeCell ref="B63:Z63"/>
    <mergeCell ref="B64:Z64"/>
    <mergeCell ref="B65:Z65"/>
    <mergeCell ref="B66:Z66"/>
    <mergeCell ref="B67:Z67"/>
    <mergeCell ref="B68:Z68"/>
    <mergeCell ref="B69:Z69"/>
    <mergeCell ref="B70:Z70"/>
    <mergeCell ref="B71:Z71"/>
    <mergeCell ref="B72:Z72"/>
    <mergeCell ref="B73:Z73"/>
    <mergeCell ref="BC108:BE108"/>
    <mergeCell ref="BF108:BH108"/>
    <mergeCell ref="AA109:BB109"/>
    <mergeCell ref="BC109:BE109"/>
    <mergeCell ref="BF109:BH109"/>
    <mergeCell ref="BC110:BE110"/>
    <mergeCell ref="BF110:BH110"/>
    <mergeCell ref="BI112:BK112"/>
    <mergeCell ref="BL112:BN112"/>
    <mergeCell ref="AA110:BB110"/>
    <mergeCell ref="AA111:BB111"/>
    <mergeCell ref="BC111:BE111"/>
    <mergeCell ref="BF111:BH111"/>
    <mergeCell ref="BI111:BK111"/>
    <mergeCell ref="BL111:BN111"/>
    <mergeCell ref="AA112:BB112"/>
    <mergeCell ref="AA101:BB101"/>
    <mergeCell ref="BC101:BE101"/>
    <mergeCell ref="BF101:BH101"/>
    <mergeCell ref="BI101:BK101"/>
    <mergeCell ref="BL101:BN101"/>
    <mergeCell ref="BC102:BE102"/>
    <mergeCell ref="BL102:BN102"/>
    <mergeCell ref="BC104:BE104"/>
    <mergeCell ref="BF104:BH104"/>
    <mergeCell ref="BI104:BK104"/>
    <mergeCell ref="BL104:BN104"/>
    <mergeCell ref="AA102:BB102"/>
    <mergeCell ref="AA103:BB103"/>
    <mergeCell ref="BC103:BE103"/>
    <mergeCell ref="BF103:BH103"/>
    <mergeCell ref="BI103:BK103"/>
    <mergeCell ref="BL103:BN103"/>
    <mergeCell ref="AA104:BB104"/>
    <mergeCell ref="BF106:BH106"/>
    <mergeCell ref="BI106:BK106"/>
    <mergeCell ref="BI108:BK108"/>
    <mergeCell ref="BL108:BN108"/>
    <mergeCell ref="BI109:BK109"/>
    <mergeCell ref="BL109:BN109"/>
    <mergeCell ref="BI110:BK110"/>
    <mergeCell ref="BL110:BN110"/>
    <mergeCell ref="BC112:BE112"/>
    <mergeCell ref="BF112:BH112"/>
    <mergeCell ref="BC89:BE89"/>
    <mergeCell ref="BF89:BH89"/>
    <mergeCell ref="BI89:BK89"/>
    <mergeCell ref="BL89:BN89"/>
    <mergeCell ref="AA87:BB87"/>
    <mergeCell ref="AA88:BB88"/>
    <mergeCell ref="BC88:BE88"/>
    <mergeCell ref="BF88:BH88"/>
    <mergeCell ref="BI88:BK88"/>
    <mergeCell ref="BL88:BN88"/>
    <mergeCell ref="AA89:BB89"/>
    <mergeCell ref="BF91:BH91"/>
    <mergeCell ref="BI91:BK91"/>
    <mergeCell ref="AA90:BB90"/>
    <mergeCell ref="BC90:BE90"/>
    <mergeCell ref="BF90:BH90"/>
    <mergeCell ref="BI90:BK90"/>
    <mergeCell ref="BL90:BN90"/>
    <mergeCell ref="AA91:BB91"/>
    <mergeCell ref="BC91:BE91"/>
    <mergeCell ref="BL91:BN91"/>
    <mergeCell ref="B74:Z74"/>
    <mergeCell ref="B75:Z75"/>
    <mergeCell ref="B76:Z76"/>
    <mergeCell ref="B77:Z77"/>
    <mergeCell ref="B78:Z78"/>
    <mergeCell ref="B79:Z79"/>
    <mergeCell ref="B80:Z80"/>
    <mergeCell ref="B81:Z81"/>
    <mergeCell ref="B82:Z82"/>
    <mergeCell ref="AA82:BB82"/>
    <mergeCell ref="BC82:BE82"/>
    <mergeCell ref="BF82:BH82"/>
    <mergeCell ref="BI82:BK82"/>
    <mergeCell ref="BL82:BN82"/>
    <mergeCell ref="B83:Z83"/>
    <mergeCell ref="AA83:BB83"/>
    <mergeCell ref="BC83:BE83"/>
    <mergeCell ref="BF83:BH83"/>
    <mergeCell ref="BI83:BK83"/>
    <mergeCell ref="BL83:BN83"/>
    <mergeCell ref="BL84:BN84"/>
    <mergeCell ref="BF86:BH86"/>
    <mergeCell ref="BF87:BH87"/>
    <mergeCell ref="BI87:BK87"/>
    <mergeCell ref="BL87:BN87"/>
    <mergeCell ref="BF84:BH84"/>
    <mergeCell ref="BI84:BK84"/>
    <mergeCell ref="BF85:BH85"/>
    <mergeCell ref="BI85:BK85"/>
    <mergeCell ref="BL85:BN85"/>
    <mergeCell ref="BI86:BK86"/>
    <mergeCell ref="BL86:BN86"/>
    <mergeCell ref="AA84:BB84"/>
    <mergeCell ref="BC84:BE84"/>
    <mergeCell ref="AA85:BB85"/>
    <mergeCell ref="BC85:BE85"/>
    <mergeCell ref="AA86:BB86"/>
    <mergeCell ref="BC86:BE86"/>
    <mergeCell ref="BC87:BE87"/>
    <mergeCell ref="B84:Z84"/>
    <mergeCell ref="B85:Z85"/>
    <mergeCell ref="B86:Z86"/>
    <mergeCell ref="B87:Z87"/>
    <mergeCell ref="B88:Z88"/>
    <mergeCell ref="B89:Z89"/>
    <mergeCell ref="B90:Z90"/>
    <mergeCell ref="BI99:BK99"/>
    <mergeCell ref="BL99:BN99"/>
    <mergeCell ref="AA97:BB97"/>
    <mergeCell ref="AA98:BB98"/>
    <mergeCell ref="BC98:BE98"/>
    <mergeCell ref="BF98:BH98"/>
    <mergeCell ref="BI98:BK98"/>
    <mergeCell ref="BL98:BN98"/>
    <mergeCell ref="AA99:BB99"/>
    <mergeCell ref="B94:Z94"/>
    <mergeCell ref="B95:Z95"/>
    <mergeCell ref="B96:Z96"/>
    <mergeCell ref="B97:Z97"/>
    <mergeCell ref="B98:Z98"/>
    <mergeCell ref="B99:Z99"/>
    <mergeCell ref="B100:Z100"/>
    <mergeCell ref="B101:Z101"/>
    <mergeCell ref="B102:Z102"/>
    <mergeCell ref="B103:Z103"/>
    <mergeCell ref="B104:Z104"/>
    <mergeCell ref="B105:Z105"/>
    <mergeCell ref="B106:Z106"/>
    <mergeCell ref="B107:Z107"/>
    <mergeCell ref="B115:Z115"/>
    <mergeCell ref="B116:Z116"/>
    <mergeCell ref="B117:Z117"/>
    <mergeCell ref="B118:Z118"/>
    <mergeCell ref="B119:Z119"/>
    <mergeCell ref="B120:Z120"/>
    <mergeCell ref="B108:Z108"/>
    <mergeCell ref="B109:Z109"/>
    <mergeCell ref="B110:Z110"/>
    <mergeCell ref="B111:Z111"/>
    <mergeCell ref="B112:Z112"/>
    <mergeCell ref="B113:Z113"/>
    <mergeCell ref="B114:Z114"/>
    <mergeCell ref="B91:Z91"/>
    <mergeCell ref="B92:Z92"/>
    <mergeCell ref="AA92:BB92"/>
    <mergeCell ref="BC92:BE92"/>
    <mergeCell ref="BF92:BH92"/>
    <mergeCell ref="BI92:BK92"/>
    <mergeCell ref="BL92:BN92"/>
    <mergeCell ref="B93:Z93"/>
    <mergeCell ref="AA93:BB93"/>
    <mergeCell ref="BC93:BE93"/>
    <mergeCell ref="BF93:BH93"/>
    <mergeCell ref="BI93:BK93"/>
    <mergeCell ref="BL93:BN93"/>
    <mergeCell ref="BL94:BN94"/>
    <mergeCell ref="BF96:BH96"/>
    <mergeCell ref="BF97:BH97"/>
    <mergeCell ref="BI97:BK97"/>
    <mergeCell ref="BL97:BN97"/>
    <mergeCell ref="BF94:BH94"/>
    <mergeCell ref="BI94:BK94"/>
    <mergeCell ref="BF95:BH95"/>
    <mergeCell ref="BI95:BK95"/>
    <mergeCell ref="BL95:BN95"/>
    <mergeCell ref="BI96:BK96"/>
    <mergeCell ref="BL96:BN96"/>
    <mergeCell ref="AA94:BB94"/>
    <mergeCell ref="BC94:BE94"/>
    <mergeCell ref="AA95:BB95"/>
    <mergeCell ref="BC95:BE95"/>
    <mergeCell ref="AA96:BB96"/>
    <mergeCell ref="BC96:BE96"/>
    <mergeCell ref="BC97:BE97"/>
    <mergeCell ref="BC99:BE99"/>
    <mergeCell ref="BF99:BH99"/>
    <mergeCell ref="AA100:BB100"/>
    <mergeCell ref="BC100:BE100"/>
    <mergeCell ref="BF100:BH100"/>
    <mergeCell ref="BI100:BK100"/>
    <mergeCell ref="BL100:BN100"/>
    <mergeCell ref="BF102:BH102"/>
    <mergeCell ref="BI102:BK102"/>
    <mergeCell ref="BF118:BH118"/>
    <mergeCell ref="BI118:BK118"/>
    <mergeCell ref="AA118:BB118"/>
    <mergeCell ref="AA119:BB119"/>
    <mergeCell ref="BC119:BE119"/>
    <mergeCell ref="BF119:BH119"/>
    <mergeCell ref="BI119:BK119"/>
    <mergeCell ref="BL119:BN119"/>
    <mergeCell ref="AA120:BB120"/>
    <mergeCell ref="AA117:BB117"/>
    <mergeCell ref="BC117:BE117"/>
    <mergeCell ref="BF117:BH117"/>
    <mergeCell ref="BI117:BK117"/>
    <mergeCell ref="BL117:BN117"/>
    <mergeCell ref="BC118:BE118"/>
    <mergeCell ref="BL118:BN118"/>
    <mergeCell ref="AA105:BB105"/>
    <mergeCell ref="BC105:BE105"/>
    <mergeCell ref="BF105:BH105"/>
    <mergeCell ref="BI105:BK105"/>
    <mergeCell ref="BL105:BN105"/>
    <mergeCell ref="BC106:BE106"/>
    <mergeCell ref="BL106:BN106"/>
    <mergeCell ref="AA106:BB106"/>
    <mergeCell ref="AA107:BB107"/>
    <mergeCell ref="BC107:BE107"/>
    <mergeCell ref="BF107:BH107"/>
    <mergeCell ref="BI107:BK107"/>
    <mergeCell ref="BL107:BN107"/>
    <mergeCell ref="AA108:BB108"/>
    <mergeCell ref="BF114:BH114"/>
    <mergeCell ref="BI114:BK114"/>
    <mergeCell ref="AA113:BB113"/>
    <mergeCell ref="BC113:BE113"/>
    <mergeCell ref="BF113:BH113"/>
    <mergeCell ref="BI113:BK113"/>
    <mergeCell ref="BL113:BN113"/>
    <mergeCell ref="BC114:BE114"/>
    <mergeCell ref="BL114:BN114"/>
    <mergeCell ref="BC116:BE116"/>
    <mergeCell ref="BF116:BH116"/>
    <mergeCell ref="BI116:BK116"/>
    <mergeCell ref="BL116:BN116"/>
    <mergeCell ref="AA114:BB114"/>
    <mergeCell ref="AA115:BB115"/>
    <mergeCell ref="BC115:BE115"/>
    <mergeCell ref="BF115:BH115"/>
    <mergeCell ref="BI115:BK115"/>
    <mergeCell ref="BL115:BN115"/>
    <mergeCell ref="AA116:BB116"/>
  </mergeCells>
  <conditionalFormatting sqref="AO7:AS10">
    <cfRule type="cellIs" dxfId="4" priority="1" operator="equal">
      <formula>"@"</formula>
    </cfRule>
  </conditionalFormatting>
  <conditionalFormatting sqref="BC7:BI10">
    <cfRule type="cellIs" dxfId="4" priority="2" operator="equal">
      <formula>"@"</formula>
    </cfRule>
  </conditionalFormatting>
  <conditionalFormatting sqref="H7:AE8">
    <cfRule type="cellIs" dxfId="4" priority="3" operator="equal">
      <formula>0</formula>
    </cfRule>
  </conditionalFormatting>
  <dataValidations>
    <dataValidation type="list" allowBlank="1" showInputMessage="1" showErrorMessage="1" prompt="Data entry Error - Please enter either a 1 or 0 for this item." sqref="BC14:BC25 BF14:BF25 BI14:BI25 BL14:BL25 BC29:BC40 BF29:BF40 BI29:BI40 BL29:BL40 BC44:BC53 BF44:BF53 BI44:BI53 BL44:BL53 BC57:BC66 BF57:BF66 BI57:BI66 BL57:BL66 BC70:BC79 BF70:BF79 BI70:BI79 BL70:BL79 BC83:BC92 BF83:BF92 BI83:BI92 BL83:BL92 BC96:BC105 BF96:BF105 BI96:BI105 BL96:BL105 BC109:BC118 BF109:BF118 BI109:BI118 BL109:BL118">
      <formula1>"0,1"</formula1>
    </dataValidation>
  </dataValidations>
  <printOptions horizontalCentered="1"/>
  <pageMargins bottom="0.75" footer="0.0" header="0.0" left="0.25" right="0.25"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0000"/>
    <pageSetUpPr/>
  </sheetPr>
  <sheetViews>
    <sheetView showGridLines="0" workbookViewId="0"/>
  </sheetViews>
  <sheetFormatPr customHeight="1" defaultColWidth="14.43" defaultRowHeight="15.0"/>
  <cols>
    <col customWidth="1" min="1" max="1" width="8.86"/>
    <col customWidth="1" min="2" max="2" width="2.43"/>
    <col customWidth="1" min="3" max="3" width="13.43"/>
    <col customWidth="1" min="4" max="5" width="2.43"/>
    <col customWidth="1" min="6" max="6" width="11.0"/>
    <col customWidth="1" min="7" max="7" width="2.43"/>
    <col customWidth="1" min="8" max="8" width="5.71"/>
    <col customWidth="1" min="9" max="9" width="2.43"/>
    <col customWidth="1" min="10" max="10" width="5.29"/>
    <col customWidth="1" min="11" max="11" width="2.43"/>
    <col customWidth="1" min="12" max="12" width="13.43"/>
    <col customWidth="1" min="13" max="13" width="2.43"/>
    <col customWidth="1" min="14" max="16" width="8.86"/>
    <col customWidth="1" min="17" max="20" width="5.71"/>
    <col customWidth="1" min="21" max="21" width="6.29"/>
    <col customWidth="1" min="22" max="22" width="1.0"/>
    <col customWidth="1" min="23" max="23" width="2.86"/>
    <col customWidth="1" min="24" max="24" width="7.86"/>
    <col customWidth="1" min="25" max="25" width="5.71"/>
    <col customWidth="1" min="26" max="26" width="9.14"/>
    <col customWidth="1" min="27" max="32" width="8.86"/>
    <col customWidth="1" hidden="1" min="33" max="33" width="8.86"/>
    <col customWidth="1" min="34" max="45" width="8.86"/>
  </cols>
  <sheetData>
    <row r="1" ht="18.0" customHeight="1">
      <c r="A1" s="200" t="s">
        <v>161</v>
      </c>
      <c r="B1" s="2"/>
      <c r="C1" s="2"/>
      <c r="D1" s="2"/>
      <c r="E1" s="2"/>
      <c r="F1" s="2"/>
      <c r="G1" s="2"/>
      <c r="H1" s="2"/>
      <c r="I1" s="2"/>
      <c r="J1" s="2"/>
      <c r="K1" s="2"/>
      <c r="L1" s="2"/>
      <c r="M1" s="2"/>
      <c r="N1" s="2"/>
      <c r="O1" s="2"/>
      <c r="P1" s="2"/>
      <c r="Q1" s="2"/>
      <c r="R1" s="2"/>
      <c r="S1" s="2"/>
      <c r="T1" s="2"/>
      <c r="U1" s="2"/>
      <c r="V1" s="201"/>
      <c r="W1" s="202"/>
      <c r="X1" s="202"/>
      <c r="Y1" s="202"/>
      <c r="Z1" s="202"/>
      <c r="AA1" s="202"/>
      <c r="AB1" s="11"/>
      <c r="AC1" s="11"/>
      <c r="AD1" s="11"/>
      <c r="AE1" s="11"/>
      <c r="AF1" s="11"/>
      <c r="AG1" s="6"/>
      <c r="AH1" s="6"/>
      <c r="AI1" s="6"/>
      <c r="AJ1" s="6"/>
      <c r="AK1" s="6"/>
      <c r="AL1" s="6"/>
      <c r="AM1" s="6"/>
      <c r="AN1" s="6"/>
      <c r="AO1" s="6"/>
      <c r="AP1" s="6"/>
      <c r="AQ1" s="6"/>
      <c r="AR1" s="6"/>
      <c r="AS1" s="6"/>
    </row>
    <row r="2" ht="9.75" customHeight="1">
      <c r="A2" s="4"/>
      <c r="V2" s="201"/>
      <c r="W2" s="203"/>
      <c r="X2" s="203"/>
      <c r="Y2" s="203"/>
      <c r="Z2" s="203"/>
      <c r="AA2" s="203"/>
      <c r="AB2" s="11"/>
      <c r="AC2" s="11"/>
      <c r="AD2" s="11"/>
      <c r="AE2" s="11"/>
      <c r="AF2" s="11"/>
      <c r="AG2" s="6"/>
      <c r="AH2" s="6"/>
      <c r="AI2" s="6"/>
      <c r="AJ2" s="6"/>
      <c r="AK2" s="6"/>
      <c r="AL2" s="6"/>
      <c r="AM2" s="6"/>
      <c r="AN2" s="6"/>
      <c r="AO2" s="6"/>
      <c r="AP2" s="6"/>
      <c r="AQ2" s="6"/>
      <c r="AR2" s="6"/>
      <c r="AS2" s="6"/>
    </row>
    <row r="3" ht="5.25" customHeight="1">
      <c r="A3" s="204"/>
      <c r="B3" s="205"/>
      <c r="C3" s="205"/>
      <c r="D3" s="205"/>
      <c r="E3" s="205"/>
      <c r="F3" s="205"/>
      <c r="G3" s="205"/>
      <c r="H3" s="205"/>
      <c r="I3" s="205"/>
      <c r="J3" s="205"/>
      <c r="K3" s="205"/>
      <c r="L3" s="205"/>
      <c r="M3" s="205"/>
      <c r="N3" s="205"/>
      <c r="O3" s="205"/>
      <c r="P3" s="205"/>
      <c r="Q3" s="205"/>
      <c r="R3" s="205"/>
      <c r="S3" s="205"/>
      <c r="T3" s="205"/>
      <c r="U3" s="205"/>
      <c r="V3" s="201"/>
      <c r="W3" s="11"/>
      <c r="X3" s="11"/>
      <c r="Y3" s="11"/>
      <c r="Z3" s="11"/>
      <c r="AA3" s="11"/>
      <c r="AB3" s="11"/>
      <c r="AC3" s="11"/>
      <c r="AD3" s="11"/>
      <c r="AE3" s="11"/>
      <c r="AF3" s="11"/>
      <c r="AG3" s="6"/>
      <c r="AH3" s="6"/>
      <c r="AI3" s="6"/>
      <c r="AJ3" s="6"/>
      <c r="AK3" s="6"/>
      <c r="AL3" s="6"/>
      <c r="AM3" s="6"/>
      <c r="AN3" s="6"/>
      <c r="AO3" s="6"/>
      <c r="AP3" s="6"/>
      <c r="AQ3" s="6"/>
      <c r="AR3" s="6"/>
      <c r="AS3" s="6"/>
    </row>
    <row r="4" ht="22.5" customHeight="1">
      <c r="A4" s="206" t="s">
        <v>162</v>
      </c>
      <c r="B4" s="207"/>
      <c r="C4" s="207"/>
      <c r="D4" s="207"/>
      <c r="E4" s="207"/>
      <c r="F4" s="207"/>
      <c r="G4" s="207"/>
      <c r="H4" s="207"/>
      <c r="I4" s="207"/>
      <c r="J4" s="207"/>
      <c r="K4" s="207"/>
      <c r="L4" s="207"/>
      <c r="M4" s="207"/>
      <c r="N4" s="207"/>
      <c r="O4" s="207"/>
      <c r="P4" s="207"/>
      <c r="Q4" s="207"/>
      <c r="R4" s="207"/>
      <c r="S4" s="207"/>
      <c r="T4" s="207"/>
      <c r="U4" s="207"/>
      <c r="V4" s="208"/>
      <c r="W4" s="11"/>
      <c r="X4" s="11"/>
      <c r="Y4" s="11"/>
      <c r="Z4" s="11"/>
      <c r="AA4" s="11"/>
      <c r="AB4" s="11"/>
      <c r="AC4" s="11"/>
      <c r="AD4" s="11"/>
      <c r="AE4" s="11"/>
      <c r="AF4" s="11"/>
      <c r="AG4" s="6"/>
      <c r="AH4" s="6"/>
      <c r="AI4" s="6"/>
      <c r="AJ4" s="6"/>
      <c r="AK4" s="6"/>
      <c r="AL4" s="6"/>
      <c r="AM4" s="6"/>
      <c r="AN4" s="6"/>
      <c r="AO4" s="6"/>
      <c r="AP4" s="6"/>
      <c r="AQ4" s="6"/>
      <c r="AR4" s="6"/>
      <c r="AS4" s="6"/>
    </row>
    <row r="5">
      <c r="A5" s="6"/>
      <c r="B5" s="209" t="s">
        <v>163</v>
      </c>
      <c r="C5" s="6"/>
      <c r="D5" s="6"/>
      <c r="E5" s="6"/>
      <c r="F5" s="6"/>
      <c r="G5" s="6"/>
      <c r="H5" s="6"/>
      <c r="I5" s="6"/>
      <c r="J5" s="6"/>
      <c r="K5" s="6"/>
      <c r="L5" s="6"/>
      <c r="M5" s="6"/>
      <c r="N5" s="6"/>
      <c r="O5" s="6"/>
      <c r="P5" s="6"/>
      <c r="Q5" s="6"/>
      <c r="R5" s="6"/>
      <c r="S5" s="6"/>
      <c r="T5" s="6"/>
      <c r="U5" s="6"/>
      <c r="V5" s="6"/>
      <c r="W5" s="11"/>
      <c r="X5" s="11"/>
      <c r="Y5" s="11"/>
      <c r="Z5" s="11"/>
      <c r="AA5" s="11"/>
      <c r="AB5" s="11"/>
      <c r="AC5" s="11"/>
      <c r="AD5" s="11"/>
      <c r="AE5" s="11"/>
      <c r="AF5" s="11"/>
      <c r="AG5" s="6"/>
      <c r="AH5" s="6"/>
      <c r="AI5" s="6"/>
      <c r="AJ5" s="6"/>
      <c r="AK5" s="6"/>
      <c r="AL5" s="6"/>
      <c r="AM5" s="6"/>
      <c r="AN5" s="6"/>
      <c r="AO5" s="6"/>
      <c r="AP5" s="6"/>
      <c r="AQ5" s="6"/>
      <c r="AR5" s="6"/>
      <c r="AS5" s="6"/>
    </row>
    <row r="6" ht="0.75" customHeight="1">
      <c r="A6" s="6"/>
      <c r="B6" s="210"/>
      <c r="C6" s="6"/>
      <c r="D6" s="6"/>
      <c r="E6" s="6"/>
      <c r="F6" s="6"/>
      <c r="G6" s="6"/>
      <c r="H6" s="6"/>
      <c r="I6" s="6"/>
      <c r="J6" s="6"/>
      <c r="K6" s="6"/>
      <c r="L6" s="6"/>
      <c r="M6" s="6"/>
      <c r="N6" s="6"/>
      <c r="O6" s="6"/>
      <c r="P6" s="6"/>
      <c r="Q6" s="211" t="s">
        <v>164</v>
      </c>
      <c r="R6" s="212"/>
      <c r="S6" s="212"/>
      <c r="T6" s="213"/>
      <c r="U6" s="6"/>
      <c r="V6" s="6"/>
      <c r="W6" s="11"/>
      <c r="X6" s="11"/>
      <c r="Y6" s="11"/>
      <c r="Z6" s="11"/>
      <c r="AA6" s="11"/>
      <c r="AB6" s="11"/>
      <c r="AC6" s="11"/>
      <c r="AD6" s="11"/>
      <c r="AE6" s="11"/>
      <c r="AF6" s="11"/>
      <c r="AG6" s="6"/>
      <c r="AH6" s="6"/>
      <c r="AI6" s="6"/>
      <c r="AJ6" s="6"/>
      <c r="AK6" s="6"/>
      <c r="AL6" s="6"/>
      <c r="AM6" s="6"/>
      <c r="AN6" s="6"/>
      <c r="AO6" s="6"/>
      <c r="AP6" s="6"/>
      <c r="AQ6" s="6"/>
      <c r="AR6" s="6"/>
      <c r="AS6" s="6"/>
    </row>
    <row r="7" ht="12.75" customHeight="1">
      <c r="A7" s="6"/>
      <c r="B7" s="214" t="s">
        <v>165</v>
      </c>
      <c r="C7" s="215" t="s">
        <v>166</v>
      </c>
      <c r="N7" s="6"/>
      <c r="O7" s="216" t="s">
        <v>167</v>
      </c>
      <c r="P7" s="126"/>
      <c r="Q7" s="217"/>
      <c r="R7" s="205"/>
      <c r="S7" s="205"/>
      <c r="T7" s="218"/>
      <c r="U7" s="6"/>
      <c r="V7" s="6"/>
      <c r="W7" s="11"/>
      <c r="X7" s="11"/>
      <c r="Y7" s="11"/>
      <c r="Z7" s="11"/>
      <c r="AA7" s="11"/>
      <c r="AB7" s="11"/>
      <c r="AC7" s="11"/>
      <c r="AD7" s="11"/>
      <c r="AE7" s="11"/>
      <c r="AF7" s="11"/>
      <c r="AG7" s="6"/>
      <c r="AH7" s="6"/>
      <c r="AI7" s="6"/>
      <c r="AJ7" s="6"/>
      <c r="AK7" s="6"/>
      <c r="AL7" s="6"/>
      <c r="AM7" s="6"/>
      <c r="AN7" s="6"/>
      <c r="AO7" s="6"/>
      <c r="AP7" s="6"/>
      <c r="AQ7" s="6"/>
      <c r="AR7" s="6"/>
      <c r="AS7" s="6"/>
    </row>
    <row r="8" ht="1.5" customHeight="1">
      <c r="A8" s="6"/>
      <c r="N8" s="6"/>
      <c r="P8" s="126"/>
      <c r="Q8" s="219" t="s">
        <v>67</v>
      </c>
      <c r="R8" s="220" t="s">
        <v>68</v>
      </c>
      <c r="S8" s="220" t="s">
        <v>69</v>
      </c>
      <c r="T8" s="221" t="s">
        <v>70</v>
      </c>
      <c r="U8" s="6"/>
      <c r="V8" s="6"/>
      <c r="W8" s="11"/>
      <c r="X8" s="11"/>
      <c r="Y8" s="11"/>
      <c r="Z8" s="11"/>
      <c r="AA8" s="11"/>
      <c r="AB8" s="11"/>
      <c r="AC8" s="11"/>
      <c r="AD8" s="11"/>
      <c r="AE8" s="11"/>
      <c r="AF8" s="11"/>
      <c r="AG8" s="6"/>
      <c r="AH8" s="6"/>
      <c r="AI8" s="6"/>
      <c r="AJ8" s="6"/>
      <c r="AK8" s="6"/>
      <c r="AL8" s="6"/>
      <c r="AM8" s="6"/>
      <c r="AN8" s="6"/>
      <c r="AO8" s="6"/>
      <c r="AP8" s="6"/>
      <c r="AQ8" s="6"/>
      <c r="AR8" s="6"/>
      <c r="AS8" s="6"/>
    </row>
    <row r="9" ht="9.0" customHeight="1">
      <c r="A9" s="6"/>
      <c r="B9" s="215" t="s">
        <v>168</v>
      </c>
      <c r="C9" s="215" t="s">
        <v>169</v>
      </c>
      <c r="N9" s="6"/>
      <c r="O9" s="216" t="s">
        <v>170</v>
      </c>
      <c r="P9" s="126"/>
      <c r="Q9" s="222"/>
      <c r="R9" s="223"/>
      <c r="S9" s="223"/>
      <c r="T9" s="224"/>
      <c r="U9" s="6"/>
      <c r="V9" s="6"/>
      <c r="W9" s="11"/>
      <c r="X9" s="11"/>
      <c r="Y9" s="11"/>
      <c r="Z9" s="11"/>
      <c r="AA9" s="11"/>
      <c r="AB9" s="11"/>
      <c r="AC9" s="11"/>
      <c r="AD9" s="11"/>
      <c r="AE9" s="11"/>
      <c r="AF9" s="11"/>
      <c r="AG9" s="6"/>
      <c r="AH9" s="6"/>
      <c r="AI9" s="6"/>
      <c r="AJ9" s="6"/>
      <c r="AK9" s="6"/>
      <c r="AL9" s="6"/>
      <c r="AM9" s="6"/>
      <c r="AN9" s="6"/>
      <c r="AO9" s="6"/>
      <c r="AP9" s="6"/>
      <c r="AQ9" s="6"/>
      <c r="AR9" s="6"/>
      <c r="AS9" s="6"/>
    </row>
    <row r="10" ht="6.0" customHeight="1">
      <c r="A10" s="6"/>
      <c r="N10" s="6"/>
      <c r="P10" s="126"/>
      <c r="Q10" s="225" t="str">
        <f t="shared" ref="Q10:T10" si="1">IF(Q12&gt;0,SUM(Q26,Q43,Q59,Q70,Q84),"@")</f>
        <v>@</v>
      </c>
      <c r="R10" s="225" t="str">
        <f t="shared" si="1"/>
        <v>@</v>
      </c>
      <c r="S10" s="225" t="str">
        <f t="shared" si="1"/>
        <v>@</v>
      </c>
      <c r="T10" s="225" t="str">
        <f t="shared" si="1"/>
        <v>@</v>
      </c>
      <c r="U10" s="6"/>
      <c r="V10" s="6"/>
      <c r="W10" s="11"/>
      <c r="X10" s="11"/>
      <c r="Y10" s="11"/>
      <c r="Z10" s="11"/>
      <c r="AA10" s="11"/>
      <c r="AB10" s="11"/>
      <c r="AC10" s="11"/>
      <c r="AD10" s="11"/>
      <c r="AE10" s="11"/>
      <c r="AF10" s="11"/>
      <c r="AG10" s="6"/>
      <c r="AH10" s="6"/>
      <c r="AI10" s="6"/>
      <c r="AJ10" s="6"/>
      <c r="AK10" s="6"/>
      <c r="AL10" s="6"/>
      <c r="AM10" s="6"/>
      <c r="AN10" s="6"/>
      <c r="AO10" s="6"/>
      <c r="AP10" s="6"/>
      <c r="AQ10" s="6"/>
      <c r="AR10" s="6"/>
      <c r="AS10" s="6"/>
    </row>
    <row r="11" ht="15.0" customHeight="1">
      <c r="A11" s="6"/>
      <c r="B11" s="226" t="s">
        <v>171</v>
      </c>
      <c r="C11" s="215" t="s">
        <v>172</v>
      </c>
      <c r="D11" s="6"/>
      <c r="E11" s="6"/>
      <c r="F11" s="6"/>
      <c r="G11" s="6"/>
      <c r="H11" s="6"/>
      <c r="I11" s="6"/>
      <c r="J11" s="6"/>
      <c r="K11" s="6"/>
      <c r="L11" s="6"/>
      <c r="M11" s="6"/>
      <c r="N11" s="6"/>
      <c r="O11" s="6"/>
      <c r="P11" s="227" t="s">
        <v>173</v>
      </c>
      <c r="Q11" s="228"/>
      <c r="R11" s="228"/>
      <c r="S11" s="228"/>
      <c r="T11" s="228"/>
      <c r="U11" s="14"/>
      <c r="V11" s="14"/>
      <c r="W11" s="11"/>
      <c r="X11" s="11"/>
      <c r="Y11" s="11"/>
      <c r="Z11" s="11"/>
      <c r="AA11" s="11"/>
      <c r="AB11" s="11"/>
      <c r="AC11" s="11"/>
      <c r="AD11" s="11"/>
      <c r="AE11" s="11"/>
      <c r="AF11" s="11"/>
      <c r="AG11" s="6"/>
      <c r="AH11" s="6"/>
      <c r="AI11" s="6"/>
      <c r="AJ11" s="6"/>
      <c r="AK11" s="6"/>
      <c r="AL11" s="6"/>
      <c r="AM11" s="6"/>
      <c r="AN11" s="6"/>
      <c r="AO11" s="6"/>
      <c r="AP11" s="6"/>
      <c r="AQ11" s="6"/>
      <c r="AR11" s="6"/>
      <c r="AS11" s="6"/>
    </row>
    <row r="12" ht="15.0" customHeight="1">
      <c r="A12" s="6"/>
      <c r="B12" s="210"/>
      <c r="C12" s="6"/>
      <c r="D12" s="6"/>
      <c r="E12" s="6"/>
      <c r="F12" s="6"/>
      <c r="G12" s="6"/>
      <c r="H12" s="6"/>
      <c r="I12" s="6"/>
      <c r="J12" s="6"/>
      <c r="K12" s="6"/>
      <c r="L12" s="6"/>
      <c r="M12" s="6"/>
      <c r="N12" s="6"/>
      <c r="O12" s="6"/>
      <c r="P12" s="6"/>
      <c r="Q12" s="14">
        <f t="shared" ref="Q12:T12" si="2">SUM(Q29,Q46,Q62,Q73,Q86)</f>
        <v>0</v>
      </c>
      <c r="R12" s="14">
        <f t="shared" si="2"/>
        <v>0</v>
      </c>
      <c r="S12" s="14">
        <f t="shared" si="2"/>
        <v>0</v>
      </c>
      <c r="T12" s="14">
        <f t="shared" si="2"/>
        <v>0</v>
      </c>
      <c r="U12" s="6"/>
      <c r="V12" s="6"/>
      <c r="W12" s="11"/>
      <c r="X12" s="11"/>
      <c r="Y12" s="11"/>
      <c r="Z12" s="11"/>
      <c r="AA12" s="11"/>
      <c r="AB12" s="11"/>
      <c r="AC12" s="11"/>
      <c r="AD12" s="11"/>
      <c r="AE12" s="11"/>
      <c r="AF12" s="11"/>
      <c r="AG12" s="6"/>
      <c r="AH12" s="6"/>
      <c r="AI12" s="6"/>
      <c r="AJ12" s="6"/>
      <c r="AK12" s="6"/>
      <c r="AL12" s="6"/>
      <c r="AM12" s="6"/>
      <c r="AN12" s="6"/>
      <c r="AO12" s="6"/>
      <c r="AP12" s="6"/>
      <c r="AQ12" s="6"/>
      <c r="AR12" s="6"/>
      <c r="AS12" s="6"/>
    </row>
    <row r="13">
      <c r="A13" s="6"/>
      <c r="B13" s="6"/>
      <c r="C13" s="6"/>
      <c r="D13" s="6"/>
      <c r="E13" s="6"/>
      <c r="F13" s="6"/>
      <c r="G13" s="6"/>
      <c r="H13" s="6"/>
      <c r="I13" s="6"/>
      <c r="J13" s="6"/>
      <c r="K13" s="6"/>
      <c r="L13" s="6"/>
      <c r="M13" s="6"/>
      <c r="N13" s="6"/>
      <c r="O13" s="6"/>
      <c r="P13" s="6"/>
      <c r="Q13" s="6"/>
      <c r="R13" s="6"/>
      <c r="S13" s="6"/>
      <c r="T13" s="6"/>
      <c r="U13" s="6"/>
      <c r="V13" s="6"/>
      <c r="W13" s="11"/>
      <c r="X13" s="11"/>
      <c r="Y13" s="11"/>
      <c r="Z13" s="11"/>
      <c r="AA13" s="11"/>
      <c r="AB13" s="11"/>
      <c r="AC13" s="11"/>
      <c r="AD13" s="11"/>
      <c r="AE13" s="11"/>
      <c r="AF13" s="11"/>
      <c r="AG13" s="6"/>
      <c r="AH13" s="6"/>
      <c r="AI13" s="6"/>
      <c r="AJ13" s="6"/>
      <c r="AK13" s="6"/>
      <c r="AL13" s="6"/>
      <c r="AM13" s="6"/>
      <c r="AN13" s="6"/>
      <c r="AO13" s="6"/>
      <c r="AP13" s="6"/>
      <c r="AQ13" s="6"/>
      <c r="AR13" s="6"/>
      <c r="AS13" s="6"/>
    </row>
    <row r="14" ht="17.25" customHeight="1">
      <c r="A14" s="6"/>
      <c r="B14" s="209" t="s">
        <v>174</v>
      </c>
      <c r="C14" s="209"/>
      <c r="D14" s="209"/>
      <c r="E14" s="209"/>
      <c r="F14" s="209"/>
      <c r="G14" s="209"/>
      <c r="H14" s="209"/>
      <c r="I14" s="209"/>
      <c r="J14" s="209"/>
      <c r="K14" s="209"/>
      <c r="L14" s="209"/>
      <c r="M14" s="209"/>
      <c r="N14" s="6"/>
      <c r="O14" s="6"/>
      <c r="P14" s="6"/>
      <c r="Q14" s="6"/>
      <c r="R14" s="6"/>
      <c r="S14" s="6"/>
      <c r="T14" s="6"/>
      <c r="U14" s="6"/>
      <c r="V14" s="6"/>
      <c r="W14" s="11"/>
      <c r="X14" s="11"/>
      <c r="Y14" s="11"/>
      <c r="Z14" s="11"/>
      <c r="AA14" s="11"/>
      <c r="AB14" s="11"/>
      <c r="AC14" s="11"/>
      <c r="AD14" s="11"/>
      <c r="AE14" s="11"/>
      <c r="AF14" s="11"/>
      <c r="AG14" s="6"/>
      <c r="AH14" s="6"/>
      <c r="AI14" s="6"/>
      <c r="AJ14" s="6"/>
      <c r="AK14" s="6"/>
      <c r="AL14" s="6"/>
      <c r="AM14" s="6"/>
      <c r="AN14" s="6"/>
      <c r="AO14" s="6"/>
      <c r="AP14" s="6"/>
      <c r="AQ14" s="6"/>
      <c r="AR14" s="6"/>
      <c r="AS14" s="6"/>
    </row>
    <row r="15">
      <c r="A15" s="6"/>
      <c r="B15" s="229" t="s">
        <v>175</v>
      </c>
      <c r="C15" s="6"/>
      <c r="D15" s="6"/>
      <c r="E15" s="6"/>
      <c r="F15" s="6"/>
      <c r="G15" s="6"/>
      <c r="H15" s="6"/>
      <c r="I15" s="6"/>
      <c r="J15" s="6"/>
      <c r="K15" s="209"/>
      <c r="L15" s="6"/>
      <c r="M15" s="6"/>
      <c r="N15" s="6"/>
      <c r="O15" s="6"/>
      <c r="P15" s="6"/>
      <c r="Q15" s="6"/>
      <c r="R15" s="6"/>
      <c r="S15" s="6"/>
      <c r="T15" s="6"/>
      <c r="U15" s="6"/>
      <c r="V15" s="6"/>
      <c r="W15" s="11"/>
      <c r="X15" s="11"/>
      <c r="Y15" s="11"/>
      <c r="Z15" s="11"/>
      <c r="AA15" s="11"/>
      <c r="AB15" s="11"/>
      <c r="AC15" s="11"/>
      <c r="AD15" s="11"/>
      <c r="AE15" s="11"/>
      <c r="AF15" s="11"/>
      <c r="AG15" s="6"/>
      <c r="AH15" s="6"/>
      <c r="AI15" s="6"/>
      <c r="AJ15" s="6"/>
      <c r="AK15" s="6"/>
      <c r="AL15" s="6"/>
      <c r="AM15" s="6"/>
      <c r="AN15" s="6"/>
      <c r="AO15" s="6"/>
      <c r="AP15" s="6"/>
      <c r="AQ15" s="6"/>
      <c r="AR15" s="6"/>
      <c r="AS15" s="6"/>
    </row>
    <row r="16">
      <c r="A16" s="6"/>
      <c r="B16" s="229" t="s">
        <v>176</v>
      </c>
      <c r="C16" s="6"/>
      <c r="D16" s="6"/>
      <c r="E16" s="6"/>
      <c r="F16" s="6"/>
      <c r="G16" s="6"/>
      <c r="H16" s="6"/>
      <c r="I16" s="6"/>
      <c r="J16" s="6"/>
      <c r="K16" s="6"/>
      <c r="L16" s="6"/>
      <c r="M16" s="6"/>
      <c r="N16" s="6"/>
      <c r="O16" s="6"/>
      <c r="P16" s="6"/>
      <c r="Q16" s="6"/>
      <c r="R16" s="6"/>
      <c r="S16" s="6"/>
      <c r="T16" s="6"/>
      <c r="U16" s="6"/>
      <c r="V16" s="6"/>
      <c r="W16" s="11"/>
      <c r="X16" s="11"/>
      <c r="Y16" s="11"/>
      <c r="Z16" s="11"/>
      <c r="AA16" s="11"/>
      <c r="AB16" s="11"/>
      <c r="AC16" s="11"/>
      <c r="AD16" s="11"/>
      <c r="AE16" s="11"/>
      <c r="AF16" s="11"/>
      <c r="AG16" s="6"/>
      <c r="AH16" s="6"/>
      <c r="AI16" s="6"/>
      <c r="AJ16" s="6"/>
      <c r="AK16" s="6"/>
      <c r="AL16" s="6"/>
      <c r="AM16" s="6"/>
      <c r="AN16" s="6"/>
      <c r="AO16" s="6"/>
      <c r="AP16" s="6"/>
      <c r="AQ16" s="6"/>
      <c r="AR16" s="6"/>
      <c r="AS16" s="6"/>
    </row>
    <row r="17" ht="7.5" customHeight="1">
      <c r="A17" s="6"/>
      <c r="B17" s="6"/>
      <c r="C17" s="6"/>
      <c r="D17" s="6"/>
      <c r="E17" s="6"/>
      <c r="F17" s="6"/>
      <c r="G17" s="6"/>
      <c r="H17" s="6"/>
      <c r="I17" s="6"/>
      <c r="J17" s="6"/>
      <c r="K17" s="6"/>
      <c r="L17" s="6"/>
      <c r="M17" s="6"/>
      <c r="N17" s="6"/>
      <c r="O17" s="6"/>
      <c r="P17" s="6"/>
      <c r="Q17" s="6"/>
      <c r="R17" s="6"/>
      <c r="S17" s="6"/>
      <c r="T17" s="6"/>
      <c r="U17" s="6"/>
      <c r="V17" s="6"/>
      <c r="W17" s="11"/>
      <c r="X17" s="11"/>
      <c r="Y17" s="11"/>
      <c r="Z17" s="11"/>
      <c r="AA17" s="11"/>
      <c r="AB17" s="11"/>
      <c r="AC17" s="11"/>
      <c r="AD17" s="11"/>
      <c r="AE17" s="11"/>
      <c r="AF17" s="11"/>
      <c r="AG17" s="6"/>
      <c r="AH17" s="6"/>
      <c r="AI17" s="6"/>
      <c r="AJ17" s="6"/>
      <c r="AK17" s="6"/>
      <c r="AL17" s="6"/>
      <c r="AM17" s="6"/>
      <c r="AN17" s="6"/>
      <c r="AO17" s="6"/>
      <c r="AP17" s="6"/>
      <c r="AQ17" s="6"/>
      <c r="AR17" s="6"/>
      <c r="AS17" s="6"/>
    </row>
    <row r="18" ht="13.5" customHeight="1">
      <c r="A18" s="6"/>
      <c r="B18" s="230"/>
      <c r="C18" s="231" t="s">
        <v>177</v>
      </c>
      <c r="D18" s="230"/>
      <c r="E18" s="231" t="s">
        <v>178</v>
      </c>
      <c r="F18" s="231"/>
      <c r="G18" s="230"/>
      <c r="H18" s="231" t="s">
        <v>179</v>
      </c>
      <c r="I18" s="231"/>
      <c r="J18" s="231"/>
      <c r="K18" s="230"/>
      <c r="L18" s="231" t="s">
        <v>180</v>
      </c>
      <c r="M18" s="230"/>
      <c r="N18" s="231" t="s">
        <v>181</v>
      </c>
      <c r="O18" s="6"/>
      <c r="P18" s="6"/>
      <c r="Q18" s="6"/>
      <c r="R18" s="6"/>
      <c r="S18" s="6"/>
      <c r="T18" s="6"/>
      <c r="U18" s="6"/>
      <c r="V18" s="6"/>
      <c r="W18" s="11"/>
      <c r="X18" s="11"/>
      <c r="Y18" s="11"/>
      <c r="Z18" s="11"/>
      <c r="AA18" s="11"/>
      <c r="AB18" s="11"/>
      <c r="AC18" s="11"/>
      <c r="AD18" s="11"/>
      <c r="AE18" s="11"/>
      <c r="AF18" s="11"/>
      <c r="AG18" s="6"/>
      <c r="AH18" s="6"/>
      <c r="AI18" s="6"/>
      <c r="AJ18" s="6"/>
      <c r="AK18" s="6"/>
      <c r="AL18" s="6"/>
      <c r="AM18" s="6"/>
      <c r="AN18" s="6"/>
      <c r="AO18" s="6"/>
      <c r="AP18" s="6"/>
      <c r="AQ18" s="6"/>
      <c r="AR18" s="6"/>
      <c r="AS18" s="6"/>
    </row>
    <row r="19" ht="4.5" customHeight="1">
      <c r="A19" s="6"/>
      <c r="B19" s="232"/>
      <c r="C19" s="231"/>
      <c r="D19" s="232"/>
      <c r="E19" s="231"/>
      <c r="F19" s="231"/>
      <c r="G19" s="232"/>
      <c r="H19" s="231"/>
      <c r="I19" s="231"/>
      <c r="J19" s="231"/>
      <c r="K19" s="232"/>
      <c r="L19" s="231"/>
      <c r="M19" s="232"/>
      <c r="N19" s="231"/>
      <c r="O19" s="6"/>
      <c r="P19" s="6"/>
      <c r="Q19" s="6"/>
      <c r="R19" s="6"/>
      <c r="S19" s="6"/>
      <c r="T19" s="6"/>
      <c r="U19" s="6"/>
      <c r="V19" s="6"/>
      <c r="W19" s="11"/>
      <c r="X19" s="11"/>
      <c r="Y19" s="11"/>
      <c r="Z19" s="11"/>
      <c r="AA19" s="11"/>
      <c r="AB19" s="11"/>
      <c r="AC19" s="11"/>
      <c r="AD19" s="11"/>
      <c r="AE19" s="11"/>
      <c r="AF19" s="11"/>
      <c r="AG19" s="6"/>
      <c r="AH19" s="6"/>
      <c r="AI19" s="6"/>
      <c r="AJ19" s="6"/>
      <c r="AK19" s="6"/>
      <c r="AL19" s="6"/>
      <c r="AM19" s="6"/>
      <c r="AN19" s="6"/>
      <c r="AO19" s="6"/>
      <c r="AP19" s="6"/>
      <c r="AQ19" s="6"/>
      <c r="AR19" s="6"/>
      <c r="AS19" s="6"/>
    </row>
    <row r="20" ht="13.5" customHeight="1">
      <c r="A20" s="6"/>
      <c r="B20" s="230"/>
      <c r="C20" s="231" t="s">
        <v>182</v>
      </c>
      <c r="D20" s="230"/>
      <c r="E20" s="231" t="s">
        <v>183</v>
      </c>
      <c r="F20" s="231"/>
      <c r="G20" s="230"/>
      <c r="H20" s="231" t="s">
        <v>184</v>
      </c>
      <c r="I20" s="231"/>
      <c r="J20" s="231"/>
      <c r="K20" s="230"/>
      <c r="L20" s="231" t="s">
        <v>185</v>
      </c>
      <c r="M20" s="230"/>
      <c r="N20" s="231" t="s">
        <v>186</v>
      </c>
      <c r="O20" s="6"/>
      <c r="P20" s="6"/>
      <c r="Q20" s="6"/>
      <c r="R20" s="6"/>
      <c r="S20" s="6"/>
      <c r="T20" s="6"/>
      <c r="U20" s="6"/>
      <c r="V20" s="6"/>
      <c r="W20" s="11"/>
      <c r="X20" s="233"/>
      <c r="Y20" s="169"/>
      <c r="Z20" s="169"/>
      <c r="AA20" s="11"/>
      <c r="AB20" s="11"/>
      <c r="AC20" s="11"/>
      <c r="AD20" s="11"/>
      <c r="AE20" s="11"/>
      <c r="AF20" s="11"/>
      <c r="AG20" s="6"/>
      <c r="AH20" s="6"/>
      <c r="AI20" s="6"/>
      <c r="AJ20" s="6"/>
      <c r="AK20" s="6"/>
      <c r="AL20" s="6"/>
      <c r="AM20" s="6"/>
      <c r="AN20" s="6"/>
      <c r="AO20" s="6"/>
      <c r="AP20" s="6"/>
      <c r="AQ20" s="6"/>
      <c r="AR20" s="6"/>
      <c r="AS20" s="6"/>
    </row>
    <row r="21" ht="4.5" customHeight="1">
      <c r="A21" s="6"/>
      <c r="B21" s="232"/>
      <c r="C21" s="231"/>
      <c r="D21" s="232"/>
      <c r="E21" s="231"/>
      <c r="F21" s="231"/>
      <c r="G21" s="232"/>
      <c r="H21" s="231"/>
      <c r="I21" s="231"/>
      <c r="J21" s="231"/>
      <c r="K21" s="232"/>
      <c r="L21" s="231"/>
      <c r="M21" s="232"/>
      <c r="N21" s="231"/>
      <c r="O21" s="6"/>
      <c r="P21" s="6"/>
      <c r="Q21" s="6"/>
      <c r="R21" s="6"/>
      <c r="S21" s="6"/>
      <c r="T21" s="6"/>
      <c r="U21" s="6"/>
      <c r="V21" s="6"/>
      <c r="W21" s="11"/>
      <c r="X21" s="234"/>
      <c r="Y21" s="2"/>
      <c r="Z21" s="2"/>
      <c r="AA21" s="3"/>
      <c r="AB21" s="11"/>
      <c r="AC21" s="11"/>
      <c r="AD21" s="11"/>
      <c r="AE21" s="11"/>
      <c r="AF21" s="11"/>
      <c r="AG21" s="6"/>
      <c r="AH21" s="6"/>
      <c r="AI21" s="6"/>
      <c r="AJ21" s="6"/>
      <c r="AK21" s="6"/>
      <c r="AL21" s="6"/>
      <c r="AM21" s="6"/>
      <c r="AN21" s="6"/>
      <c r="AO21" s="6"/>
      <c r="AP21" s="6"/>
      <c r="AQ21" s="6"/>
      <c r="AR21" s="6"/>
      <c r="AS21" s="6"/>
    </row>
    <row r="22" ht="5.25" customHeight="1">
      <c r="A22" s="6"/>
      <c r="B22" s="235"/>
      <c r="C22" s="231" t="s">
        <v>187</v>
      </c>
      <c r="D22" s="235"/>
      <c r="E22" s="231" t="s">
        <v>188</v>
      </c>
      <c r="G22" s="235"/>
      <c r="H22" s="231" t="s">
        <v>189</v>
      </c>
      <c r="K22" s="235"/>
      <c r="L22" s="231" t="s">
        <v>190</v>
      </c>
      <c r="M22" s="235"/>
      <c r="N22" s="231" t="s">
        <v>191</v>
      </c>
      <c r="O22" s="6"/>
      <c r="P22" s="6"/>
      <c r="Q22" s="6"/>
      <c r="R22" s="6"/>
      <c r="S22" s="6"/>
      <c r="T22" s="6"/>
      <c r="U22" s="6"/>
      <c r="V22" s="6"/>
      <c r="W22" s="11"/>
      <c r="X22" s="4"/>
      <c r="AA22" s="3"/>
      <c r="AB22" s="11"/>
      <c r="AC22" s="11"/>
      <c r="AD22" s="11"/>
      <c r="AE22" s="11"/>
      <c r="AF22" s="11"/>
      <c r="AG22" s="6"/>
      <c r="AH22" s="6"/>
      <c r="AI22" s="6"/>
      <c r="AJ22" s="6"/>
      <c r="AK22" s="6"/>
      <c r="AL22" s="6"/>
      <c r="AM22" s="6"/>
      <c r="AN22" s="6"/>
      <c r="AO22" s="6"/>
      <c r="AP22" s="6"/>
      <c r="AQ22" s="6"/>
      <c r="AR22" s="6"/>
      <c r="AS22" s="6"/>
    </row>
    <row r="23" ht="8.25" customHeight="1">
      <c r="A23" s="6"/>
      <c r="B23" s="236"/>
      <c r="D23" s="236"/>
      <c r="G23" s="236"/>
      <c r="K23" s="236"/>
      <c r="M23" s="236"/>
      <c r="O23" s="6"/>
      <c r="P23" s="6"/>
      <c r="Q23" s="211" t="s">
        <v>164</v>
      </c>
      <c r="R23" s="212"/>
      <c r="S23" s="212"/>
      <c r="T23" s="213"/>
      <c r="U23" s="237"/>
      <c r="V23" s="237"/>
      <c r="W23" s="238"/>
      <c r="X23" s="4"/>
      <c r="AA23" s="3"/>
      <c r="AB23" s="11"/>
      <c r="AC23" s="11"/>
      <c r="AD23" s="11"/>
      <c r="AE23" s="11"/>
      <c r="AF23" s="11"/>
      <c r="AG23" s="6"/>
      <c r="AH23" s="6"/>
      <c r="AI23" s="6"/>
      <c r="AJ23" s="6"/>
      <c r="AK23" s="6"/>
      <c r="AL23" s="6"/>
      <c r="AM23" s="6"/>
      <c r="AN23" s="6"/>
      <c r="AO23" s="6"/>
      <c r="AP23" s="6"/>
      <c r="AQ23" s="6"/>
      <c r="AR23" s="6"/>
      <c r="AS23" s="6"/>
    </row>
    <row r="24" ht="4.5" customHeight="1">
      <c r="A24" s="6"/>
      <c r="B24" s="232"/>
      <c r="C24" s="231"/>
      <c r="D24" s="232"/>
      <c r="E24" s="231"/>
      <c r="F24" s="231"/>
      <c r="G24" s="232"/>
      <c r="H24" s="231"/>
      <c r="I24" s="231"/>
      <c r="J24" s="231"/>
      <c r="K24" s="232"/>
      <c r="L24" s="231"/>
      <c r="M24" s="232"/>
      <c r="N24" s="231"/>
      <c r="O24" s="6"/>
      <c r="P24" s="6"/>
      <c r="Q24" s="217"/>
      <c r="R24" s="205"/>
      <c r="S24" s="205"/>
      <c r="T24" s="218"/>
      <c r="U24" s="64"/>
      <c r="V24" s="64"/>
      <c r="W24" s="239"/>
      <c r="X24" s="240"/>
      <c r="Y24" s="2"/>
      <c r="Z24" s="2"/>
      <c r="AA24" s="11"/>
      <c r="AB24" s="11"/>
      <c r="AC24" s="11"/>
      <c r="AD24" s="11"/>
      <c r="AE24" s="11"/>
      <c r="AF24" s="11"/>
      <c r="AG24" s="6"/>
      <c r="AH24" s="6"/>
      <c r="AI24" s="6"/>
      <c r="AJ24" s="6"/>
      <c r="AK24" s="6"/>
      <c r="AL24" s="6"/>
      <c r="AM24" s="6"/>
      <c r="AN24" s="6"/>
      <c r="AO24" s="6"/>
      <c r="AP24" s="6"/>
      <c r="AQ24" s="6"/>
      <c r="AR24" s="6"/>
      <c r="AS24" s="6"/>
    </row>
    <row r="25" ht="10.5" customHeight="1">
      <c r="A25" s="6"/>
      <c r="B25" s="235"/>
      <c r="C25" s="231" t="s">
        <v>192</v>
      </c>
      <c r="D25" s="235"/>
      <c r="E25" s="231" t="s">
        <v>193</v>
      </c>
      <c r="G25" s="235"/>
      <c r="H25" s="231" t="s">
        <v>194</v>
      </c>
      <c r="K25" s="235"/>
      <c r="L25" s="231" t="s">
        <v>195</v>
      </c>
      <c r="M25" s="235"/>
      <c r="N25" s="231" t="s">
        <v>196</v>
      </c>
      <c r="O25" s="6"/>
      <c r="P25" s="6"/>
      <c r="Q25" s="241" t="s">
        <v>67</v>
      </c>
      <c r="R25" s="242" t="s">
        <v>68</v>
      </c>
      <c r="S25" s="242" t="s">
        <v>69</v>
      </c>
      <c r="T25" s="243" t="s">
        <v>70</v>
      </c>
      <c r="U25" s="244"/>
      <c r="V25" s="244"/>
      <c r="W25" s="11"/>
      <c r="X25" s="4"/>
      <c r="AA25" s="11"/>
      <c r="AB25" s="11"/>
      <c r="AC25" s="11"/>
      <c r="AD25" s="11"/>
      <c r="AE25" s="11"/>
      <c r="AF25" s="11"/>
      <c r="AG25" s="6"/>
      <c r="AH25" s="6"/>
      <c r="AI25" s="6"/>
      <c r="AJ25" s="6"/>
      <c r="AK25" s="6"/>
      <c r="AL25" s="6"/>
      <c r="AM25" s="6"/>
      <c r="AN25" s="6"/>
      <c r="AO25" s="6"/>
      <c r="AP25" s="6"/>
      <c r="AQ25" s="6"/>
      <c r="AR25" s="6"/>
      <c r="AS25" s="6"/>
    </row>
    <row r="26" ht="3.0" customHeight="1">
      <c r="A26" s="6"/>
      <c r="B26" s="236"/>
      <c r="D26" s="236"/>
      <c r="G26" s="236"/>
      <c r="K26" s="236"/>
      <c r="M26" s="236"/>
      <c r="O26" s="6"/>
      <c r="P26" s="6"/>
      <c r="Q26" s="245"/>
      <c r="R26" s="246"/>
      <c r="S26" s="246"/>
      <c r="T26" s="247"/>
      <c r="U26" s="244"/>
      <c r="V26" s="244"/>
      <c r="W26" s="11"/>
      <c r="X26" s="11"/>
      <c r="Y26" s="248">
        <f>SUM(C93:G97)</f>
        <v>0</v>
      </c>
      <c r="Z26" s="11"/>
      <c r="AA26" s="11"/>
      <c r="AB26" s="11"/>
      <c r="AC26" s="11"/>
      <c r="AD26" s="11"/>
      <c r="AE26" s="11"/>
      <c r="AF26" s="11"/>
      <c r="AG26" s="6"/>
      <c r="AH26" s="6"/>
      <c r="AI26" s="6"/>
      <c r="AJ26" s="6"/>
      <c r="AK26" s="6"/>
      <c r="AL26" s="6"/>
      <c r="AM26" s="6"/>
      <c r="AN26" s="6"/>
      <c r="AO26" s="6"/>
      <c r="AP26" s="6"/>
      <c r="AQ26" s="6"/>
      <c r="AR26" s="6"/>
      <c r="AS26" s="6"/>
    </row>
    <row r="27" ht="4.5" customHeight="1">
      <c r="A27" s="6"/>
      <c r="B27" s="232"/>
      <c r="C27" s="231"/>
      <c r="D27" s="232"/>
      <c r="E27" s="231"/>
      <c r="F27" s="231"/>
      <c r="G27" s="232"/>
      <c r="H27" s="231"/>
      <c r="I27" s="231"/>
      <c r="J27" s="231"/>
      <c r="K27" s="232"/>
      <c r="L27" s="231"/>
      <c r="M27" s="232"/>
      <c r="N27" s="231"/>
      <c r="O27" s="6"/>
      <c r="P27" s="6"/>
      <c r="Q27" s="249"/>
      <c r="R27" s="250"/>
      <c r="S27" s="250"/>
      <c r="T27" s="251"/>
      <c r="U27" s="6"/>
      <c r="V27" s="6"/>
      <c r="W27" s="11"/>
      <c r="X27" s="11"/>
      <c r="Y27" s="252"/>
      <c r="Z27" s="11"/>
      <c r="AA27" s="11"/>
      <c r="AB27" s="11"/>
      <c r="AC27" s="11"/>
      <c r="AD27" s="11"/>
      <c r="AE27" s="11"/>
      <c r="AF27" s="11"/>
      <c r="AG27" s="6"/>
      <c r="AH27" s="6"/>
      <c r="AI27" s="6"/>
      <c r="AJ27" s="6"/>
      <c r="AK27" s="6"/>
      <c r="AL27" s="6"/>
      <c r="AM27" s="6"/>
      <c r="AN27" s="6"/>
      <c r="AO27" s="6"/>
      <c r="AP27" s="6"/>
      <c r="AQ27" s="6"/>
      <c r="AR27" s="6"/>
      <c r="AS27" s="6"/>
    </row>
    <row r="28" ht="13.5" customHeight="1">
      <c r="A28" s="6"/>
      <c r="B28" s="230"/>
      <c r="C28" s="231" t="s">
        <v>197</v>
      </c>
      <c r="D28" s="230"/>
      <c r="E28" s="231" t="s">
        <v>198</v>
      </c>
      <c r="F28" s="231"/>
      <c r="G28" s="230"/>
      <c r="H28" s="231" t="s">
        <v>199</v>
      </c>
      <c r="I28" s="231"/>
      <c r="J28" s="231"/>
      <c r="K28" s="230"/>
      <c r="L28" s="231" t="s">
        <v>200</v>
      </c>
      <c r="M28" s="230"/>
      <c r="N28" s="231" t="s">
        <v>201</v>
      </c>
      <c r="O28" s="6"/>
      <c r="P28" s="6"/>
      <c r="Q28" s="228"/>
      <c r="R28" s="253"/>
      <c r="S28" s="253"/>
      <c r="T28" s="254"/>
      <c r="U28" s="14"/>
      <c r="V28" s="14"/>
      <c r="W28" s="11"/>
      <c r="X28" s="11"/>
      <c r="Y28" s="255"/>
      <c r="Z28" s="11"/>
      <c r="AA28" s="11"/>
      <c r="AB28" s="11"/>
      <c r="AC28" s="11"/>
      <c r="AD28" s="11"/>
      <c r="AE28" s="11"/>
      <c r="AF28" s="11"/>
      <c r="AG28" s="6"/>
      <c r="AH28" s="6"/>
      <c r="AI28" s="6"/>
      <c r="AJ28" s="6"/>
      <c r="AK28" s="6"/>
      <c r="AL28" s="6"/>
      <c r="AM28" s="6"/>
      <c r="AN28" s="6"/>
      <c r="AO28" s="6"/>
      <c r="AP28" s="6"/>
      <c r="AQ28" s="6"/>
      <c r="AR28" s="6"/>
      <c r="AS28" s="6"/>
    </row>
    <row r="29" ht="15.75" customHeight="1">
      <c r="A29" s="6"/>
      <c r="B29" s="6"/>
      <c r="C29" s="6"/>
      <c r="D29" s="6"/>
      <c r="E29" s="6"/>
      <c r="F29" s="6"/>
      <c r="G29" s="6"/>
      <c r="H29" s="6"/>
      <c r="I29" s="6"/>
      <c r="J29" s="6"/>
      <c r="K29" s="6"/>
      <c r="L29" s="6"/>
      <c r="M29" s="6"/>
      <c r="N29" s="6"/>
      <c r="O29" s="6"/>
      <c r="P29" s="6"/>
      <c r="Q29" s="14" t="str">
        <f t="shared" ref="Q29:T29" si="3">IF(ISNUMBER(Q26),1,"@")</f>
        <v>@</v>
      </c>
      <c r="R29" s="14" t="str">
        <f t="shared" si="3"/>
        <v>@</v>
      </c>
      <c r="S29" s="14" t="str">
        <f t="shared" si="3"/>
        <v>@</v>
      </c>
      <c r="T29" s="14" t="str">
        <f t="shared" si="3"/>
        <v>@</v>
      </c>
      <c r="U29" s="6"/>
      <c r="V29" s="6"/>
      <c r="W29" s="11"/>
      <c r="X29" s="11"/>
      <c r="Y29" s="11"/>
      <c r="Z29" s="11"/>
      <c r="AA29" s="11"/>
      <c r="AB29" s="11"/>
      <c r="AC29" s="11"/>
      <c r="AD29" s="11"/>
      <c r="AE29" s="11"/>
      <c r="AF29" s="11"/>
      <c r="AG29" s="6"/>
      <c r="AH29" s="6"/>
      <c r="AI29" s="6"/>
      <c r="AJ29" s="6"/>
      <c r="AK29" s="6"/>
      <c r="AL29" s="6"/>
      <c r="AM29" s="6"/>
      <c r="AN29" s="6"/>
      <c r="AO29" s="6"/>
      <c r="AP29" s="6"/>
      <c r="AQ29" s="6"/>
      <c r="AR29" s="6"/>
      <c r="AS29" s="6"/>
    </row>
    <row r="30" ht="15.75" customHeight="1">
      <c r="A30" s="6"/>
      <c r="B30" s="209" t="s">
        <v>202</v>
      </c>
      <c r="C30" s="6"/>
      <c r="D30" s="6"/>
      <c r="E30" s="6"/>
      <c r="F30" s="6"/>
      <c r="G30" s="6"/>
      <c r="H30" s="6"/>
      <c r="I30" s="6"/>
      <c r="J30" s="6"/>
      <c r="K30" s="6"/>
      <c r="L30" s="6"/>
      <c r="M30" s="6"/>
      <c r="N30" s="6"/>
      <c r="O30" s="6"/>
      <c r="P30" s="6"/>
      <c r="Q30" s="6"/>
      <c r="R30" s="6"/>
      <c r="S30" s="6"/>
      <c r="T30" s="6"/>
      <c r="U30" s="6"/>
      <c r="V30" s="6"/>
      <c r="W30" s="11"/>
      <c r="X30" s="11"/>
      <c r="Y30" s="11"/>
      <c r="Z30" s="11"/>
      <c r="AA30" s="11"/>
      <c r="AB30" s="11"/>
      <c r="AC30" s="11"/>
      <c r="AD30" s="11"/>
      <c r="AE30" s="11"/>
      <c r="AF30" s="11"/>
      <c r="AG30" s="6"/>
      <c r="AH30" s="6"/>
      <c r="AI30" s="6"/>
      <c r="AJ30" s="6"/>
      <c r="AK30" s="6"/>
      <c r="AL30" s="6"/>
      <c r="AM30" s="6"/>
      <c r="AN30" s="6"/>
      <c r="AO30" s="6"/>
      <c r="AP30" s="6"/>
      <c r="AQ30" s="6"/>
      <c r="AR30" s="6"/>
      <c r="AS30" s="6"/>
    </row>
    <row r="31" ht="15.75" customHeight="1">
      <c r="A31" s="6"/>
      <c r="B31" s="229" t="s">
        <v>203</v>
      </c>
      <c r="C31" s="6"/>
      <c r="D31" s="6"/>
      <c r="E31" s="6"/>
      <c r="F31" s="6"/>
      <c r="G31" s="6"/>
      <c r="H31" s="6"/>
      <c r="I31" s="6"/>
      <c r="J31" s="6"/>
      <c r="K31" s="6"/>
      <c r="L31" s="6"/>
      <c r="M31" s="6"/>
      <c r="N31" s="6"/>
      <c r="O31" s="6"/>
      <c r="P31" s="6"/>
      <c r="Q31" s="6"/>
      <c r="R31" s="6"/>
      <c r="S31" s="6"/>
      <c r="T31" s="6"/>
      <c r="U31" s="6"/>
      <c r="V31" s="6"/>
      <c r="W31" s="11"/>
      <c r="X31" s="11"/>
      <c r="Y31" s="11"/>
      <c r="Z31" s="11"/>
      <c r="AA31" s="11"/>
      <c r="AB31" s="11"/>
      <c r="AC31" s="11"/>
      <c r="AD31" s="11"/>
      <c r="AE31" s="11"/>
      <c r="AF31" s="11"/>
      <c r="AG31" s="6"/>
      <c r="AH31" s="6"/>
      <c r="AI31" s="6"/>
      <c r="AJ31" s="6"/>
      <c r="AK31" s="6"/>
      <c r="AL31" s="6"/>
      <c r="AM31" s="6"/>
      <c r="AN31" s="6"/>
      <c r="AO31" s="6"/>
      <c r="AP31" s="6"/>
      <c r="AQ31" s="6"/>
      <c r="AR31" s="6"/>
      <c r="AS31" s="6"/>
    </row>
    <row r="32" ht="7.5" customHeight="1">
      <c r="A32" s="6"/>
      <c r="B32" s="6"/>
      <c r="C32" s="6"/>
      <c r="D32" s="6"/>
      <c r="E32" s="6"/>
      <c r="F32" s="6"/>
      <c r="G32" s="6"/>
      <c r="H32" s="6"/>
      <c r="I32" s="6"/>
      <c r="J32" s="6"/>
      <c r="K32" s="6"/>
      <c r="L32" s="6"/>
      <c r="M32" s="6"/>
      <c r="N32" s="6"/>
      <c r="O32" s="6"/>
      <c r="P32" s="6"/>
      <c r="Q32" s="6"/>
      <c r="R32" s="6"/>
      <c r="S32" s="6"/>
      <c r="T32" s="6"/>
      <c r="U32" s="6"/>
      <c r="V32" s="6"/>
      <c r="W32" s="11"/>
      <c r="X32" s="11"/>
      <c r="Y32" s="11"/>
      <c r="Z32" s="11"/>
      <c r="AA32" s="11"/>
      <c r="AB32" s="11"/>
      <c r="AC32" s="11"/>
      <c r="AD32" s="11"/>
      <c r="AE32" s="11"/>
      <c r="AF32" s="11"/>
      <c r="AG32" s="6"/>
      <c r="AH32" s="6"/>
      <c r="AI32" s="6"/>
      <c r="AJ32" s="6"/>
      <c r="AK32" s="6"/>
      <c r="AL32" s="6"/>
      <c r="AM32" s="6"/>
      <c r="AN32" s="6"/>
      <c r="AO32" s="6"/>
      <c r="AP32" s="6"/>
      <c r="AQ32" s="6"/>
      <c r="AR32" s="6"/>
      <c r="AS32" s="6"/>
    </row>
    <row r="33" ht="14.25" customHeight="1">
      <c r="A33" s="6"/>
      <c r="B33" s="230"/>
      <c r="C33" s="256" t="s">
        <v>204</v>
      </c>
      <c r="D33" s="230"/>
      <c r="E33" s="256" t="s">
        <v>205</v>
      </c>
      <c r="F33" s="256"/>
      <c r="G33" s="230"/>
      <c r="H33" s="256" t="s">
        <v>206</v>
      </c>
      <c r="I33" s="256"/>
      <c r="J33" s="256"/>
      <c r="K33" s="230"/>
      <c r="L33" s="256" t="s">
        <v>207</v>
      </c>
      <c r="M33" s="230"/>
      <c r="N33" s="256" t="s">
        <v>208</v>
      </c>
      <c r="O33" s="6"/>
      <c r="P33" s="6"/>
      <c r="Q33" s="6"/>
      <c r="R33" s="6"/>
      <c r="S33" s="6"/>
      <c r="T33" s="6"/>
      <c r="U33" s="6"/>
      <c r="V33" s="6"/>
      <c r="W33" s="11"/>
      <c r="X33" s="11"/>
      <c r="Y33" s="11"/>
      <c r="Z33" s="11"/>
      <c r="AA33" s="11"/>
      <c r="AB33" s="11"/>
      <c r="AC33" s="11"/>
      <c r="AD33" s="11"/>
      <c r="AE33" s="11"/>
      <c r="AF33" s="11"/>
      <c r="AG33" s="6"/>
      <c r="AH33" s="6"/>
      <c r="AI33" s="6"/>
      <c r="AJ33" s="6"/>
      <c r="AK33" s="6"/>
      <c r="AL33" s="6"/>
      <c r="AM33" s="6"/>
      <c r="AN33" s="6"/>
      <c r="AO33" s="6"/>
      <c r="AP33" s="6"/>
      <c r="AQ33" s="6"/>
      <c r="AR33" s="6"/>
      <c r="AS33" s="6"/>
    </row>
    <row r="34" ht="4.5" customHeight="1">
      <c r="A34" s="6"/>
      <c r="B34" s="232"/>
      <c r="C34" s="256"/>
      <c r="D34" s="232"/>
      <c r="E34" s="256"/>
      <c r="F34" s="256"/>
      <c r="G34" s="232"/>
      <c r="H34" s="256"/>
      <c r="I34" s="256"/>
      <c r="J34" s="256"/>
      <c r="K34" s="232"/>
      <c r="L34" s="256"/>
      <c r="M34" s="232"/>
      <c r="N34" s="256"/>
      <c r="O34" s="6"/>
      <c r="P34" s="6"/>
      <c r="Q34" s="6"/>
      <c r="R34" s="6"/>
      <c r="S34" s="6"/>
      <c r="T34" s="6"/>
      <c r="U34" s="6"/>
      <c r="V34" s="6"/>
      <c r="W34" s="11"/>
      <c r="X34" s="11"/>
      <c r="Y34" s="11"/>
      <c r="Z34" s="11"/>
      <c r="AA34" s="11"/>
      <c r="AB34" s="11"/>
      <c r="AC34" s="11"/>
      <c r="AD34" s="11"/>
      <c r="AE34" s="11"/>
      <c r="AF34" s="11"/>
      <c r="AG34" s="6"/>
      <c r="AH34" s="6"/>
      <c r="AI34" s="6"/>
      <c r="AJ34" s="6"/>
      <c r="AK34" s="6"/>
      <c r="AL34" s="6"/>
      <c r="AM34" s="6"/>
      <c r="AN34" s="6"/>
      <c r="AO34" s="6"/>
      <c r="AP34" s="6"/>
      <c r="AQ34" s="6"/>
      <c r="AR34" s="6"/>
      <c r="AS34" s="6"/>
    </row>
    <row r="35" ht="13.5" customHeight="1">
      <c r="A35" s="6"/>
      <c r="B35" s="230"/>
      <c r="C35" s="256" t="s">
        <v>209</v>
      </c>
      <c r="D35" s="230"/>
      <c r="E35" s="256" t="s">
        <v>210</v>
      </c>
      <c r="F35" s="256"/>
      <c r="G35" s="230"/>
      <c r="H35" s="256" t="s">
        <v>211</v>
      </c>
      <c r="I35" s="256"/>
      <c r="J35" s="256"/>
      <c r="K35" s="230"/>
      <c r="L35" s="256" t="s">
        <v>212</v>
      </c>
      <c r="M35" s="230"/>
      <c r="N35" s="256" t="s">
        <v>213</v>
      </c>
      <c r="O35" s="6"/>
      <c r="P35" s="6"/>
      <c r="Q35" s="6"/>
      <c r="R35" s="6"/>
      <c r="S35" s="6"/>
      <c r="T35" s="6"/>
      <c r="U35" s="6"/>
      <c r="V35" s="6"/>
      <c r="W35" s="11"/>
      <c r="X35" s="11"/>
      <c r="Y35" s="11"/>
      <c r="Z35" s="11"/>
      <c r="AA35" s="11"/>
      <c r="AB35" s="11"/>
      <c r="AC35" s="11"/>
      <c r="AD35" s="11"/>
      <c r="AE35" s="11"/>
      <c r="AF35" s="11"/>
      <c r="AG35" s="6"/>
      <c r="AH35" s="6"/>
      <c r="AI35" s="6"/>
      <c r="AJ35" s="6"/>
      <c r="AK35" s="6"/>
      <c r="AL35" s="6"/>
      <c r="AM35" s="6"/>
      <c r="AN35" s="6"/>
      <c r="AO35" s="6"/>
      <c r="AP35" s="6"/>
      <c r="AQ35" s="6"/>
      <c r="AR35" s="6"/>
      <c r="AS35" s="6"/>
    </row>
    <row r="36" ht="4.5" customHeight="1">
      <c r="A36" s="6"/>
      <c r="B36" s="232"/>
      <c r="C36" s="256"/>
      <c r="D36" s="232"/>
      <c r="E36" s="256"/>
      <c r="F36" s="256"/>
      <c r="G36" s="232"/>
      <c r="H36" s="256"/>
      <c r="I36" s="256"/>
      <c r="J36" s="256"/>
      <c r="K36" s="232"/>
      <c r="L36" s="256"/>
      <c r="M36" s="232"/>
      <c r="N36" s="256"/>
      <c r="O36" s="6"/>
      <c r="P36" s="6"/>
      <c r="Q36" s="6"/>
      <c r="R36" s="6"/>
      <c r="S36" s="6"/>
      <c r="T36" s="6"/>
      <c r="U36" s="6"/>
      <c r="V36" s="6"/>
      <c r="W36" s="11"/>
      <c r="X36" s="11"/>
      <c r="Y36" s="11"/>
      <c r="Z36" s="11"/>
      <c r="AA36" s="11"/>
      <c r="AB36" s="11"/>
      <c r="AC36" s="11"/>
      <c r="AD36" s="11"/>
      <c r="AE36" s="11"/>
      <c r="AF36" s="11"/>
      <c r="AG36" s="6"/>
      <c r="AH36" s="6"/>
      <c r="AI36" s="6"/>
      <c r="AJ36" s="6"/>
      <c r="AK36" s="6"/>
      <c r="AL36" s="6"/>
      <c r="AM36" s="6"/>
      <c r="AN36" s="6"/>
      <c r="AO36" s="6"/>
      <c r="AP36" s="6"/>
      <c r="AQ36" s="6"/>
      <c r="AR36" s="6"/>
      <c r="AS36" s="6"/>
    </row>
    <row r="37" ht="13.5" customHeight="1">
      <c r="A37" s="6"/>
      <c r="B37" s="230"/>
      <c r="C37" s="256" t="s">
        <v>214</v>
      </c>
      <c r="D37" s="230"/>
      <c r="E37" s="256" t="s">
        <v>215</v>
      </c>
      <c r="F37" s="256"/>
      <c r="G37" s="230"/>
      <c r="H37" s="256" t="s">
        <v>216</v>
      </c>
      <c r="I37" s="256"/>
      <c r="J37" s="256"/>
      <c r="K37" s="230"/>
      <c r="L37" s="256" t="s">
        <v>217</v>
      </c>
      <c r="M37" s="230"/>
      <c r="N37" s="256" t="s">
        <v>218</v>
      </c>
      <c r="O37" s="6"/>
      <c r="P37" s="6"/>
      <c r="Q37" s="6"/>
      <c r="R37" s="6"/>
      <c r="S37" s="6"/>
      <c r="T37" s="6"/>
      <c r="U37" s="6"/>
      <c r="V37" s="6"/>
      <c r="W37" s="11"/>
      <c r="X37" s="233"/>
      <c r="Y37" s="169"/>
      <c r="Z37" s="169"/>
      <c r="AA37" s="11"/>
      <c r="AB37" s="11"/>
      <c r="AC37" s="11"/>
      <c r="AD37" s="11"/>
      <c r="AE37" s="11"/>
      <c r="AF37" s="11"/>
      <c r="AG37" s="6"/>
      <c r="AH37" s="6"/>
      <c r="AI37" s="6"/>
      <c r="AJ37" s="6"/>
      <c r="AK37" s="6"/>
      <c r="AL37" s="6"/>
      <c r="AM37" s="6"/>
      <c r="AN37" s="6"/>
      <c r="AO37" s="6"/>
      <c r="AP37" s="6"/>
      <c r="AQ37" s="6"/>
      <c r="AR37" s="6"/>
      <c r="AS37" s="6"/>
    </row>
    <row r="38" ht="4.5" customHeight="1">
      <c r="A38" s="6"/>
      <c r="B38" s="232"/>
      <c r="C38" s="256"/>
      <c r="D38" s="232"/>
      <c r="E38" s="256"/>
      <c r="F38" s="256"/>
      <c r="G38" s="232"/>
      <c r="H38" s="256"/>
      <c r="I38" s="256"/>
      <c r="J38" s="256"/>
      <c r="K38" s="232"/>
      <c r="L38" s="256"/>
      <c r="M38" s="232"/>
      <c r="N38" s="256"/>
      <c r="O38" s="6"/>
      <c r="P38" s="6"/>
      <c r="Q38" s="6"/>
      <c r="R38" s="6"/>
      <c r="S38" s="6"/>
      <c r="T38" s="6"/>
      <c r="U38" s="6"/>
      <c r="V38" s="6"/>
      <c r="W38" s="11"/>
      <c r="X38" s="234"/>
      <c r="Y38" s="2"/>
      <c r="Z38" s="2"/>
      <c r="AA38" s="11"/>
      <c r="AB38" s="11"/>
      <c r="AC38" s="11"/>
      <c r="AD38" s="11"/>
      <c r="AE38" s="11"/>
      <c r="AF38" s="11"/>
      <c r="AG38" s="6"/>
      <c r="AH38" s="6"/>
      <c r="AI38" s="6"/>
      <c r="AJ38" s="6"/>
      <c r="AK38" s="6"/>
      <c r="AL38" s="6"/>
      <c r="AM38" s="6"/>
      <c r="AN38" s="6"/>
      <c r="AO38" s="6"/>
      <c r="AP38" s="6"/>
      <c r="AQ38" s="6"/>
      <c r="AR38" s="6"/>
      <c r="AS38" s="6"/>
    </row>
    <row r="39" ht="5.25" customHeight="1">
      <c r="A39" s="6"/>
      <c r="B39" s="235"/>
      <c r="C39" s="256" t="s">
        <v>219</v>
      </c>
      <c r="D39" s="235"/>
      <c r="E39" s="256" t="s">
        <v>220</v>
      </c>
      <c r="G39" s="235"/>
      <c r="H39" s="256" t="s">
        <v>221</v>
      </c>
      <c r="K39" s="235"/>
      <c r="L39" s="256" t="s">
        <v>222</v>
      </c>
      <c r="M39" s="235"/>
      <c r="N39" s="256" t="s">
        <v>223</v>
      </c>
      <c r="O39" s="6"/>
      <c r="P39" s="6"/>
      <c r="Q39" s="6"/>
      <c r="R39" s="6"/>
      <c r="S39" s="6"/>
      <c r="T39" s="6"/>
      <c r="U39" s="6"/>
      <c r="V39" s="6"/>
      <c r="W39" s="11"/>
      <c r="X39" s="4"/>
      <c r="AA39" s="11"/>
      <c r="AB39" s="11"/>
      <c r="AC39" s="11"/>
      <c r="AD39" s="11"/>
      <c r="AE39" s="11"/>
      <c r="AF39" s="11"/>
      <c r="AG39" s="6"/>
      <c r="AH39" s="6"/>
      <c r="AI39" s="6"/>
      <c r="AJ39" s="6"/>
      <c r="AK39" s="6"/>
      <c r="AL39" s="6"/>
      <c r="AM39" s="6"/>
      <c r="AN39" s="6"/>
      <c r="AO39" s="6"/>
      <c r="AP39" s="6"/>
      <c r="AQ39" s="6"/>
      <c r="AR39" s="6"/>
      <c r="AS39" s="6"/>
    </row>
    <row r="40" ht="8.25" customHeight="1">
      <c r="A40" s="6"/>
      <c r="B40" s="236"/>
      <c r="D40" s="236"/>
      <c r="G40" s="236"/>
      <c r="K40" s="236"/>
      <c r="M40" s="236"/>
      <c r="O40" s="6"/>
      <c r="P40" s="6"/>
      <c r="Q40" s="211" t="s">
        <v>164</v>
      </c>
      <c r="R40" s="212"/>
      <c r="S40" s="212"/>
      <c r="T40" s="213"/>
      <c r="U40" s="237"/>
      <c r="V40" s="237"/>
      <c r="W40" s="11"/>
      <c r="X40" s="4"/>
      <c r="AA40" s="11"/>
      <c r="AB40" s="11"/>
      <c r="AC40" s="11"/>
      <c r="AD40" s="11"/>
      <c r="AE40" s="11"/>
      <c r="AF40" s="11"/>
      <c r="AG40" s="6"/>
      <c r="AH40" s="6"/>
      <c r="AI40" s="6"/>
      <c r="AJ40" s="6"/>
      <c r="AK40" s="6"/>
      <c r="AL40" s="6"/>
      <c r="AM40" s="6"/>
      <c r="AN40" s="6"/>
      <c r="AO40" s="6"/>
      <c r="AP40" s="6"/>
      <c r="AQ40" s="6"/>
      <c r="AR40" s="6"/>
      <c r="AS40" s="6"/>
    </row>
    <row r="41" ht="4.5" customHeight="1">
      <c r="A41" s="6"/>
      <c r="B41" s="232"/>
      <c r="C41" s="256"/>
      <c r="D41" s="232"/>
      <c r="E41" s="256"/>
      <c r="F41" s="256"/>
      <c r="G41" s="232"/>
      <c r="H41" s="256"/>
      <c r="I41" s="256"/>
      <c r="J41" s="256"/>
      <c r="K41" s="232"/>
      <c r="L41" s="256"/>
      <c r="M41" s="232"/>
      <c r="N41" s="256"/>
      <c r="O41" s="6"/>
      <c r="P41" s="6"/>
      <c r="Q41" s="217"/>
      <c r="R41" s="205"/>
      <c r="S41" s="205"/>
      <c r="T41" s="218"/>
      <c r="U41" s="237"/>
      <c r="V41" s="237"/>
      <c r="W41" s="11"/>
      <c r="X41" s="240"/>
      <c r="Y41" s="2"/>
      <c r="Z41" s="2"/>
      <c r="AA41" s="11"/>
      <c r="AB41" s="11"/>
      <c r="AC41" s="11"/>
      <c r="AD41" s="11"/>
      <c r="AE41" s="11"/>
      <c r="AF41" s="11"/>
      <c r="AG41" s="6"/>
      <c r="AH41" s="6"/>
      <c r="AI41" s="6"/>
      <c r="AJ41" s="6"/>
      <c r="AK41" s="6"/>
      <c r="AL41" s="6"/>
      <c r="AM41" s="6"/>
      <c r="AN41" s="6"/>
      <c r="AO41" s="6"/>
      <c r="AP41" s="6"/>
      <c r="AQ41" s="6"/>
      <c r="AR41" s="6"/>
      <c r="AS41" s="6"/>
    </row>
    <row r="42" ht="10.5" customHeight="1">
      <c r="A42" s="6"/>
      <c r="B42" s="235"/>
      <c r="C42" s="256" t="s">
        <v>224</v>
      </c>
      <c r="D42" s="235"/>
      <c r="E42" s="256" t="s">
        <v>225</v>
      </c>
      <c r="G42" s="235"/>
      <c r="H42" s="256" t="s">
        <v>226</v>
      </c>
      <c r="K42" s="235"/>
      <c r="L42" s="256" t="s">
        <v>227</v>
      </c>
      <c r="M42" s="235"/>
      <c r="N42" s="256" t="s">
        <v>228</v>
      </c>
      <c r="O42" s="6"/>
      <c r="P42" s="6"/>
      <c r="Q42" s="241" t="s">
        <v>67</v>
      </c>
      <c r="R42" s="242" t="s">
        <v>68</v>
      </c>
      <c r="S42" s="242" t="s">
        <v>69</v>
      </c>
      <c r="T42" s="243" t="s">
        <v>70</v>
      </c>
      <c r="U42" s="244"/>
      <c r="V42" s="244"/>
      <c r="W42" s="11"/>
      <c r="X42" s="4"/>
      <c r="AA42" s="11"/>
      <c r="AB42" s="11"/>
      <c r="AC42" s="11"/>
      <c r="AD42" s="11"/>
      <c r="AE42" s="11"/>
      <c r="AF42" s="11"/>
      <c r="AG42" s="6"/>
      <c r="AH42" s="6"/>
      <c r="AI42" s="6"/>
      <c r="AJ42" s="6"/>
      <c r="AK42" s="6"/>
      <c r="AL42" s="6"/>
      <c r="AM42" s="6"/>
      <c r="AN42" s="6"/>
      <c r="AO42" s="6"/>
      <c r="AP42" s="6"/>
      <c r="AQ42" s="6"/>
      <c r="AR42" s="6"/>
      <c r="AS42" s="6"/>
    </row>
    <row r="43" ht="3.0" customHeight="1">
      <c r="A43" s="6"/>
      <c r="B43" s="236"/>
      <c r="D43" s="236"/>
      <c r="G43" s="236"/>
      <c r="K43" s="236"/>
      <c r="M43" s="236"/>
      <c r="O43" s="6"/>
      <c r="P43" s="6"/>
      <c r="Q43" s="245"/>
      <c r="R43" s="246"/>
      <c r="S43" s="246"/>
      <c r="T43" s="247"/>
      <c r="U43" s="244"/>
      <c r="V43" s="244"/>
      <c r="W43" s="11"/>
      <c r="X43" s="11"/>
      <c r="Y43" s="248">
        <f>SUM(I93:M98)</f>
        <v>0</v>
      </c>
      <c r="Z43" s="11"/>
      <c r="AA43" s="11"/>
      <c r="AB43" s="11"/>
      <c r="AC43" s="11"/>
      <c r="AD43" s="11"/>
      <c r="AE43" s="11"/>
      <c r="AF43" s="11"/>
      <c r="AG43" s="6"/>
      <c r="AH43" s="6"/>
      <c r="AI43" s="6"/>
      <c r="AJ43" s="6"/>
      <c r="AK43" s="6"/>
      <c r="AL43" s="6"/>
      <c r="AM43" s="6"/>
      <c r="AN43" s="6"/>
      <c r="AO43" s="6"/>
      <c r="AP43" s="6"/>
      <c r="AQ43" s="6"/>
      <c r="AR43" s="6"/>
      <c r="AS43" s="6"/>
    </row>
    <row r="44" ht="4.5" customHeight="1">
      <c r="A44" s="6"/>
      <c r="B44" s="232"/>
      <c r="C44" s="256"/>
      <c r="D44" s="232"/>
      <c r="E44" s="256"/>
      <c r="F44" s="256"/>
      <c r="G44" s="232"/>
      <c r="H44" s="256"/>
      <c r="I44" s="256"/>
      <c r="J44" s="256"/>
      <c r="K44" s="232"/>
      <c r="L44" s="256"/>
      <c r="M44" s="232"/>
      <c r="N44" s="256"/>
      <c r="O44" s="6"/>
      <c r="P44" s="6"/>
      <c r="Q44" s="249"/>
      <c r="R44" s="250"/>
      <c r="S44" s="250"/>
      <c r="T44" s="251"/>
      <c r="U44" s="244"/>
      <c r="V44" s="244"/>
      <c r="W44" s="11"/>
      <c r="X44" s="11"/>
      <c r="Y44" s="252"/>
      <c r="Z44" s="11"/>
      <c r="AA44" s="11"/>
      <c r="AB44" s="11"/>
      <c r="AC44" s="11"/>
      <c r="AD44" s="11"/>
      <c r="AE44" s="11"/>
      <c r="AF44" s="11"/>
      <c r="AG44" s="6"/>
      <c r="AH44" s="6"/>
      <c r="AI44" s="6"/>
      <c r="AJ44" s="6"/>
      <c r="AK44" s="6"/>
      <c r="AL44" s="6"/>
      <c r="AM44" s="6"/>
      <c r="AN44" s="6"/>
      <c r="AO44" s="6"/>
      <c r="AP44" s="6"/>
      <c r="AQ44" s="6"/>
      <c r="AR44" s="6"/>
      <c r="AS44" s="6"/>
    </row>
    <row r="45" ht="13.5" customHeight="1">
      <c r="A45" s="6"/>
      <c r="B45" s="230"/>
      <c r="C45" s="256" t="s">
        <v>229</v>
      </c>
      <c r="D45" s="230"/>
      <c r="E45" s="256" t="s">
        <v>230</v>
      </c>
      <c r="F45" s="256"/>
      <c r="G45" s="230"/>
      <c r="H45" s="256" t="s">
        <v>231</v>
      </c>
      <c r="I45" s="256"/>
      <c r="J45" s="256"/>
      <c r="K45" s="230"/>
      <c r="L45" s="256" t="s">
        <v>232</v>
      </c>
      <c r="M45" s="230"/>
      <c r="N45" s="256" t="s">
        <v>233</v>
      </c>
      <c r="O45" s="6"/>
      <c r="P45" s="6"/>
      <c r="Q45" s="228"/>
      <c r="R45" s="253"/>
      <c r="S45" s="253"/>
      <c r="T45" s="254"/>
      <c r="U45" s="14"/>
      <c r="V45" s="14"/>
      <c r="W45" s="11"/>
      <c r="X45" s="11"/>
      <c r="Y45" s="255"/>
      <c r="Z45" s="11"/>
      <c r="AA45" s="11"/>
      <c r="AB45" s="11"/>
      <c r="AC45" s="11"/>
      <c r="AD45" s="11"/>
      <c r="AE45" s="11"/>
      <c r="AF45" s="11"/>
      <c r="AG45" s="6"/>
      <c r="AH45" s="6"/>
      <c r="AI45" s="6"/>
      <c r="AJ45" s="6"/>
      <c r="AK45" s="6"/>
      <c r="AL45" s="6"/>
      <c r="AM45" s="6"/>
      <c r="AN45" s="6"/>
      <c r="AO45" s="6"/>
      <c r="AP45" s="6"/>
      <c r="AQ45" s="6"/>
      <c r="AR45" s="6"/>
      <c r="AS45" s="6"/>
    </row>
    <row r="46" ht="15.75" customHeight="1">
      <c r="A46" s="6"/>
      <c r="B46" s="6"/>
      <c r="C46" s="6"/>
      <c r="D46" s="6"/>
      <c r="E46" s="6"/>
      <c r="F46" s="6"/>
      <c r="G46" s="6"/>
      <c r="H46" s="6"/>
      <c r="I46" s="6"/>
      <c r="J46" s="6"/>
      <c r="K46" s="6"/>
      <c r="L46" s="6"/>
      <c r="M46" s="6"/>
      <c r="N46" s="6"/>
      <c r="O46" s="6"/>
      <c r="P46" s="6"/>
      <c r="Q46" s="14" t="str">
        <f t="shared" ref="Q46:T46" si="4">IF(ISNUMBER(Q43),1,"@")</f>
        <v>@</v>
      </c>
      <c r="R46" s="14" t="str">
        <f t="shared" si="4"/>
        <v>@</v>
      </c>
      <c r="S46" s="14" t="str">
        <f t="shared" si="4"/>
        <v>@</v>
      </c>
      <c r="T46" s="14" t="str">
        <f t="shared" si="4"/>
        <v>@</v>
      </c>
      <c r="U46" s="6"/>
      <c r="V46" s="6"/>
      <c r="W46" s="11"/>
      <c r="X46" s="11"/>
      <c r="Y46" s="11"/>
      <c r="Z46" s="11"/>
      <c r="AA46" s="11"/>
      <c r="AB46" s="11"/>
      <c r="AC46" s="11"/>
      <c r="AD46" s="11"/>
      <c r="AE46" s="11"/>
      <c r="AF46" s="11"/>
      <c r="AG46" s="6"/>
      <c r="AH46" s="6"/>
      <c r="AI46" s="6"/>
      <c r="AJ46" s="6"/>
      <c r="AK46" s="6"/>
      <c r="AL46" s="6"/>
      <c r="AM46" s="6"/>
      <c r="AN46" s="6"/>
      <c r="AO46" s="6"/>
      <c r="AP46" s="6"/>
      <c r="AQ46" s="6"/>
      <c r="AR46" s="6"/>
      <c r="AS46" s="6"/>
    </row>
    <row r="47" ht="15.75" customHeight="1">
      <c r="A47" s="6"/>
      <c r="B47" s="209" t="s">
        <v>234</v>
      </c>
      <c r="C47" s="6"/>
      <c r="D47" s="6"/>
      <c r="E47" s="6"/>
      <c r="F47" s="6"/>
      <c r="G47" s="6"/>
      <c r="H47" s="6"/>
      <c r="I47" s="6"/>
      <c r="J47" s="6"/>
      <c r="K47" s="6"/>
      <c r="L47" s="6"/>
      <c r="M47" s="6"/>
      <c r="N47" s="6"/>
      <c r="O47" s="6"/>
      <c r="P47" s="6"/>
      <c r="Q47" s="6"/>
      <c r="R47" s="6"/>
      <c r="S47" s="6"/>
      <c r="T47" s="6"/>
      <c r="U47" s="6"/>
      <c r="V47" s="6"/>
      <c r="W47" s="11"/>
      <c r="X47" s="11"/>
      <c r="Y47" s="11"/>
      <c r="Z47" s="11"/>
      <c r="AA47" s="11"/>
      <c r="AB47" s="11"/>
      <c r="AC47" s="11"/>
      <c r="AD47" s="11"/>
      <c r="AE47" s="11"/>
      <c r="AF47" s="11"/>
      <c r="AG47" s="6"/>
      <c r="AH47" s="6"/>
      <c r="AI47" s="6"/>
      <c r="AJ47" s="6"/>
      <c r="AK47" s="6"/>
      <c r="AL47" s="6"/>
      <c r="AM47" s="6"/>
      <c r="AN47" s="6"/>
      <c r="AO47" s="6"/>
      <c r="AP47" s="6"/>
      <c r="AQ47" s="6"/>
      <c r="AR47" s="6"/>
      <c r="AS47" s="6"/>
    </row>
    <row r="48" ht="7.5" customHeight="1">
      <c r="A48" s="6"/>
      <c r="B48" s="6"/>
      <c r="C48" s="6"/>
      <c r="D48" s="6"/>
      <c r="E48" s="6"/>
      <c r="F48" s="6"/>
      <c r="G48" s="6"/>
      <c r="H48" s="6"/>
      <c r="I48" s="6"/>
      <c r="J48" s="6"/>
      <c r="K48" s="6"/>
      <c r="L48" s="6"/>
      <c r="M48" s="6"/>
      <c r="N48" s="6"/>
      <c r="O48" s="6"/>
      <c r="P48" s="6"/>
      <c r="Q48" s="6"/>
      <c r="R48" s="6"/>
      <c r="S48" s="6"/>
      <c r="T48" s="6"/>
      <c r="U48" s="6"/>
      <c r="V48" s="6"/>
      <c r="W48" s="11"/>
      <c r="X48" s="11"/>
      <c r="Y48" s="11"/>
      <c r="Z48" s="11"/>
      <c r="AA48" s="11"/>
      <c r="AB48" s="11"/>
      <c r="AC48" s="11"/>
      <c r="AD48" s="11"/>
      <c r="AE48" s="11"/>
      <c r="AF48" s="11"/>
      <c r="AG48" s="6"/>
      <c r="AH48" s="6"/>
      <c r="AI48" s="6"/>
      <c r="AJ48" s="6"/>
      <c r="AK48" s="6"/>
      <c r="AL48" s="6"/>
      <c r="AM48" s="6"/>
      <c r="AN48" s="6"/>
      <c r="AO48" s="6"/>
      <c r="AP48" s="6"/>
      <c r="AQ48" s="6"/>
      <c r="AR48" s="6"/>
      <c r="AS48" s="6"/>
    </row>
    <row r="49" ht="13.5" customHeight="1">
      <c r="A49" s="6"/>
      <c r="B49" s="230"/>
      <c r="C49" s="231" t="s">
        <v>235</v>
      </c>
      <c r="D49" s="230"/>
      <c r="E49" s="231" t="s">
        <v>236</v>
      </c>
      <c r="F49" s="231"/>
      <c r="G49" s="230"/>
      <c r="H49" s="231" t="s">
        <v>237</v>
      </c>
      <c r="I49" s="231"/>
      <c r="J49" s="231"/>
      <c r="K49" s="230"/>
      <c r="L49" s="231" t="s">
        <v>238</v>
      </c>
      <c r="M49" s="230"/>
      <c r="N49" s="231" t="s">
        <v>239</v>
      </c>
      <c r="O49" s="6"/>
      <c r="P49" s="6"/>
      <c r="Q49" s="6"/>
      <c r="R49" s="6"/>
      <c r="S49" s="6"/>
      <c r="T49" s="6"/>
      <c r="U49" s="6"/>
      <c r="V49" s="6"/>
      <c r="W49" s="11"/>
      <c r="X49" s="11"/>
      <c r="Y49" s="11"/>
      <c r="Z49" s="11"/>
      <c r="AA49" s="11"/>
      <c r="AB49" s="11"/>
      <c r="AC49" s="11"/>
      <c r="AD49" s="11"/>
      <c r="AE49" s="11"/>
      <c r="AF49" s="11"/>
      <c r="AG49" s="6"/>
      <c r="AH49" s="6"/>
      <c r="AI49" s="6"/>
      <c r="AJ49" s="6"/>
      <c r="AK49" s="6"/>
      <c r="AL49" s="6"/>
      <c r="AM49" s="6"/>
      <c r="AN49" s="6"/>
      <c r="AO49" s="6"/>
      <c r="AP49" s="6"/>
      <c r="AQ49" s="6"/>
      <c r="AR49" s="6"/>
      <c r="AS49" s="6"/>
    </row>
    <row r="50" ht="4.5" customHeight="1">
      <c r="A50" s="6"/>
      <c r="B50" s="232"/>
      <c r="C50" s="231"/>
      <c r="D50" s="232"/>
      <c r="E50" s="231"/>
      <c r="F50" s="231"/>
      <c r="G50" s="232"/>
      <c r="H50" s="231"/>
      <c r="I50" s="231"/>
      <c r="J50" s="231"/>
      <c r="K50" s="232"/>
      <c r="L50" s="231"/>
      <c r="M50" s="232"/>
      <c r="N50" s="231"/>
      <c r="O50" s="6"/>
      <c r="P50" s="6"/>
      <c r="Q50" s="6"/>
      <c r="R50" s="6"/>
      <c r="S50" s="6"/>
      <c r="T50" s="6"/>
      <c r="U50" s="6"/>
      <c r="V50" s="6"/>
      <c r="W50" s="11"/>
      <c r="X50" s="11"/>
      <c r="Y50" s="11"/>
      <c r="Z50" s="11"/>
      <c r="AA50" s="11"/>
      <c r="AB50" s="11"/>
      <c r="AC50" s="11"/>
      <c r="AD50" s="11"/>
      <c r="AE50" s="11"/>
      <c r="AF50" s="11"/>
      <c r="AG50" s="6"/>
      <c r="AH50" s="6"/>
      <c r="AI50" s="6"/>
      <c r="AJ50" s="6"/>
      <c r="AK50" s="6"/>
      <c r="AL50" s="6"/>
      <c r="AM50" s="6"/>
      <c r="AN50" s="6"/>
      <c r="AO50" s="6"/>
      <c r="AP50" s="6"/>
      <c r="AQ50" s="6"/>
      <c r="AR50" s="6"/>
      <c r="AS50" s="6"/>
    </row>
    <row r="51" ht="13.5" customHeight="1">
      <c r="A51" s="6"/>
      <c r="B51" s="230"/>
      <c r="C51" s="231" t="s">
        <v>240</v>
      </c>
      <c r="D51" s="230"/>
      <c r="E51" s="231" t="s">
        <v>241</v>
      </c>
      <c r="F51" s="231"/>
      <c r="G51" s="230"/>
      <c r="H51" s="231" t="s">
        <v>242</v>
      </c>
      <c r="I51" s="231"/>
      <c r="J51" s="231"/>
      <c r="K51" s="230"/>
      <c r="L51" s="231" t="s">
        <v>243</v>
      </c>
      <c r="M51" s="230"/>
      <c r="N51" s="231" t="s">
        <v>244</v>
      </c>
      <c r="O51" s="6"/>
      <c r="P51" s="6"/>
      <c r="Q51" s="6"/>
      <c r="R51" s="6"/>
      <c r="S51" s="6"/>
      <c r="T51" s="6"/>
      <c r="U51" s="6"/>
      <c r="V51" s="6"/>
      <c r="W51" s="11"/>
      <c r="X51" s="11"/>
      <c r="Y51" s="11"/>
      <c r="Z51" s="11"/>
      <c r="AA51" s="11"/>
      <c r="AB51" s="11"/>
      <c r="AC51" s="11"/>
      <c r="AD51" s="11"/>
      <c r="AE51" s="11"/>
      <c r="AF51" s="11"/>
      <c r="AG51" s="6"/>
      <c r="AH51" s="6"/>
      <c r="AI51" s="6"/>
      <c r="AJ51" s="6"/>
      <c r="AK51" s="6"/>
      <c r="AL51" s="6"/>
      <c r="AM51" s="6"/>
      <c r="AN51" s="6"/>
      <c r="AO51" s="6"/>
      <c r="AP51" s="6"/>
      <c r="AQ51" s="6"/>
      <c r="AR51" s="6"/>
      <c r="AS51" s="6"/>
    </row>
    <row r="52" ht="4.5" customHeight="1">
      <c r="A52" s="6"/>
      <c r="B52" s="232"/>
      <c r="C52" s="231"/>
      <c r="D52" s="232"/>
      <c r="E52" s="231"/>
      <c r="F52" s="231"/>
      <c r="G52" s="232"/>
      <c r="H52" s="231"/>
      <c r="I52" s="231"/>
      <c r="J52" s="231"/>
      <c r="K52" s="232"/>
      <c r="L52" s="231"/>
      <c r="M52" s="232"/>
      <c r="N52" s="231"/>
      <c r="O52" s="6"/>
      <c r="P52" s="6"/>
      <c r="Q52" s="6"/>
      <c r="R52" s="6"/>
      <c r="S52" s="6"/>
      <c r="T52" s="6"/>
      <c r="U52" s="6"/>
      <c r="V52" s="6"/>
      <c r="W52" s="11"/>
      <c r="X52" s="11"/>
      <c r="Y52" s="11"/>
      <c r="Z52" s="11"/>
      <c r="AA52" s="11"/>
      <c r="AB52" s="11"/>
      <c r="AC52" s="11"/>
      <c r="AD52" s="11"/>
      <c r="AE52" s="11"/>
      <c r="AF52" s="11"/>
      <c r="AG52" s="6"/>
      <c r="AH52" s="6"/>
      <c r="AI52" s="6"/>
      <c r="AJ52" s="6"/>
      <c r="AK52" s="6"/>
      <c r="AL52" s="6"/>
      <c r="AM52" s="6"/>
      <c r="AN52" s="6"/>
      <c r="AO52" s="6"/>
      <c r="AP52" s="6"/>
      <c r="AQ52" s="6"/>
      <c r="AR52" s="6"/>
      <c r="AS52" s="6"/>
    </row>
    <row r="53" ht="13.5" customHeight="1">
      <c r="A53" s="6"/>
      <c r="B53" s="230"/>
      <c r="C53" s="231" t="s">
        <v>245</v>
      </c>
      <c r="D53" s="230"/>
      <c r="E53" s="231" t="s">
        <v>246</v>
      </c>
      <c r="F53" s="231"/>
      <c r="G53" s="230"/>
      <c r="H53" s="231" t="s">
        <v>247</v>
      </c>
      <c r="I53" s="231"/>
      <c r="J53" s="231"/>
      <c r="K53" s="230"/>
      <c r="L53" s="231" t="s">
        <v>248</v>
      </c>
      <c r="M53" s="230"/>
      <c r="N53" s="231" t="s">
        <v>249</v>
      </c>
      <c r="O53" s="6"/>
      <c r="P53" s="6"/>
      <c r="Q53" s="6"/>
      <c r="R53" s="6"/>
      <c r="S53" s="6"/>
      <c r="T53" s="6"/>
      <c r="U53" s="6"/>
      <c r="V53" s="6"/>
      <c r="W53" s="11"/>
      <c r="X53" s="233"/>
      <c r="Y53" s="169"/>
      <c r="Z53" s="169"/>
      <c r="AA53" s="11"/>
      <c r="AB53" s="11"/>
      <c r="AC53" s="11"/>
      <c r="AD53" s="11"/>
      <c r="AE53" s="11"/>
      <c r="AF53" s="11"/>
      <c r="AG53" s="6"/>
      <c r="AH53" s="6"/>
      <c r="AI53" s="6"/>
      <c r="AJ53" s="6"/>
      <c r="AK53" s="6"/>
      <c r="AL53" s="6"/>
      <c r="AM53" s="6"/>
      <c r="AN53" s="6"/>
      <c r="AO53" s="6"/>
      <c r="AP53" s="6"/>
      <c r="AQ53" s="6"/>
      <c r="AR53" s="6"/>
      <c r="AS53" s="6"/>
    </row>
    <row r="54" ht="4.5" customHeight="1">
      <c r="A54" s="6"/>
      <c r="B54" s="232"/>
      <c r="C54" s="231"/>
      <c r="D54" s="232"/>
      <c r="E54" s="231"/>
      <c r="F54" s="231"/>
      <c r="G54" s="232"/>
      <c r="H54" s="231"/>
      <c r="I54" s="231"/>
      <c r="J54" s="231"/>
      <c r="K54" s="232"/>
      <c r="L54" s="231"/>
      <c r="M54" s="232"/>
      <c r="N54" s="231"/>
      <c r="O54" s="6"/>
      <c r="P54" s="6"/>
      <c r="Q54" s="6"/>
      <c r="R54" s="6"/>
      <c r="S54" s="6"/>
      <c r="T54" s="6"/>
      <c r="U54" s="6"/>
      <c r="V54" s="6"/>
      <c r="W54" s="11"/>
      <c r="X54" s="234"/>
      <c r="Y54" s="2"/>
      <c r="Z54" s="2"/>
      <c r="AA54" s="11"/>
      <c r="AB54" s="11"/>
      <c r="AC54" s="11"/>
      <c r="AD54" s="11"/>
      <c r="AE54" s="11"/>
      <c r="AF54" s="11"/>
      <c r="AG54" s="6"/>
      <c r="AH54" s="6"/>
      <c r="AI54" s="6"/>
      <c r="AJ54" s="6"/>
      <c r="AK54" s="6"/>
      <c r="AL54" s="6"/>
      <c r="AM54" s="6"/>
      <c r="AN54" s="6"/>
      <c r="AO54" s="6"/>
      <c r="AP54" s="6"/>
      <c r="AQ54" s="6"/>
      <c r="AR54" s="6"/>
      <c r="AS54" s="6"/>
    </row>
    <row r="55" ht="5.25" customHeight="1">
      <c r="A55" s="6"/>
      <c r="B55" s="235"/>
      <c r="C55" s="231" t="s">
        <v>251</v>
      </c>
      <c r="D55" s="235"/>
      <c r="E55" s="231" t="s">
        <v>252</v>
      </c>
      <c r="G55" s="235"/>
      <c r="H55" s="231" t="s">
        <v>254</v>
      </c>
      <c r="K55" s="235"/>
      <c r="L55" s="231" t="s">
        <v>255</v>
      </c>
      <c r="M55" s="235"/>
      <c r="N55" s="231" t="s">
        <v>256</v>
      </c>
      <c r="O55" s="6"/>
      <c r="P55" s="6"/>
      <c r="Q55" s="6"/>
      <c r="R55" s="6"/>
      <c r="S55" s="6"/>
      <c r="T55" s="6"/>
      <c r="U55" s="6"/>
      <c r="V55" s="6"/>
      <c r="W55" s="11"/>
      <c r="X55" s="4"/>
      <c r="AA55" s="11"/>
      <c r="AB55" s="11"/>
      <c r="AC55" s="11"/>
      <c r="AD55" s="11"/>
      <c r="AE55" s="11"/>
      <c r="AF55" s="11"/>
      <c r="AG55" s="6"/>
      <c r="AH55" s="6"/>
      <c r="AI55" s="6"/>
      <c r="AJ55" s="6"/>
      <c r="AK55" s="6"/>
      <c r="AL55" s="6"/>
      <c r="AM55" s="6"/>
      <c r="AN55" s="6"/>
      <c r="AO55" s="6"/>
      <c r="AP55" s="6"/>
      <c r="AQ55" s="6"/>
      <c r="AR55" s="6"/>
      <c r="AS55" s="6"/>
    </row>
    <row r="56" ht="8.25" customHeight="1">
      <c r="A56" s="6"/>
      <c r="B56" s="236"/>
      <c r="D56" s="236"/>
      <c r="G56" s="236"/>
      <c r="K56" s="236"/>
      <c r="M56" s="236"/>
      <c r="O56" s="6"/>
      <c r="P56" s="6"/>
      <c r="Q56" s="211" t="s">
        <v>164</v>
      </c>
      <c r="R56" s="212"/>
      <c r="S56" s="212"/>
      <c r="T56" s="213"/>
      <c r="U56" s="237"/>
      <c r="V56" s="237"/>
      <c r="W56" s="11"/>
      <c r="X56" s="4"/>
      <c r="AA56" s="11"/>
      <c r="AB56" s="11"/>
      <c r="AC56" s="11"/>
      <c r="AD56" s="11"/>
      <c r="AE56" s="11"/>
      <c r="AF56" s="11"/>
      <c r="AG56" s="6"/>
      <c r="AH56" s="6"/>
      <c r="AI56" s="6"/>
      <c r="AJ56" s="6"/>
      <c r="AK56" s="6"/>
      <c r="AL56" s="6"/>
      <c r="AM56" s="6"/>
      <c r="AN56" s="6"/>
      <c r="AO56" s="6"/>
      <c r="AP56" s="6"/>
      <c r="AQ56" s="6"/>
      <c r="AR56" s="6"/>
      <c r="AS56" s="6"/>
    </row>
    <row r="57" ht="4.5" customHeight="1">
      <c r="A57" s="6"/>
      <c r="B57" s="232"/>
      <c r="C57" s="231"/>
      <c r="D57" s="232"/>
      <c r="E57" s="231"/>
      <c r="F57" s="231"/>
      <c r="G57" s="232"/>
      <c r="H57" s="231"/>
      <c r="I57" s="231"/>
      <c r="J57" s="231"/>
      <c r="K57" s="232"/>
      <c r="L57" s="231"/>
      <c r="M57" s="232"/>
      <c r="N57" s="231"/>
      <c r="O57" s="6"/>
      <c r="P57" s="6"/>
      <c r="Q57" s="217"/>
      <c r="R57" s="205"/>
      <c r="S57" s="205"/>
      <c r="T57" s="218"/>
      <c r="U57" s="237"/>
      <c r="V57" s="237"/>
      <c r="W57" s="11"/>
      <c r="X57" s="240"/>
      <c r="Y57" s="2"/>
      <c r="Z57" s="2"/>
      <c r="AA57" s="11"/>
      <c r="AB57" s="11"/>
      <c r="AC57" s="11"/>
      <c r="AD57" s="11"/>
      <c r="AE57" s="11"/>
      <c r="AF57" s="11"/>
      <c r="AG57" s="6"/>
      <c r="AH57" s="6"/>
      <c r="AI57" s="6"/>
      <c r="AJ57" s="6"/>
      <c r="AK57" s="6"/>
      <c r="AL57" s="6"/>
      <c r="AM57" s="6"/>
      <c r="AN57" s="6"/>
      <c r="AO57" s="6"/>
      <c r="AP57" s="6"/>
      <c r="AQ57" s="6"/>
      <c r="AR57" s="6"/>
      <c r="AS57" s="6"/>
    </row>
    <row r="58" ht="10.5" customHeight="1">
      <c r="A58" s="6"/>
      <c r="B58" s="235"/>
      <c r="C58" s="231" t="s">
        <v>257</v>
      </c>
      <c r="D58" s="235"/>
      <c r="E58" s="231" t="s">
        <v>258</v>
      </c>
      <c r="G58" s="235"/>
      <c r="H58" s="231" t="s">
        <v>259</v>
      </c>
      <c r="K58" s="235"/>
      <c r="L58" s="231" t="s">
        <v>260</v>
      </c>
      <c r="M58" s="235"/>
      <c r="N58" s="231" t="s">
        <v>262</v>
      </c>
      <c r="P58" s="6"/>
      <c r="Q58" s="241" t="s">
        <v>67</v>
      </c>
      <c r="R58" s="242" t="s">
        <v>68</v>
      </c>
      <c r="S58" s="242" t="s">
        <v>69</v>
      </c>
      <c r="T58" s="243" t="s">
        <v>70</v>
      </c>
      <c r="U58" s="244"/>
      <c r="V58" s="244"/>
      <c r="W58" s="11"/>
      <c r="X58" s="4"/>
      <c r="AA58" s="11"/>
      <c r="AB58" s="11"/>
      <c r="AC58" s="11"/>
      <c r="AD58" s="11"/>
      <c r="AE58" s="11"/>
      <c r="AF58" s="11"/>
      <c r="AG58" s="6"/>
      <c r="AH58" s="6"/>
      <c r="AI58" s="6"/>
      <c r="AJ58" s="6"/>
      <c r="AK58" s="6"/>
      <c r="AL58" s="6"/>
      <c r="AM58" s="6"/>
      <c r="AN58" s="6"/>
      <c r="AO58" s="6"/>
      <c r="AP58" s="6"/>
      <c r="AQ58" s="6"/>
      <c r="AR58" s="6"/>
      <c r="AS58" s="6"/>
    </row>
    <row r="59" ht="3.0" customHeight="1">
      <c r="A59" s="6"/>
      <c r="B59" s="236"/>
      <c r="D59" s="236"/>
      <c r="G59" s="236"/>
      <c r="K59" s="236"/>
      <c r="M59" s="236"/>
      <c r="P59" s="6"/>
      <c r="Q59" s="245"/>
      <c r="R59" s="246"/>
      <c r="S59" s="246"/>
      <c r="T59" s="247"/>
      <c r="U59" s="244"/>
      <c r="V59" s="244"/>
      <c r="W59" s="11"/>
      <c r="X59" s="11"/>
      <c r="Y59" s="248">
        <f>SUM(O93:S98)</f>
        <v>0</v>
      </c>
      <c r="Z59" s="11"/>
      <c r="AA59" s="11"/>
      <c r="AB59" s="11"/>
      <c r="AC59" s="11"/>
      <c r="AD59" s="11"/>
      <c r="AE59" s="11"/>
      <c r="AF59" s="11"/>
      <c r="AG59" s="6"/>
      <c r="AH59" s="6"/>
      <c r="AI59" s="6"/>
      <c r="AJ59" s="6"/>
      <c r="AK59" s="6"/>
      <c r="AL59" s="6"/>
      <c r="AM59" s="6"/>
      <c r="AN59" s="6"/>
      <c r="AO59" s="6"/>
      <c r="AP59" s="6"/>
      <c r="AQ59" s="6"/>
      <c r="AR59" s="6"/>
      <c r="AS59" s="6"/>
    </row>
    <row r="60" ht="4.5" customHeight="1">
      <c r="A60" s="6"/>
      <c r="B60" s="232"/>
      <c r="C60" s="231"/>
      <c r="D60" s="232"/>
      <c r="E60" s="231"/>
      <c r="F60" s="231"/>
      <c r="G60" s="232"/>
      <c r="H60" s="231"/>
      <c r="I60" s="231"/>
      <c r="J60" s="231"/>
      <c r="K60" s="232"/>
      <c r="L60" s="231"/>
      <c r="M60" s="232"/>
      <c r="N60" s="231"/>
      <c r="O60" s="6"/>
      <c r="P60" s="6"/>
      <c r="Q60" s="249"/>
      <c r="R60" s="250"/>
      <c r="S60" s="250"/>
      <c r="T60" s="251"/>
      <c r="U60" s="244"/>
      <c r="V60" s="244"/>
      <c r="W60" s="11"/>
      <c r="X60" s="11"/>
      <c r="Y60" s="252"/>
      <c r="Z60" s="11"/>
      <c r="AA60" s="11"/>
      <c r="AB60" s="11"/>
      <c r="AC60" s="11"/>
      <c r="AD60" s="11"/>
      <c r="AE60" s="11"/>
      <c r="AF60" s="11"/>
      <c r="AG60" s="6"/>
      <c r="AH60" s="6"/>
      <c r="AI60" s="6"/>
      <c r="AJ60" s="6"/>
      <c r="AK60" s="6"/>
      <c r="AL60" s="6"/>
      <c r="AM60" s="6"/>
      <c r="AN60" s="6"/>
      <c r="AO60" s="6"/>
      <c r="AP60" s="6"/>
      <c r="AQ60" s="6"/>
      <c r="AR60" s="6"/>
      <c r="AS60" s="6"/>
    </row>
    <row r="61" ht="13.5" customHeight="1">
      <c r="A61" s="6"/>
      <c r="B61" s="230"/>
      <c r="C61" s="231" t="s">
        <v>270</v>
      </c>
      <c r="D61" s="230"/>
      <c r="E61" s="231" t="s">
        <v>271</v>
      </c>
      <c r="F61" s="231"/>
      <c r="G61" s="230"/>
      <c r="H61" s="231" t="s">
        <v>273</v>
      </c>
      <c r="I61" s="231"/>
      <c r="J61" s="231"/>
      <c r="K61" s="230"/>
      <c r="L61" s="231" t="s">
        <v>274</v>
      </c>
      <c r="M61" s="230"/>
      <c r="N61" s="231" t="s">
        <v>275</v>
      </c>
      <c r="O61" s="6"/>
      <c r="P61" s="6"/>
      <c r="Q61" s="228"/>
      <c r="R61" s="253"/>
      <c r="S61" s="253"/>
      <c r="T61" s="254"/>
      <c r="U61" s="244"/>
      <c r="V61" s="244"/>
      <c r="W61" s="11"/>
      <c r="X61" s="11"/>
      <c r="Y61" s="255"/>
      <c r="Z61" s="11"/>
      <c r="AA61" s="11"/>
      <c r="AB61" s="11"/>
      <c r="AC61" s="11"/>
      <c r="AD61" s="11"/>
      <c r="AE61" s="11"/>
      <c r="AF61" s="11"/>
      <c r="AG61" s="6"/>
      <c r="AH61" s="6"/>
      <c r="AI61" s="6"/>
      <c r="AJ61" s="6"/>
      <c r="AK61" s="6"/>
      <c r="AL61" s="6"/>
      <c r="AM61" s="6"/>
      <c r="AN61" s="6"/>
      <c r="AO61" s="6"/>
      <c r="AP61" s="6"/>
      <c r="AQ61" s="6"/>
      <c r="AR61" s="6"/>
      <c r="AS61" s="6"/>
    </row>
    <row r="62" ht="15.75" customHeight="1">
      <c r="A62" s="6"/>
      <c r="B62" s="6"/>
      <c r="C62" s="6"/>
      <c r="D62" s="6"/>
      <c r="E62" s="6"/>
      <c r="F62" s="6"/>
      <c r="G62" s="6"/>
      <c r="H62" s="6"/>
      <c r="I62" s="6"/>
      <c r="J62" s="6"/>
      <c r="K62" s="6"/>
      <c r="L62" s="6"/>
      <c r="M62" s="6"/>
      <c r="N62" s="6"/>
      <c r="O62" s="6"/>
      <c r="P62" s="6"/>
      <c r="Q62" s="14" t="str">
        <f t="shared" ref="Q62:T62" si="5">IF(ISNUMBER(Q59),1,"@")</f>
        <v>@</v>
      </c>
      <c r="R62" s="14" t="str">
        <f t="shared" si="5"/>
        <v>@</v>
      </c>
      <c r="S62" s="14" t="str">
        <f t="shared" si="5"/>
        <v>@</v>
      </c>
      <c r="T62" s="14" t="str">
        <f t="shared" si="5"/>
        <v>@</v>
      </c>
      <c r="U62" s="6"/>
      <c r="V62" s="6"/>
      <c r="W62" s="11"/>
      <c r="X62" s="11"/>
      <c r="Y62" s="11"/>
      <c r="Z62" s="11"/>
      <c r="AA62" s="11"/>
      <c r="AB62" s="11"/>
      <c r="AC62" s="11"/>
      <c r="AD62" s="11"/>
      <c r="AE62" s="11"/>
      <c r="AF62" s="11"/>
      <c r="AG62" s="6"/>
      <c r="AH62" s="6"/>
      <c r="AI62" s="6"/>
      <c r="AJ62" s="6"/>
      <c r="AK62" s="6"/>
      <c r="AL62" s="6"/>
      <c r="AM62" s="6"/>
      <c r="AN62" s="6"/>
      <c r="AO62" s="6"/>
      <c r="AP62" s="6"/>
      <c r="AQ62" s="6"/>
      <c r="AR62" s="6"/>
      <c r="AS62" s="6"/>
    </row>
    <row r="63" ht="15.75" customHeight="1">
      <c r="A63" s="6"/>
      <c r="B63" s="209" t="s">
        <v>279</v>
      </c>
      <c r="C63" s="6"/>
      <c r="D63" s="6"/>
      <c r="E63" s="6"/>
      <c r="F63" s="6"/>
      <c r="G63" s="6"/>
      <c r="H63" s="6"/>
      <c r="I63" s="6"/>
      <c r="J63" s="6"/>
      <c r="K63" s="6"/>
      <c r="L63" s="6"/>
      <c r="M63" s="6"/>
      <c r="N63" s="6"/>
      <c r="O63" s="6"/>
      <c r="P63" s="6"/>
      <c r="Q63" s="6"/>
      <c r="R63" s="6"/>
      <c r="S63" s="6"/>
      <c r="T63" s="6"/>
      <c r="U63" s="6"/>
      <c r="V63" s="6"/>
      <c r="W63" s="11"/>
      <c r="X63" s="11"/>
      <c r="Y63" s="11"/>
      <c r="Z63" s="11"/>
      <c r="AA63" s="11"/>
      <c r="AB63" s="11"/>
      <c r="AC63" s="11"/>
      <c r="AD63" s="11"/>
      <c r="AE63" s="11"/>
      <c r="AF63" s="11"/>
      <c r="AG63" s="6"/>
      <c r="AH63" s="6"/>
      <c r="AI63" s="6"/>
      <c r="AJ63" s="6"/>
      <c r="AK63" s="6"/>
      <c r="AL63" s="6"/>
      <c r="AM63" s="6"/>
      <c r="AN63" s="6"/>
      <c r="AO63" s="6"/>
      <c r="AP63" s="6"/>
      <c r="AQ63" s="6"/>
      <c r="AR63" s="6"/>
      <c r="AS63" s="6"/>
    </row>
    <row r="64" ht="15.0" customHeight="1">
      <c r="A64" s="6"/>
      <c r="B64" s="210" t="s">
        <v>165</v>
      </c>
      <c r="C64" s="215" t="s">
        <v>283</v>
      </c>
      <c r="D64" s="6"/>
      <c r="E64" s="6"/>
      <c r="F64" s="6"/>
      <c r="G64" s="6"/>
      <c r="H64" s="6"/>
      <c r="I64" s="6"/>
      <c r="J64" s="6"/>
      <c r="K64" s="6"/>
      <c r="L64" s="6"/>
      <c r="M64" s="6"/>
      <c r="N64" s="6"/>
      <c r="O64" s="6"/>
      <c r="P64" s="6"/>
      <c r="Q64" s="6"/>
      <c r="R64" s="6"/>
      <c r="S64" s="6"/>
      <c r="T64" s="6"/>
      <c r="U64" s="6"/>
      <c r="V64" s="6"/>
      <c r="W64" s="11"/>
      <c r="X64" s="11"/>
      <c r="Y64" s="11"/>
      <c r="Z64" s="11"/>
      <c r="AA64" s="11"/>
      <c r="AB64" s="11"/>
      <c r="AC64" s="11"/>
      <c r="AD64" s="11"/>
      <c r="AE64" s="11"/>
      <c r="AF64" s="11"/>
      <c r="AG64" s="6"/>
      <c r="AH64" s="6"/>
      <c r="AI64" s="6"/>
      <c r="AJ64" s="6"/>
      <c r="AK64" s="6"/>
      <c r="AL64" s="6"/>
      <c r="AM64" s="6"/>
      <c r="AN64" s="6"/>
      <c r="AO64" s="6"/>
      <c r="AP64" s="6"/>
      <c r="AQ64" s="6"/>
      <c r="AR64" s="6"/>
      <c r="AS64" s="6"/>
    </row>
    <row r="65" ht="15.0" customHeight="1">
      <c r="A65" s="6"/>
      <c r="B65" s="215" t="s">
        <v>168</v>
      </c>
      <c r="C65" s="215" t="s">
        <v>287</v>
      </c>
      <c r="D65" s="6"/>
      <c r="E65" s="6"/>
      <c r="F65" s="6"/>
      <c r="G65" s="6"/>
      <c r="H65" s="6"/>
      <c r="I65" s="6"/>
      <c r="J65" s="6"/>
      <c r="K65" s="6"/>
      <c r="L65" s="6"/>
      <c r="M65" s="6"/>
      <c r="N65" s="6"/>
      <c r="O65" s="6"/>
      <c r="P65" s="6"/>
      <c r="Q65" s="6"/>
      <c r="R65" s="6"/>
      <c r="S65" s="6"/>
      <c r="T65" s="6"/>
      <c r="U65" s="6"/>
      <c r="V65" s="6"/>
      <c r="W65" s="11"/>
      <c r="X65" s="11"/>
      <c r="Y65" s="11"/>
      <c r="Z65" s="11"/>
      <c r="AA65" s="11"/>
      <c r="AB65" s="11"/>
      <c r="AC65" s="11"/>
      <c r="AD65" s="11"/>
      <c r="AE65" s="11"/>
      <c r="AF65" s="11"/>
      <c r="AG65" s="6"/>
      <c r="AH65" s="6"/>
      <c r="AI65" s="6"/>
      <c r="AJ65" s="6"/>
      <c r="AK65" s="6"/>
      <c r="AL65" s="6"/>
      <c r="AM65" s="6"/>
      <c r="AN65" s="6"/>
      <c r="AO65" s="6"/>
      <c r="AP65" s="6"/>
      <c r="AQ65" s="6"/>
      <c r="AR65" s="6"/>
      <c r="AS65" s="6"/>
    </row>
    <row r="66" ht="15.0" customHeight="1">
      <c r="A66" s="6"/>
      <c r="B66" s="226" t="s">
        <v>171</v>
      </c>
      <c r="C66" s="215" t="s">
        <v>289</v>
      </c>
      <c r="D66" s="6"/>
      <c r="E66" s="6"/>
      <c r="F66" s="6"/>
      <c r="G66" s="6"/>
      <c r="H66" s="6"/>
      <c r="I66" s="6"/>
      <c r="J66" s="6"/>
      <c r="K66" s="6"/>
      <c r="L66" s="6"/>
      <c r="M66" s="6"/>
      <c r="N66" s="6"/>
      <c r="O66" s="6"/>
      <c r="P66" s="275"/>
      <c r="Q66" s="6"/>
      <c r="R66" s="6"/>
      <c r="S66" s="6"/>
      <c r="T66" s="6"/>
      <c r="U66" s="6"/>
      <c r="V66" s="6"/>
      <c r="W66" s="11"/>
      <c r="X66" s="11"/>
      <c r="Y66" s="11"/>
      <c r="Z66" s="11"/>
      <c r="AA66" s="11"/>
      <c r="AB66" s="11"/>
      <c r="AC66" s="11"/>
      <c r="AD66" s="11"/>
      <c r="AE66" s="11"/>
      <c r="AF66" s="11"/>
      <c r="AG66" s="6"/>
      <c r="AH66" s="6"/>
      <c r="AI66" s="6"/>
      <c r="AJ66" s="6"/>
      <c r="AK66" s="6"/>
      <c r="AL66" s="6"/>
      <c r="AM66" s="6"/>
      <c r="AN66" s="6"/>
      <c r="AO66" s="6"/>
      <c r="AP66" s="6"/>
      <c r="AQ66" s="6"/>
      <c r="AR66" s="6"/>
      <c r="AS66" s="6"/>
    </row>
    <row r="67" ht="2.25" customHeight="1">
      <c r="A67" s="6"/>
      <c r="B67" s="6"/>
      <c r="C67" s="6"/>
      <c r="D67" s="6"/>
      <c r="E67" s="6"/>
      <c r="F67" s="6"/>
      <c r="G67" s="6"/>
      <c r="H67" s="6"/>
      <c r="I67" s="6"/>
      <c r="J67" s="6"/>
      <c r="K67" s="6"/>
      <c r="L67" s="6"/>
      <c r="M67" s="6"/>
      <c r="N67" s="6"/>
      <c r="O67" s="6"/>
      <c r="P67" s="6"/>
      <c r="Q67" s="6"/>
      <c r="R67" s="6"/>
      <c r="S67" s="6"/>
      <c r="T67" s="6"/>
      <c r="U67" s="6"/>
      <c r="V67" s="6"/>
      <c r="W67" s="11"/>
      <c r="X67" s="11"/>
      <c r="Y67" s="11"/>
      <c r="Z67" s="11"/>
      <c r="AA67" s="11"/>
      <c r="AB67" s="11"/>
      <c r="AC67" s="11"/>
      <c r="AD67" s="11"/>
      <c r="AE67" s="11"/>
      <c r="AF67" s="11"/>
      <c r="AG67" s="6"/>
      <c r="AH67" s="6"/>
      <c r="AI67" s="6"/>
      <c r="AJ67" s="6"/>
      <c r="AK67" s="6"/>
      <c r="AL67" s="6"/>
      <c r="AM67" s="6"/>
      <c r="AN67" s="6"/>
      <c r="AO67" s="6"/>
      <c r="AP67" s="6"/>
      <c r="AQ67" s="6"/>
      <c r="AR67" s="6"/>
      <c r="AS67" s="6"/>
    </row>
    <row r="68" ht="12.75" customHeight="1">
      <c r="A68" s="6"/>
      <c r="B68" s="6"/>
      <c r="C68" s="6"/>
      <c r="D68" s="6"/>
      <c r="E68" s="6"/>
      <c r="F68" s="6"/>
      <c r="G68" s="6"/>
      <c r="H68" s="6"/>
      <c r="I68" s="6"/>
      <c r="J68" s="6"/>
      <c r="K68" s="6"/>
      <c r="L68" s="6"/>
      <c r="M68" s="6"/>
      <c r="N68" s="6"/>
      <c r="O68" s="6"/>
      <c r="P68" s="6"/>
      <c r="Q68" s="279" t="s">
        <v>164</v>
      </c>
      <c r="R68" s="281"/>
      <c r="S68" s="281"/>
      <c r="T68" s="282"/>
      <c r="U68" s="6"/>
      <c r="V68" s="6"/>
      <c r="W68" s="11"/>
      <c r="X68" s="11"/>
      <c r="Y68" s="11"/>
      <c r="Z68" s="11"/>
      <c r="AA68" s="11"/>
      <c r="AB68" s="11"/>
      <c r="AC68" s="11"/>
      <c r="AD68" s="11"/>
      <c r="AE68" s="11"/>
      <c r="AF68" s="11"/>
      <c r="AG68" s="6"/>
      <c r="AH68" s="6"/>
      <c r="AI68" s="6"/>
      <c r="AJ68" s="6"/>
      <c r="AK68" s="6"/>
      <c r="AL68" s="6"/>
      <c r="AM68" s="6"/>
      <c r="AN68" s="6"/>
      <c r="AO68" s="6"/>
      <c r="AP68" s="6"/>
      <c r="AQ68" s="6"/>
      <c r="AR68" s="6"/>
      <c r="AS68" s="6"/>
    </row>
    <row r="69" ht="10.5" customHeight="1">
      <c r="A69" s="6"/>
      <c r="B69" s="235"/>
      <c r="C69" s="256" t="s">
        <v>297</v>
      </c>
      <c r="D69" s="235"/>
      <c r="E69" s="256" t="s">
        <v>299</v>
      </c>
      <c r="G69" s="235"/>
      <c r="H69" s="256" t="s">
        <v>303</v>
      </c>
      <c r="K69" s="235"/>
      <c r="L69" s="284" t="s">
        <v>306</v>
      </c>
      <c r="M69" s="235"/>
      <c r="N69" s="256" t="s">
        <v>308</v>
      </c>
      <c r="P69" s="6"/>
      <c r="Q69" s="241" t="s">
        <v>67</v>
      </c>
      <c r="R69" s="242" t="s">
        <v>68</v>
      </c>
      <c r="S69" s="242" t="s">
        <v>69</v>
      </c>
      <c r="T69" s="243" t="s">
        <v>70</v>
      </c>
      <c r="U69" s="6"/>
      <c r="V69" s="6"/>
      <c r="W69" s="11"/>
      <c r="X69" s="11"/>
      <c r="Y69" s="11"/>
      <c r="Z69" s="11"/>
      <c r="AA69" s="11"/>
      <c r="AB69" s="11"/>
      <c r="AC69" s="11"/>
      <c r="AD69" s="11"/>
      <c r="AE69" s="11"/>
      <c r="AF69" s="11"/>
      <c r="AG69" s="6"/>
      <c r="AH69" s="6"/>
      <c r="AI69" s="6"/>
      <c r="AJ69" s="6"/>
      <c r="AK69" s="6"/>
      <c r="AL69" s="6"/>
      <c r="AM69" s="6"/>
      <c r="AN69" s="6"/>
      <c r="AO69" s="6"/>
      <c r="AP69" s="6"/>
      <c r="AQ69" s="6"/>
      <c r="AR69" s="6"/>
      <c r="AS69" s="6"/>
    </row>
    <row r="70" ht="3.0" customHeight="1">
      <c r="A70" s="6"/>
      <c r="B70" s="236"/>
      <c r="D70" s="236"/>
      <c r="G70" s="236"/>
      <c r="K70" s="236"/>
      <c r="M70" s="236"/>
      <c r="P70" s="6"/>
      <c r="Q70" s="245"/>
      <c r="R70" s="246"/>
      <c r="S70" s="246"/>
      <c r="T70" s="247"/>
      <c r="U70" s="6"/>
      <c r="V70" s="6"/>
      <c r="W70" s="11"/>
      <c r="X70" s="11"/>
      <c r="Y70" s="248">
        <f>SUM(C100:G101)</f>
        <v>0</v>
      </c>
      <c r="Z70" s="11"/>
      <c r="AA70" s="11"/>
      <c r="AB70" s="11"/>
      <c r="AC70" s="11"/>
      <c r="AD70" s="11"/>
      <c r="AE70" s="11"/>
      <c r="AF70" s="11"/>
      <c r="AG70" s="6"/>
      <c r="AH70" s="6"/>
      <c r="AI70" s="6"/>
      <c r="AJ70" s="6"/>
      <c r="AK70" s="6"/>
      <c r="AL70" s="6"/>
      <c r="AM70" s="6"/>
      <c r="AN70" s="6"/>
      <c r="AO70" s="6"/>
      <c r="AP70" s="6"/>
      <c r="AQ70" s="6"/>
      <c r="AR70" s="6"/>
      <c r="AS70" s="6"/>
    </row>
    <row r="71" ht="4.5" customHeight="1">
      <c r="A71" s="6"/>
      <c r="B71" s="232"/>
      <c r="C71" s="256"/>
      <c r="D71" s="232"/>
      <c r="E71" s="256"/>
      <c r="F71" s="256"/>
      <c r="G71" s="232"/>
      <c r="H71" s="256"/>
      <c r="I71" s="256"/>
      <c r="J71" s="256"/>
      <c r="K71" s="232"/>
      <c r="L71" s="256"/>
      <c r="M71" s="232"/>
      <c r="N71" s="256"/>
      <c r="O71" s="6"/>
      <c r="P71" s="6"/>
      <c r="Q71" s="249"/>
      <c r="R71" s="250"/>
      <c r="S71" s="250"/>
      <c r="T71" s="251"/>
      <c r="U71" s="6"/>
      <c r="V71" s="6"/>
      <c r="W71" s="11"/>
      <c r="X71" s="11"/>
      <c r="Y71" s="252"/>
      <c r="Z71" s="11"/>
      <c r="AA71" s="11"/>
      <c r="AB71" s="11"/>
      <c r="AC71" s="11"/>
      <c r="AD71" s="11"/>
      <c r="AE71" s="11"/>
      <c r="AF71" s="11"/>
      <c r="AG71" s="6"/>
      <c r="AH71" s="6"/>
      <c r="AI71" s="6"/>
      <c r="AJ71" s="6"/>
      <c r="AK71" s="6"/>
      <c r="AL71" s="6"/>
      <c r="AM71" s="6"/>
      <c r="AN71" s="6"/>
      <c r="AO71" s="6"/>
      <c r="AP71" s="6"/>
      <c r="AQ71" s="6"/>
      <c r="AR71" s="6"/>
      <c r="AS71" s="6"/>
    </row>
    <row r="72" ht="13.5" customHeight="1">
      <c r="A72" s="6"/>
      <c r="B72" s="230"/>
      <c r="C72" s="256" t="s">
        <v>318</v>
      </c>
      <c r="D72" s="230"/>
      <c r="E72" s="256" t="s">
        <v>319</v>
      </c>
      <c r="F72" s="256"/>
      <c r="G72" s="230"/>
      <c r="H72" s="289" t="s">
        <v>320</v>
      </c>
      <c r="I72" s="289"/>
      <c r="J72" s="289"/>
      <c r="K72" s="230"/>
      <c r="L72" s="256" t="s">
        <v>321</v>
      </c>
      <c r="M72" s="230"/>
      <c r="N72" s="284" t="s">
        <v>322</v>
      </c>
      <c r="O72" s="6"/>
      <c r="P72" s="6"/>
      <c r="Q72" s="228"/>
      <c r="R72" s="253"/>
      <c r="S72" s="253"/>
      <c r="T72" s="254"/>
      <c r="U72" s="14"/>
      <c r="V72" s="14"/>
      <c r="W72" s="11"/>
      <c r="X72" s="11"/>
      <c r="Y72" s="255"/>
      <c r="Z72" s="11"/>
      <c r="AA72" s="11"/>
      <c r="AB72" s="11"/>
      <c r="AC72" s="11"/>
      <c r="AD72" s="11"/>
      <c r="AE72" s="11"/>
      <c r="AF72" s="11"/>
      <c r="AG72" s="6"/>
      <c r="AH72" s="6"/>
      <c r="AI72" s="6"/>
      <c r="AJ72" s="6"/>
      <c r="AK72" s="6"/>
      <c r="AL72" s="6"/>
      <c r="AM72" s="6"/>
      <c r="AN72" s="6"/>
      <c r="AO72" s="6"/>
      <c r="AP72" s="6"/>
      <c r="AQ72" s="6"/>
      <c r="AR72" s="6"/>
      <c r="AS72" s="6"/>
    </row>
    <row r="73" ht="15.75" customHeight="1">
      <c r="A73" s="6"/>
      <c r="B73" s="6"/>
      <c r="C73" s="6"/>
      <c r="D73" s="6"/>
      <c r="E73" s="6"/>
      <c r="F73" s="6"/>
      <c r="G73" s="6"/>
      <c r="H73" s="6"/>
      <c r="I73" s="6"/>
      <c r="J73" s="6"/>
      <c r="K73" s="6"/>
      <c r="L73" s="6"/>
      <c r="M73" s="6"/>
      <c r="N73" s="6"/>
      <c r="O73" s="6"/>
      <c r="P73" s="6"/>
      <c r="Q73" s="14" t="str">
        <f t="shared" ref="Q73:T73" si="6">IF(ISNUMBER(Q70),1,"@")</f>
        <v>@</v>
      </c>
      <c r="R73" s="14" t="str">
        <f t="shared" si="6"/>
        <v>@</v>
      </c>
      <c r="S73" s="14" t="str">
        <f t="shared" si="6"/>
        <v>@</v>
      </c>
      <c r="T73" s="14" t="str">
        <f t="shared" si="6"/>
        <v>@</v>
      </c>
      <c r="U73" s="6"/>
      <c r="V73" s="6"/>
      <c r="W73" s="11"/>
      <c r="X73" s="11"/>
      <c r="Y73" s="11"/>
      <c r="Z73" s="11"/>
      <c r="AA73" s="11"/>
      <c r="AB73" s="11"/>
      <c r="AC73" s="11"/>
      <c r="AD73" s="11"/>
      <c r="AE73" s="11"/>
      <c r="AF73" s="11"/>
      <c r="AG73" s="6"/>
      <c r="AH73" s="6"/>
      <c r="AI73" s="6"/>
      <c r="AJ73" s="6"/>
      <c r="AK73" s="6"/>
      <c r="AL73" s="6"/>
      <c r="AM73" s="6"/>
      <c r="AN73" s="6"/>
      <c r="AO73" s="6"/>
      <c r="AP73" s="6"/>
      <c r="AQ73" s="6"/>
      <c r="AR73" s="6"/>
      <c r="AS73" s="6"/>
    </row>
    <row r="74" ht="15.75" customHeight="1">
      <c r="A74" s="6"/>
      <c r="B74" s="209" t="s">
        <v>329</v>
      </c>
      <c r="C74" s="6"/>
      <c r="D74" s="6"/>
      <c r="E74" s="6"/>
      <c r="F74" s="6"/>
      <c r="G74" s="6"/>
      <c r="H74" s="6"/>
      <c r="I74" s="6"/>
      <c r="J74" s="6"/>
      <c r="K74" s="6"/>
      <c r="L74" s="6"/>
      <c r="M74" s="6"/>
      <c r="N74" s="6"/>
      <c r="O74" s="6"/>
      <c r="P74" s="6"/>
      <c r="Q74" s="6"/>
      <c r="R74" s="6"/>
      <c r="S74" s="6"/>
      <c r="T74" s="6"/>
      <c r="U74" s="6"/>
      <c r="V74" s="6"/>
      <c r="W74" s="11"/>
      <c r="X74" s="11"/>
      <c r="Y74" s="11"/>
      <c r="Z74" s="11"/>
      <c r="AA74" s="11"/>
      <c r="AB74" s="11"/>
      <c r="AC74" s="11"/>
      <c r="AD74" s="11"/>
      <c r="AE74" s="11"/>
      <c r="AF74" s="11"/>
      <c r="AG74" s="6"/>
      <c r="AH74" s="6"/>
      <c r="AI74" s="6"/>
      <c r="AJ74" s="6"/>
      <c r="AK74" s="6"/>
      <c r="AL74" s="6"/>
      <c r="AM74" s="6"/>
      <c r="AN74" s="6"/>
      <c r="AO74" s="6"/>
      <c r="AP74" s="6"/>
      <c r="AQ74" s="6"/>
      <c r="AR74" s="6"/>
      <c r="AS74" s="6"/>
    </row>
    <row r="75" ht="15.0" customHeight="1">
      <c r="A75" s="6"/>
      <c r="B75" s="210" t="s">
        <v>165</v>
      </c>
      <c r="C75" s="215" t="s">
        <v>331</v>
      </c>
      <c r="D75" s="6"/>
      <c r="E75" s="6"/>
      <c r="F75" s="6"/>
      <c r="G75" s="6"/>
      <c r="H75" s="6"/>
      <c r="I75" s="6"/>
      <c r="J75" s="6"/>
      <c r="K75" s="6"/>
      <c r="L75" s="6"/>
      <c r="M75" s="6"/>
      <c r="N75" s="6"/>
      <c r="O75" s="6"/>
      <c r="P75" s="6"/>
      <c r="Q75" s="6"/>
      <c r="R75" s="6"/>
      <c r="S75" s="6"/>
      <c r="T75" s="6"/>
      <c r="U75" s="6"/>
      <c r="V75" s="6"/>
      <c r="W75" s="11"/>
      <c r="X75" s="11"/>
      <c r="Y75" s="11"/>
      <c r="Z75" s="11"/>
      <c r="AA75" s="11"/>
      <c r="AB75" s="11"/>
      <c r="AC75" s="11"/>
      <c r="AD75" s="11"/>
      <c r="AE75" s="11"/>
      <c r="AF75" s="11"/>
      <c r="AG75" s="6"/>
      <c r="AH75" s="6"/>
      <c r="AI75" s="6"/>
      <c r="AJ75" s="6"/>
      <c r="AK75" s="6"/>
      <c r="AL75" s="6"/>
      <c r="AM75" s="6"/>
      <c r="AN75" s="6"/>
      <c r="AO75" s="6"/>
      <c r="AP75" s="6"/>
      <c r="AQ75" s="6"/>
      <c r="AR75" s="6"/>
      <c r="AS75" s="6"/>
    </row>
    <row r="76" ht="15.0" customHeight="1">
      <c r="A76" s="6"/>
      <c r="B76" s="226" t="s">
        <v>171</v>
      </c>
      <c r="C76" s="215" t="s">
        <v>335</v>
      </c>
      <c r="D76" s="6"/>
      <c r="E76" s="6"/>
      <c r="F76" s="6"/>
      <c r="G76" s="6"/>
      <c r="H76" s="6"/>
      <c r="I76" s="6"/>
      <c r="J76" s="6"/>
      <c r="K76" s="6"/>
      <c r="L76" s="6"/>
      <c r="M76" s="6"/>
      <c r="N76" s="6"/>
      <c r="O76" s="6"/>
      <c r="P76" s="6"/>
      <c r="Q76" s="6"/>
      <c r="R76" s="6"/>
      <c r="S76" s="6"/>
      <c r="T76" s="6"/>
      <c r="U76" s="6"/>
      <c r="V76" s="6"/>
      <c r="W76" s="11"/>
      <c r="X76" s="11"/>
      <c r="Y76" s="11"/>
      <c r="Z76" s="11"/>
      <c r="AA76" s="11"/>
      <c r="AB76" s="11"/>
      <c r="AC76" s="11"/>
      <c r="AD76" s="11"/>
      <c r="AE76" s="11"/>
      <c r="AF76" s="11"/>
      <c r="AG76" s="6"/>
      <c r="AH76" s="6"/>
      <c r="AI76" s="6"/>
      <c r="AJ76" s="6"/>
      <c r="AK76" s="6"/>
      <c r="AL76" s="6"/>
      <c r="AM76" s="6"/>
      <c r="AN76" s="6"/>
      <c r="AO76" s="6"/>
      <c r="AP76" s="6"/>
      <c r="AQ76" s="6"/>
      <c r="AR76" s="6"/>
      <c r="AS76" s="6"/>
    </row>
    <row r="77" ht="19.5" customHeight="1">
      <c r="A77" s="6"/>
      <c r="B77" s="6"/>
      <c r="C77" s="290" t="s">
        <v>339</v>
      </c>
      <c r="D77" s="6"/>
      <c r="E77" s="6"/>
      <c r="F77" s="6"/>
      <c r="G77" s="6"/>
      <c r="H77" s="6"/>
      <c r="I77" s="6"/>
      <c r="J77" s="6"/>
      <c r="K77" s="6"/>
      <c r="L77" s="6"/>
      <c r="M77" s="6"/>
      <c r="N77" s="6"/>
      <c r="O77" s="6"/>
      <c r="P77" s="6"/>
      <c r="Q77" s="6"/>
      <c r="R77" s="6"/>
      <c r="S77" s="6"/>
      <c r="T77" s="6"/>
      <c r="U77" s="6"/>
      <c r="V77" s="6"/>
      <c r="W77" s="11"/>
      <c r="X77" s="11"/>
      <c r="Y77" s="11"/>
      <c r="Z77" s="11"/>
      <c r="AA77" s="11"/>
      <c r="AB77" s="11"/>
      <c r="AC77" s="11"/>
      <c r="AD77" s="11"/>
      <c r="AE77" s="11"/>
      <c r="AF77" s="11"/>
      <c r="AG77" s="6"/>
      <c r="AH77" s="6"/>
      <c r="AI77" s="6"/>
      <c r="AJ77" s="6"/>
      <c r="AK77" s="6"/>
      <c r="AL77" s="6"/>
      <c r="AM77" s="6"/>
      <c r="AN77" s="6"/>
      <c r="AO77" s="6"/>
      <c r="AP77" s="6"/>
      <c r="AQ77" s="6"/>
      <c r="AR77" s="6"/>
      <c r="AS77" s="6"/>
    </row>
    <row r="78" ht="13.5" customHeight="1">
      <c r="A78" s="6"/>
      <c r="B78" s="230"/>
      <c r="C78" s="291" t="s">
        <v>341</v>
      </c>
      <c r="D78" s="6"/>
      <c r="E78" s="6"/>
      <c r="F78" s="6"/>
      <c r="G78" s="6"/>
      <c r="H78" s="6"/>
      <c r="I78" s="230"/>
      <c r="J78" s="291" t="s">
        <v>342</v>
      </c>
      <c r="K78" s="291"/>
      <c r="L78" s="6"/>
      <c r="M78" s="6"/>
      <c r="N78" s="6"/>
      <c r="O78" s="6"/>
      <c r="P78" s="6"/>
      <c r="Q78" s="6"/>
      <c r="R78" s="6"/>
      <c r="S78" s="6"/>
      <c r="T78" s="6"/>
      <c r="U78" s="6"/>
      <c r="V78" s="6"/>
      <c r="W78" s="11"/>
      <c r="X78" s="11"/>
      <c r="Y78" s="11"/>
      <c r="Z78" s="11"/>
      <c r="AA78" s="11"/>
      <c r="AB78" s="11"/>
      <c r="AC78" s="11"/>
      <c r="AD78" s="11"/>
      <c r="AE78" s="11"/>
      <c r="AF78" s="11"/>
      <c r="AG78" s="6"/>
      <c r="AH78" s="6"/>
      <c r="AI78" s="6"/>
      <c r="AJ78" s="6"/>
      <c r="AK78" s="6"/>
      <c r="AL78" s="6"/>
      <c r="AM78" s="6"/>
      <c r="AN78" s="6"/>
      <c r="AO78" s="6"/>
      <c r="AP78" s="6"/>
      <c r="AQ78" s="6"/>
      <c r="AR78" s="6"/>
      <c r="AS78" s="6"/>
    </row>
    <row r="79" ht="19.5" customHeight="1">
      <c r="A79" s="6"/>
      <c r="B79" s="256"/>
      <c r="C79" s="290" t="s">
        <v>345</v>
      </c>
      <c r="D79" s="6"/>
      <c r="E79" s="6"/>
      <c r="F79" s="6"/>
      <c r="G79" s="6"/>
      <c r="H79" s="6"/>
      <c r="I79" s="6"/>
      <c r="J79" s="6"/>
      <c r="K79" s="6"/>
      <c r="L79" s="6"/>
      <c r="M79" s="6"/>
      <c r="N79" s="6"/>
      <c r="O79" s="6"/>
      <c r="P79" s="6"/>
      <c r="Q79" s="6"/>
      <c r="R79" s="6"/>
      <c r="S79" s="6"/>
      <c r="T79" s="6"/>
      <c r="U79" s="6"/>
      <c r="V79" s="6"/>
      <c r="W79" s="11"/>
      <c r="X79" s="11"/>
      <c r="Y79" s="11"/>
      <c r="Z79" s="11"/>
      <c r="AA79" s="11"/>
      <c r="AB79" s="11"/>
      <c r="AC79" s="11"/>
      <c r="AD79" s="11"/>
      <c r="AE79" s="11"/>
      <c r="AF79" s="11"/>
      <c r="AG79" s="6"/>
      <c r="AH79" s="6"/>
      <c r="AI79" s="6"/>
      <c r="AJ79" s="6"/>
      <c r="AK79" s="6"/>
      <c r="AL79" s="6"/>
      <c r="AM79" s="6"/>
      <c r="AN79" s="6"/>
      <c r="AO79" s="6"/>
      <c r="AP79" s="6"/>
      <c r="AQ79" s="6"/>
      <c r="AR79" s="6"/>
      <c r="AS79" s="6"/>
    </row>
    <row r="80" ht="2.25" customHeight="1">
      <c r="A80" s="6"/>
      <c r="B80" s="235"/>
      <c r="C80" s="291" t="s">
        <v>349</v>
      </c>
      <c r="E80" s="235"/>
      <c r="F80" s="291" t="s">
        <v>351</v>
      </c>
      <c r="M80" s="6"/>
      <c r="N80" s="6"/>
      <c r="O80" s="6"/>
      <c r="P80" s="6"/>
      <c r="Q80" s="292"/>
      <c r="R80" s="292"/>
      <c r="S80" s="292"/>
      <c r="T80" s="292"/>
      <c r="U80" s="6"/>
      <c r="V80" s="6"/>
      <c r="W80" s="11"/>
      <c r="X80" s="11"/>
      <c r="Y80" s="11"/>
      <c r="Z80" s="11"/>
      <c r="AA80" s="11"/>
      <c r="AB80" s="11"/>
      <c r="AC80" s="11"/>
      <c r="AD80" s="11"/>
      <c r="AE80" s="11"/>
      <c r="AF80" s="11"/>
      <c r="AG80" s="6"/>
      <c r="AH80" s="6"/>
      <c r="AI80" s="6"/>
      <c r="AJ80" s="6"/>
      <c r="AK80" s="6"/>
      <c r="AL80" s="6"/>
      <c r="AM80" s="6"/>
      <c r="AN80" s="6"/>
      <c r="AO80" s="6"/>
      <c r="AP80" s="6"/>
      <c r="AQ80" s="6"/>
      <c r="AR80" s="6"/>
      <c r="AS80" s="6"/>
    </row>
    <row r="81" ht="11.25" customHeight="1">
      <c r="A81" s="6"/>
      <c r="B81" s="236"/>
      <c r="E81" s="236"/>
      <c r="M81" s="6"/>
      <c r="N81" s="6"/>
      <c r="O81" s="6"/>
      <c r="P81" s="6"/>
      <c r="Q81" s="211" t="s">
        <v>164</v>
      </c>
      <c r="R81" s="212"/>
      <c r="S81" s="212"/>
      <c r="T81" s="213"/>
      <c r="U81" s="6"/>
      <c r="V81" s="6"/>
      <c r="W81" s="11"/>
      <c r="X81" s="11"/>
      <c r="Y81" s="11"/>
      <c r="Z81" s="11"/>
      <c r="AA81" s="11"/>
      <c r="AB81" s="11"/>
      <c r="AC81" s="11"/>
      <c r="AD81" s="11"/>
      <c r="AE81" s="11"/>
      <c r="AF81" s="11"/>
      <c r="AG81" s="6"/>
      <c r="AH81" s="6"/>
      <c r="AI81" s="6"/>
      <c r="AJ81" s="6"/>
      <c r="AK81" s="6"/>
      <c r="AL81" s="6"/>
      <c r="AM81" s="6"/>
      <c r="AN81" s="6"/>
      <c r="AO81" s="6"/>
      <c r="AP81" s="6"/>
      <c r="AQ81" s="6"/>
      <c r="AR81" s="6"/>
      <c r="AS81" s="6"/>
    </row>
    <row r="82" ht="1.5" customHeight="1">
      <c r="A82" s="6"/>
      <c r="B82" s="6"/>
      <c r="C82" s="290" t="s">
        <v>356</v>
      </c>
      <c r="D82" s="6"/>
      <c r="E82" s="6"/>
      <c r="F82" s="291"/>
      <c r="G82" s="6"/>
      <c r="H82" s="6"/>
      <c r="I82" s="6"/>
      <c r="J82" s="6"/>
      <c r="K82" s="6"/>
      <c r="L82" s="6"/>
      <c r="M82" s="6"/>
      <c r="N82" s="6"/>
      <c r="O82" s="6"/>
      <c r="P82" s="6"/>
      <c r="Q82" s="217"/>
      <c r="R82" s="205"/>
      <c r="S82" s="205"/>
      <c r="T82" s="218"/>
      <c r="U82" s="6"/>
      <c r="V82" s="6"/>
      <c r="W82" s="11"/>
      <c r="X82" s="11"/>
      <c r="Y82" s="11"/>
      <c r="Z82" s="11"/>
      <c r="AA82" s="11"/>
      <c r="AB82" s="11"/>
      <c r="AC82" s="11"/>
      <c r="AD82" s="11"/>
      <c r="AE82" s="11"/>
      <c r="AF82" s="11"/>
      <c r="AG82" s="6"/>
      <c r="AH82" s="6"/>
      <c r="AI82" s="6"/>
      <c r="AJ82" s="6"/>
      <c r="AK82" s="6"/>
      <c r="AL82" s="6"/>
      <c r="AM82" s="6"/>
      <c r="AN82" s="6"/>
      <c r="AO82" s="6"/>
      <c r="AP82" s="6"/>
      <c r="AQ82" s="6"/>
      <c r="AR82" s="6"/>
      <c r="AS82" s="6"/>
    </row>
    <row r="83" ht="10.5" customHeight="1">
      <c r="A83" s="6"/>
      <c r="B83" s="6"/>
      <c r="D83" s="6"/>
      <c r="E83" s="6"/>
      <c r="F83" s="6"/>
      <c r="G83" s="6"/>
      <c r="H83" s="6"/>
      <c r="I83" s="6"/>
      <c r="J83" s="6"/>
      <c r="K83" s="6"/>
      <c r="L83" s="6"/>
      <c r="M83" s="6"/>
      <c r="N83" s="6"/>
      <c r="O83" s="6"/>
      <c r="P83" s="6"/>
      <c r="Q83" s="293" t="s">
        <v>67</v>
      </c>
      <c r="R83" s="294" t="s">
        <v>68</v>
      </c>
      <c r="S83" s="294" t="s">
        <v>69</v>
      </c>
      <c r="T83" s="295" t="s">
        <v>70</v>
      </c>
      <c r="U83" s="6"/>
      <c r="V83" s="6"/>
      <c r="W83" s="11"/>
      <c r="X83" s="11"/>
      <c r="Y83" s="11"/>
      <c r="Z83" s="11"/>
      <c r="AA83" s="11"/>
      <c r="AB83" s="11"/>
      <c r="AC83" s="11"/>
      <c r="AD83" s="11"/>
      <c r="AE83" s="11"/>
      <c r="AF83" s="11"/>
      <c r="AG83" s="6"/>
      <c r="AH83" s="6"/>
      <c r="AI83" s="6"/>
      <c r="AJ83" s="6"/>
      <c r="AK83" s="6"/>
      <c r="AL83" s="6"/>
      <c r="AM83" s="6"/>
      <c r="AN83" s="6"/>
      <c r="AO83" s="6"/>
      <c r="AP83" s="6"/>
      <c r="AQ83" s="6"/>
      <c r="AR83" s="6"/>
      <c r="AS83" s="6"/>
    </row>
    <row r="84" ht="7.5" customHeight="1">
      <c r="A84" s="6"/>
      <c r="B84" s="6"/>
      <c r="D84" s="6"/>
      <c r="E84" s="6"/>
      <c r="F84" s="6"/>
      <c r="G84" s="6"/>
      <c r="H84" s="6"/>
      <c r="I84" s="6"/>
      <c r="J84" s="6"/>
      <c r="K84" s="6"/>
      <c r="L84" s="6"/>
      <c r="M84" s="6"/>
      <c r="N84" s="6"/>
      <c r="O84" s="6"/>
      <c r="P84" s="6"/>
      <c r="Q84" s="296"/>
      <c r="R84" s="297"/>
      <c r="S84" s="297"/>
      <c r="T84" s="298"/>
      <c r="U84" s="6"/>
      <c r="V84" s="6"/>
      <c r="W84" s="11"/>
      <c r="X84" s="11"/>
      <c r="Y84" s="248">
        <f>SUM(I100:M100)</f>
        <v>0</v>
      </c>
      <c r="Z84" s="11"/>
      <c r="AA84" s="11"/>
      <c r="AB84" s="11"/>
      <c r="AC84" s="11"/>
      <c r="AD84" s="11"/>
      <c r="AE84" s="11"/>
      <c r="AF84" s="11"/>
      <c r="AG84" s="6"/>
      <c r="AH84" s="6"/>
      <c r="AI84" s="6"/>
      <c r="AJ84" s="6"/>
      <c r="AK84" s="6"/>
      <c r="AL84" s="6"/>
      <c r="AM84" s="6"/>
      <c r="AN84" s="6"/>
      <c r="AO84" s="6"/>
      <c r="AP84" s="6"/>
      <c r="AQ84" s="6"/>
      <c r="AR84" s="6"/>
      <c r="AS84" s="6"/>
    </row>
    <row r="85" ht="13.5" customHeight="1">
      <c r="A85" s="6"/>
      <c r="B85" s="230"/>
      <c r="C85" s="291" t="s">
        <v>363</v>
      </c>
      <c r="D85" s="6"/>
      <c r="E85" s="6"/>
      <c r="F85" s="6"/>
      <c r="G85" s="6"/>
      <c r="H85" s="6"/>
      <c r="I85" s="6"/>
      <c r="J85" s="6"/>
      <c r="K85" s="6"/>
      <c r="L85" s="6"/>
      <c r="M85" s="6"/>
      <c r="N85" s="6"/>
      <c r="O85" s="6"/>
      <c r="P85" s="6"/>
      <c r="Q85" s="228"/>
      <c r="R85" s="253"/>
      <c r="S85" s="253"/>
      <c r="T85" s="299"/>
      <c r="U85" s="14"/>
      <c r="V85" s="14"/>
      <c r="W85" s="11"/>
      <c r="X85" s="11"/>
      <c r="Y85" s="255"/>
      <c r="Z85" s="11"/>
      <c r="AA85" s="11"/>
      <c r="AB85" s="11"/>
      <c r="AC85" s="11"/>
      <c r="AD85" s="11"/>
      <c r="AE85" s="11"/>
      <c r="AF85" s="11"/>
      <c r="AG85" s="6"/>
      <c r="AH85" s="6"/>
      <c r="AI85" s="6"/>
      <c r="AJ85" s="6"/>
      <c r="AK85" s="6"/>
      <c r="AL85" s="6"/>
      <c r="AM85" s="6"/>
      <c r="AN85" s="6"/>
      <c r="AO85" s="6"/>
      <c r="AP85" s="6"/>
      <c r="AQ85" s="6"/>
      <c r="AR85" s="6"/>
      <c r="AS85" s="6"/>
    </row>
    <row r="86" ht="15.75" customHeight="1">
      <c r="A86" s="6"/>
      <c r="B86" s="6"/>
      <c r="C86" s="6"/>
      <c r="D86" s="6"/>
      <c r="E86" s="6"/>
      <c r="F86" s="6"/>
      <c r="G86" s="6"/>
      <c r="H86" s="6"/>
      <c r="I86" s="6"/>
      <c r="J86" s="6"/>
      <c r="K86" s="6"/>
      <c r="L86" s="6"/>
      <c r="M86" s="6"/>
      <c r="N86" s="6"/>
      <c r="O86" s="6"/>
      <c r="P86" s="6"/>
      <c r="Q86" s="14" t="str">
        <f t="shared" ref="Q86:T86" si="7">IF(ISNUMBER(Q84),1,"@")</f>
        <v>@</v>
      </c>
      <c r="R86" s="14" t="str">
        <f t="shared" si="7"/>
        <v>@</v>
      </c>
      <c r="S86" s="14" t="str">
        <f t="shared" si="7"/>
        <v>@</v>
      </c>
      <c r="T86" s="14" t="str">
        <f t="shared" si="7"/>
        <v>@</v>
      </c>
      <c r="U86" s="6"/>
      <c r="V86" s="6"/>
      <c r="W86" s="11"/>
      <c r="X86" s="11"/>
      <c r="Y86" s="11"/>
      <c r="Z86" s="11"/>
      <c r="AA86" s="11"/>
      <c r="AB86" s="11"/>
      <c r="AC86" s="11"/>
      <c r="AD86" s="11"/>
      <c r="AE86" s="11"/>
      <c r="AF86" s="11"/>
      <c r="AG86" s="6"/>
      <c r="AH86" s="6"/>
      <c r="AI86" s="6"/>
      <c r="AJ86" s="6"/>
      <c r="AK86" s="6"/>
      <c r="AL86" s="6"/>
      <c r="AM86" s="6"/>
      <c r="AN86" s="6"/>
      <c r="AO86" s="6"/>
      <c r="AP86" s="6"/>
      <c r="AQ86" s="6"/>
      <c r="AR86" s="6"/>
      <c r="AS86" s="6"/>
    </row>
    <row r="87" ht="15.75" customHeight="1">
      <c r="A87" s="6"/>
      <c r="B87" s="14"/>
      <c r="C87" s="14"/>
      <c r="D87" s="14"/>
      <c r="E87" s="14"/>
      <c r="F87" s="14"/>
      <c r="G87" s="14"/>
      <c r="H87" s="14"/>
      <c r="I87" s="14"/>
      <c r="J87" s="14"/>
      <c r="K87" s="14"/>
      <c r="L87" s="14"/>
      <c r="M87" s="14"/>
      <c r="N87" s="14"/>
      <c r="O87" s="14"/>
      <c r="P87" s="14"/>
      <c r="Q87" s="27">
        <f t="shared" ref="Q87:T87" si="8">SUM(Q70,Q84)</f>
        <v>0</v>
      </c>
      <c r="R87" s="27">
        <f t="shared" si="8"/>
        <v>0</v>
      </c>
      <c r="S87" s="27">
        <f t="shared" si="8"/>
        <v>0</v>
      </c>
      <c r="T87" s="27">
        <f t="shared" si="8"/>
        <v>0</v>
      </c>
      <c r="U87" s="14"/>
      <c r="V87" s="14"/>
      <c r="W87" s="11"/>
      <c r="X87" s="11"/>
      <c r="Y87" s="11"/>
      <c r="Z87" s="11"/>
      <c r="AA87" s="11"/>
      <c r="AB87" s="11"/>
      <c r="AC87" s="11"/>
      <c r="AD87" s="11"/>
      <c r="AE87" s="11"/>
      <c r="AF87" s="11"/>
      <c r="AG87" s="6"/>
      <c r="AH87" s="6"/>
      <c r="AI87" s="6"/>
      <c r="AJ87" s="6"/>
      <c r="AK87" s="6"/>
      <c r="AL87" s="6"/>
      <c r="AM87" s="6"/>
      <c r="AN87" s="6"/>
      <c r="AO87" s="6"/>
      <c r="AP87" s="6"/>
      <c r="AQ87" s="6"/>
      <c r="AR87" s="6"/>
      <c r="AS87" s="6"/>
    </row>
    <row r="88" ht="15.75" customHeight="1">
      <c r="A88" s="6"/>
      <c r="B88" s="14"/>
      <c r="C88" s="14"/>
      <c r="D88" s="14"/>
      <c r="E88" s="14"/>
      <c r="F88" s="14"/>
      <c r="G88" s="14"/>
      <c r="H88" s="14"/>
      <c r="I88" s="14"/>
      <c r="J88" s="14"/>
      <c r="K88" s="14"/>
      <c r="L88" s="14"/>
      <c r="M88" s="14"/>
      <c r="N88" s="14"/>
      <c r="O88" s="14"/>
      <c r="P88" s="14"/>
      <c r="Q88" s="27"/>
      <c r="R88" s="14"/>
      <c r="S88" s="14"/>
      <c r="T88" s="14"/>
      <c r="U88" s="14"/>
      <c r="V88" s="14"/>
      <c r="W88" s="11"/>
      <c r="X88" s="11"/>
      <c r="Y88" s="11"/>
      <c r="Z88" s="11"/>
      <c r="AA88" s="11"/>
      <c r="AB88" s="11"/>
      <c r="AC88" s="11"/>
      <c r="AD88" s="11"/>
      <c r="AE88" s="11"/>
      <c r="AF88" s="11"/>
      <c r="AG88" s="6"/>
      <c r="AH88" s="6"/>
      <c r="AI88" s="6"/>
      <c r="AJ88" s="6"/>
      <c r="AK88" s="6"/>
      <c r="AL88" s="6"/>
      <c r="AM88" s="6"/>
      <c r="AN88" s="6"/>
      <c r="AO88" s="6"/>
      <c r="AP88" s="6"/>
      <c r="AQ88" s="6"/>
      <c r="AR88" s="6"/>
      <c r="AS88" s="6"/>
    </row>
    <row r="89" ht="5.25" customHeight="1">
      <c r="A89" s="6"/>
      <c r="B89" s="6"/>
      <c r="C89" s="6"/>
      <c r="D89" s="6"/>
      <c r="E89" s="6"/>
      <c r="F89" s="6"/>
      <c r="G89" s="6"/>
      <c r="H89" s="6"/>
      <c r="I89" s="6"/>
      <c r="J89" s="6"/>
      <c r="K89" s="6"/>
      <c r="L89" s="6"/>
      <c r="M89" s="6"/>
      <c r="N89" s="6"/>
      <c r="O89" s="6"/>
      <c r="P89" s="6"/>
      <c r="Q89" s="6"/>
      <c r="R89" s="6"/>
      <c r="S89" s="6"/>
      <c r="T89" s="6"/>
      <c r="U89" s="6"/>
      <c r="V89" s="6"/>
      <c r="W89" s="11"/>
      <c r="X89" s="11"/>
      <c r="Y89" s="11"/>
      <c r="Z89" s="11"/>
      <c r="AA89" s="11"/>
      <c r="AB89" s="11"/>
      <c r="AC89" s="11"/>
      <c r="AD89" s="11"/>
      <c r="AE89" s="11"/>
      <c r="AF89" s="11"/>
      <c r="AG89" s="6"/>
      <c r="AH89" s="6"/>
      <c r="AI89" s="6"/>
      <c r="AJ89" s="6"/>
      <c r="AK89" s="6"/>
      <c r="AL89" s="6"/>
      <c r="AM89" s="6"/>
      <c r="AN89" s="6"/>
      <c r="AO89" s="6"/>
      <c r="AP89" s="6"/>
      <c r="AQ89" s="6"/>
      <c r="AR89" s="6"/>
      <c r="AS89" s="6"/>
    </row>
    <row r="90" ht="15.75" customHeight="1">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row>
    <row r="91" ht="15.75" hidden="1" customHeight="1">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row>
    <row r="92" ht="15.75" customHeight="1">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row>
    <row r="93" ht="15.75" customHeight="1">
      <c r="A93" s="11"/>
      <c r="B93" s="11"/>
      <c r="C93" s="11">
        <f>IF(B18="X",1,IF(B18="/",0.5,0))</f>
        <v>0</v>
      </c>
      <c r="D93" s="11">
        <f>IF(D18="X",1,IF(D18="/",0.5,0))</f>
        <v>0</v>
      </c>
      <c r="E93" s="11">
        <f>IF(G18="X",1,IF(G18="/",0.5,0))</f>
        <v>0</v>
      </c>
      <c r="F93" s="11">
        <f>IF(K18="X",1,IF(K18="/",0.5,0))</f>
        <v>0</v>
      </c>
      <c r="G93" s="11">
        <f>IF(M18="X",1,IF(M18="/",0.5,0))</f>
        <v>0</v>
      </c>
      <c r="H93" s="11"/>
      <c r="I93" s="11">
        <f>IF($B$33="X",1,IF($B$33="/",0.5,0))</f>
        <v>0</v>
      </c>
      <c r="J93" s="11">
        <f>IF($D$33="X",1,IF($D$33="/",0.5,0))</f>
        <v>0</v>
      </c>
      <c r="K93" s="11">
        <f>IF($G$33="X",1,IF($G$33="/",0.5,0))</f>
        <v>0</v>
      </c>
      <c r="L93" s="11">
        <f>IF($K$33="X",1,IF($K$33="/",0.5,0))</f>
        <v>0</v>
      </c>
      <c r="M93" s="11">
        <f>IF($M$33="X",1,IF($M$33="/",0.5,0))</f>
        <v>0</v>
      </c>
      <c r="N93" s="11"/>
      <c r="O93" s="11">
        <f>IF($B$49="X",1,IF($B$49="/",0.5,0))</f>
        <v>0</v>
      </c>
      <c r="P93" s="11">
        <f>IF($D$49="X",1,IF($D$49="/",0.5,0))</f>
        <v>0</v>
      </c>
      <c r="Q93" s="11">
        <f>IF($G$49="X",1,IF($G$49="/",0.5,0))</f>
        <v>0</v>
      </c>
      <c r="R93" s="11">
        <f>IF($K$49="X",1,IF($K$49="/",0.5,0))</f>
        <v>0</v>
      </c>
      <c r="S93" s="11">
        <f>IF($M$49="X",1,IF($M$49="/",0.5,0))</f>
        <v>0</v>
      </c>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row>
    <row r="94" ht="15.75" customHeight="1">
      <c r="A94" s="11"/>
      <c r="B94" s="11"/>
      <c r="C94" s="11">
        <f>IF(B20="X",1,IF(B20="/",0.5,0))</f>
        <v>0</v>
      </c>
      <c r="D94" s="11">
        <f>IF(D20="X",1,IF(D20="/",0.5,0))</f>
        <v>0</v>
      </c>
      <c r="E94" s="11">
        <f>IF(G20="X",1,IF(G20="/",0.5,0))</f>
        <v>0</v>
      </c>
      <c r="F94" s="11">
        <f>IF(K20="X",1,IF(K20="/",0.5,0))</f>
        <v>0</v>
      </c>
      <c r="G94" s="11">
        <f>IF(M20="X",1,IF(M20="/",0.5,0))</f>
        <v>0</v>
      </c>
      <c r="H94" s="307"/>
      <c r="I94" s="11">
        <f>IF($B$35="X",1,IF($B$35="/",0.5,0))</f>
        <v>0</v>
      </c>
      <c r="J94" s="11">
        <f>IF($D$35="X",1,IF($D$35="/",0.5,0))</f>
        <v>0</v>
      </c>
      <c r="K94" s="11">
        <f>IF($G$35="X",1,IF($G$35="/",0.5,0))</f>
        <v>0</v>
      </c>
      <c r="L94" s="11">
        <f>IF($K$35="X",1,IF($K$35="/",0.5,0))</f>
        <v>0</v>
      </c>
      <c r="M94" s="11">
        <f>IF($M$35="X",1,IF($M$35="/",0.5,0))</f>
        <v>0</v>
      </c>
      <c r="N94" s="11"/>
      <c r="O94" s="11">
        <f>IF($B$51="X",1,IF($B$51="/",0.5,0))</f>
        <v>0</v>
      </c>
      <c r="P94" s="11">
        <f>IF($D$51="X",1,IF($D$51="/",0.5,0))</f>
        <v>0</v>
      </c>
      <c r="Q94" s="11">
        <f>IF($G$51="X",1,IF($G$51="/",0.5,0))</f>
        <v>0</v>
      </c>
      <c r="R94" s="11">
        <f>IF($K$51="X",1,IF($K$51="/",0.5,0))</f>
        <v>0</v>
      </c>
      <c r="S94" s="11">
        <f>IF($M$51="X",1,IF($M$51="/",0.5,0))</f>
        <v>0</v>
      </c>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row>
    <row r="95" ht="15.75" customHeight="1">
      <c r="A95" s="11"/>
      <c r="B95" s="11"/>
      <c r="C95" s="11">
        <f>IF(B22="X",1,IF(B22="/",0.5,0))</f>
        <v>0</v>
      </c>
      <c r="D95" s="11">
        <f>IF(D22="X",1,IF(D22="/",0.5,0))</f>
        <v>0</v>
      </c>
      <c r="E95" s="11">
        <f>IF(G22="X",1,IF(G22="/",0.5,0))</f>
        <v>0</v>
      </c>
      <c r="F95" s="11">
        <f>IF(K22="X",1,IF(K22="/",0.5,0))</f>
        <v>0</v>
      </c>
      <c r="G95" s="11">
        <f>IF(M22="X",1,IF(M22="/",0.5,0))</f>
        <v>0</v>
      </c>
      <c r="H95" s="11"/>
      <c r="I95" s="11">
        <f>IF($B$37="X",1,IF($B$37="/",0.5,0))</f>
        <v>0</v>
      </c>
      <c r="J95" s="11">
        <f>IF($D$37="X",1,IF($D$37="/",0.5,0))</f>
        <v>0</v>
      </c>
      <c r="K95" s="11">
        <f>IF($G$37="X",1,IF($G$37="/",0.5,0))</f>
        <v>0</v>
      </c>
      <c r="L95" s="11">
        <f>IF($K$37="X",1,IF($K$37="/",0.5,0))</f>
        <v>0</v>
      </c>
      <c r="M95" s="11">
        <f>IF($M$37="X",1,IF($M$37="/",0.5,0))</f>
        <v>0</v>
      </c>
      <c r="N95" s="11"/>
      <c r="O95" s="11">
        <f>IF($B$53="X",1,IF($B$53="/",0.5,0))</f>
        <v>0</v>
      </c>
      <c r="P95" s="11">
        <f>IF($D$53="X",1,IF($D$53="/",0.5,0))</f>
        <v>0</v>
      </c>
      <c r="Q95" s="11">
        <f>IF($G$53="X",1,IF($G$53="/",0.5,0))</f>
        <v>0</v>
      </c>
      <c r="R95" s="11">
        <f>IF($K$53="X",1,IF($K$53="/",0.5,0))</f>
        <v>0</v>
      </c>
      <c r="S95" s="11">
        <f>IF($M$53="X",1,IF($M$53="/",0.5,0))</f>
        <v>0</v>
      </c>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row>
    <row r="96" ht="15.75" customHeight="1">
      <c r="A96" s="11"/>
      <c r="B96" s="11"/>
      <c r="C96" s="11">
        <f>IF(B25="X",1,IF(B25="/",0.5,0))</f>
        <v>0</v>
      </c>
      <c r="D96" s="11">
        <f>IF(D25="X",1,IF(D25="/",0.5,0))</f>
        <v>0</v>
      </c>
      <c r="E96" s="11">
        <f>IF(G25="X",1,IF(G25="/",0.5,0))</f>
        <v>0</v>
      </c>
      <c r="F96" s="11">
        <f>IF(K25="X",1,IF(K25="/",0.5,0))</f>
        <v>0</v>
      </c>
      <c r="G96" s="11">
        <f>IF(M25="X",1,IF(M25="/",0.5,0))</f>
        <v>0</v>
      </c>
      <c r="H96" s="11"/>
      <c r="I96" s="11">
        <f>IF($B$39="X",1,IF($B$39="/",0.5,0))</f>
        <v>0</v>
      </c>
      <c r="J96" s="11">
        <f>IF($D$39="X",1,IF($D$39="/",0.5,0))</f>
        <v>0</v>
      </c>
      <c r="K96" s="11">
        <f>IF($G$39="X",1,IF($G$39="/",0.5,0))</f>
        <v>0</v>
      </c>
      <c r="L96" s="11">
        <f>IF($K$39="X",1,IF($K$39="/",0.5,0))</f>
        <v>0</v>
      </c>
      <c r="M96" s="11">
        <f>IF($M$39="X",1,IF($M$39="/",0.5,0))</f>
        <v>0</v>
      </c>
      <c r="N96" s="11"/>
      <c r="O96" s="11">
        <f>IF($B$55="X",1,IF($B$55="/",0.5,0))</f>
        <v>0</v>
      </c>
      <c r="P96" s="11">
        <f>IF($D$55="X",1,IF($D$55="/",0.5,0))</f>
        <v>0</v>
      </c>
      <c r="Q96" s="11">
        <f>IF($G$55="X",1,IF($G$55="/",0.5,0))</f>
        <v>0</v>
      </c>
      <c r="R96" s="11">
        <f>IF($K$55="X",1,IF($K$55="/",0.5,0))</f>
        <v>0</v>
      </c>
      <c r="S96" s="11">
        <f>IF($M$55="X",1,IF($M$55="/",0.5,0))</f>
        <v>0</v>
      </c>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row>
    <row r="97" ht="15.75" customHeight="1">
      <c r="A97" s="11"/>
      <c r="B97" s="11"/>
      <c r="C97" s="11">
        <f>IF(B28="X",1,IF(B28="/",0.5,0))</f>
        <v>0</v>
      </c>
      <c r="D97" s="11">
        <f>IF(D28="X",1,IF(D28="/",0.5,0))</f>
        <v>0</v>
      </c>
      <c r="E97" s="11">
        <f>IF(G28="X",1,IF(G28="/",0.5,0))</f>
        <v>0</v>
      </c>
      <c r="F97" s="11">
        <f>IF(K28="X",1,IF(K28="/",0.5,0))</f>
        <v>0</v>
      </c>
      <c r="G97" s="11">
        <f>IF(M28="X",1,IF(M28="/",0.5,0))</f>
        <v>0</v>
      </c>
      <c r="H97" s="11"/>
      <c r="I97" s="11">
        <f>IF($B$42="X",1,IF($B$42="/",0.5,0))</f>
        <v>0</v>
      </c>
      <c r="J97" s="11">
        <f>IF($D$42="X",1,IF($D$42="/",0.5,0))</f>
        <v>0</v>
      </c>
      <c r="K97" s="11">
        <f>IF($G$42="X",1,IF($G$42="/",0.5,0))</f>
        <v>0</v>
      </c>
      <c r="L97" s="11">
        <f>IF($K$42="X",1,IF($K$42="/",0.5,0))</f>
        <v>0</v>
      </c>
      <c r="M97" s="11">
        <f>IF($M$42="X",1,IF($M$42="/",0.5,0))</f>
        <v>0</v>
      </c>
      <c r="N97" s="11"/>
      <c r="O97" s="11">
        <f>IF($B$58="X",1,IF($B$58="/",0.5,0))</f>
        <v>0</v>
      </c>
      <c r="P97" s="11">
        <f>IF($D$58="X",1,IF($D$58="/",0.5,0))</f>
        <v>0</v>
      </c>
      <c r="Q97" s="11">
        <f>IF($G$58="X",1,IF($G$58="/",0.5,0))</f>
        <v>0</v>
      </c>
      <c r="R97" s="11">
        <f>IF($K$58="X",1,IF($K$58="/",0.5,0))</f>
        <v>0</v>
      </c>
      <c r="S97" s="11">
        <f>IF($M$58="X",1,IF($M$58="/",0.5,0))</f>
        <v>0</v>
      </c>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row>
    <row r="98" ht="15.75" customHeight="1">
      <c r="A98" s="11"/>
      <c r="B98" s="11"/>
      <c r="C98" s="11"/>
      <c r="D98" s="11"/>
      <c r="E98" s="11"/>
      <c r="F98" s="11"/>
      <c r="G98" s="11"/>
      <c r="H98" s="11"/>
      <c r="I98" s="11">
        <f>IF($B$45="X",1,IF($B$45="/",0.5,0))</f>
        <v>0</v>
      </c>
      <c r="J98" s="11">
        <f>IF($D$45="X",1,IF($D$45="/",0.5,0))</f>
        <v>0</v>
      </c>
      <c r="K98" s="11">
        <f>IF($G$45="X",1,IF($G$45="/",0.5,0))</f>
        <v>0</v>
      </c>
      <c r="L98" s="11">
        <f>IF($K$45="X",1,IF($K$45="/",0.5,0))</f>
        <v>0</v>
      </c>
      <c r="M98" s="11">
        <f>IF($M$45="X",1,IF($M$45="/",0.5,0))</f>
        <v>0</v>
      </c>
      <c r="N98" s="11"/>
      <c r="O98" s="11">
        <f>IF($B$61="X",1,IF($B$61="/",0.5,0))</f>
        <v>0</v>
      </c>
      <c r="P98" s="11">
        <f>IF($D$61="X",1,IF($D$61="/",0.5,0))</f>
        <v>0</v>
      </c>
      <c r="Q98" s="11">
        <f>IF($G$61="X",1,IF($G$61="/",0.5,0))</f>
        <v>0</v>
      </c>
      <c r="R98" s="11">
        <f>IF($K$61="X",1,IF($K$61="/",0.5,0))</f>
        <v>0</v>
      </c>
      <c r="S98" s="11">
        <f>IF($M$61="X",1,IF($M$61="/",0.5,0))</f>
        <v>0</v>
      </c>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row>
    <row r="99" ht="15.75" customHeight="1">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row>
    <row r="100" ht="15.75" customHeight="1">
      <c r="A100" s="11"/>
      <c r="B100" s="11"/>
      <c r="C100" s="11">
        <f>IF(B69="X",1,IF(B69="/",0.5,0))</f>
        <v>0</v>
      </c>
      <c r="D100" s="11">
        <f>IF(D69="X",1,IF(D69="/",0.5,0))</f>
        <v>0</v>
      </c>
      <c r="E100" s="11">
        <f>IF(G69="X",1,IF(G69="/",0.5,0))</f>
        <v>0</v>
      </c>
      <c r="F100" s="11">
        <f>IF(K69="X",1,IF(K69="/",0.5,0))</f>
        <v>0</v>
      </c>
      <c r="G100" s="11">
        <f>IF(M69="X",1,IF(M69="/",0.5,0))</f>
        <v>0</v>
      </c>
      <c r="H100" s="11"/>
      <c r="I100" s="11">
        <f>IF(B78="X",1,0)</f>
        <v>0</v>
      </c>
      <c r="J100" s="11">
        <f>IF(I78="X",1,0)</f>
        <v>0</v>
      </c>
      <c r="K100" s="11">
        <f>IF(B80="X",1,0)</f>
        <v>0</v>
      </c>
      <c r="L100" s="11">
        <f>IF(E80="X",1,0)</f>
        <v>0</v>
      </c>
      <c r="M100" s="11">
        <f>IF(B85="X",1,0)</f>
        <v>0</v>
      </c>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row>
    <row r="101" ht="15.75" customHeight="1">
      <c r="A101" s="11"/>
      <c r="B101" s="11"/>
      <c r="C101" s="11">
        <f>IF($B$72="X",1,IF($B$72="/",0.5,0))</f>
        <v>0</v>
      </c>
      <c r="D101" s="11">
        <f>IF($D$72="X",1,IF($D$72="/",0.5,0))</f>
        <v>0</v>
      </c>
      <c r="E101" s="11">
        <f>IF($G$72="X",1,IF($G$72="/",0.5,0))</f>
        <v>0</v>
      </c>
      <c r="F101" s="11">
        <f>IF($K$72="X",1,IF($K$72="/",0.5,0))</f>
        <v>0</v>
      </c>
      <c r="G101" s="11">
        <f>IF($M$72="X",1,IF($M$72="/",0.5,0))</f>
        <v>0</v>
      </c>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row>
    <row r="102" ht="15.75" customHeight="1">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row>
    <row r="103" ht="15.75" customHeight="1">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row>
    <row r="104" ht="15.75" customHeight="1">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row>
    <row r="105" ht="15.75" customHeight="1">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row>
    <row r="106" ht="15.75" customHeight="1">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row>
    <row r="107" ht="15.75" customHeight="1">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row>
    <row r="108" ht="15.75" customHeight="1">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row>
    <row r="109" ht="15.75" customHeight="1">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row>
    <row r="110" ht="15.75" customHeight="1">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row>
    <row r="111" ht="15.75" customHeight="1">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row>
    <row r="112" ht="15.75" customHeight="1">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row>
    <row r="113" ht="15.75" customHeight="1">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row>
    <row r="114" ht="15.75" customHeight="1">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row>
    <row r="115" ht="15.75" customHeight="1">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row>
    <row r="116" ht="15.75" customHeight="1">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row>
    <row r="117" ht="15.75" customHeight="1">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row>
    <row r="118" ht="15.75" customHeight="1">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row>
    <row r="119" ht="15.75" customHeight="1">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row>
    <row r="120" ht="15.75" customHeight="1">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row>
    <row r="121" ht="15.75" customHeight="1">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11"/>
      <c r="X122" s="11"/>
      <c r="Y122" s="11"/>
      <c r="Z122" s="11"/>
      <c r="AA122" s="11"/>
      <c r="AB122" s="11"/>
      <c r="AC122" s="11"/>
      <c r="AD122" s="11"/>
      <c r="AE122" s="11"/>
      <c r="AF122" s="11"/>
      <c r="AG122" s="6"/>
      <c r="AH122" s="6"/>
      <c r="AI122" s="6"/>
      <c r="AJ122" s="6"/>
      <c r="AK122" s="6"/>
      <c r="AL122" s="6"/>
      <c r="AM122" s="6"/>
      <c r="AN122" s="6"/>
      <c r="AO122" s="6"/>
      <c r="AP122" s="6"/>
      <c r="AQ122" s="6"/>
      <c r="AR122" s="6"/>
      <c r="AS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11"/>
      <c r="X123" s="11"/>
      <c r="Y123" s="11"/>
      <c r="Z123" s="11"/>
      <c r="AA123" s="11"/>
      <c r="AB123" s="11"/>
      <c r="AC123" s="11"/>
      <c r="AD123" s="11"/>
      <c r="AE123" s="11"/>
      <c r="AF123" s="11"/>
      <c r="AG123" s="6"/>
      <c r="AH123" s="6"/>
      <c r="AI123" s="6"/>
      <c r="AJ123" s="6"/>
      <c r="AK123" s="6"/>
      <c r="AL123" s="6"/>
      <c r="AM123" s="6"/>
      <c r="AN123" s="6"/>
      <c r="AO123" s="6"/>
      <c r="AP123" s="6"/>
      <c r="AQ123" s="6"/>
      <c r="AR123" s="6"/>
      <c r="AS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11"/>
      <c r="X124" s="11"/>
      <c r="Y124" s="11"/>
      <c r="Z124" s="11"/>
      <c r="AA124" s="11"/>
      <c r="AB124" s="11"/>
      <c r="AC124" s="11"/>
      <c r="AD124" s="11"/>
      <c r="AE124" s="11"/>
      <c r="AF124" s="11"/>
      <c r="AG124" s="6"/>
      <c r="AH124" s="6"/>
      <c r="AI124" s="6"/>
      <c r="AJ124" s="6"/>
      <c r="AK124" s="6"/>
      <c r="AL124" s="6"/>
      <c r="AM124" s="6"/>
      <c r="AN124" s="6"/>
      <c r="AO124" s="6"/>
      <c r="AP124" s="6"/>
      <c r="AQ124" s="6"/>
      <c r="AR124" s="6"/>
      <c r="AS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11"/>
      <c r="X125" s="11"/>
      <c r="Y125" s="11"/>
      <c r="Z125" s="11"/>
      <c r="AA125" s="11"/>
      <c r="AB125" s="11"/>
      <c r="AC125" s="11"/>
      <c r="AD125" s="11"/>
      <c r="AE125" s="11"/>
      <c r="AF125" s="11"/>
      <c r="AG125" s="6"/>
      <c r="AH125" s="6"/>
      <c r="AI125" s="6"/>
      <c r="AJ125" s="6"/>
      <c r="AK125" s="6"/>
      <c r="AL125" s="6"/>
      <c r="AM125" s="6"/>
      <c r="AN125" s="6"/>
      <c r="AO125" s="6"/>
      <c r="AP125" s="6"/>
      <c r="AQ125" s="6"/>
      <c r="AR125" s="6"/>
      <c r="AS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11"/>
      <c r="X126" s="11"/>
      <c r="Y126" s="11"/>
      <c r="Z126" s="11"/>
      <c r="AA126" s="11"/>
      <c r="AB126" s="11"/>
      <c r="AC126" s="11"/>
      <c r="AD126" s="11"/>
      <c r="AE126" s="11"/>
      <c r="AF126" s="11"/>
      <c r="AG126" s="6"/>
      <c r="AH126" s="6"/>
      <c r="AI126" s="6"/>
      <c r="AJ126" s="6"/>
      <c r="AK126" s="6"/>
      <c r="AL126" s="6"/>
      <c r="AM126" s="6"/>
      <c r="AN126" s="6"/>
      <c r="AO126" s="6"/>
      <c r="AP126" s="6"/>
      <c r="AQ126" s="6"/>
      <c r="AR126" s="6"/>
      <c r="AS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11"/>
      <c r="X127" s="11"/>
      <c r="Y127" s="11"/>
      <c r="Z127" s="11"/>
      <c r="AA127" s="11"/>
      <c r="AB127" s="11"/>
      <c r="AC127" s="11"/>
      <c r="AD127" s="11"/>
      <c r="AE127" s="11"/>
      <c r="AF127" s="11"/>
      <c r="AG127" s="6"/>
      <c r="AH127" s="6"/>
      <c r="AI127" s="6"/>
      <c r="AJ127" s="6"/>
      <c r="AK127" s="6"/>
      <c r="AL127" s="6"/>
      <c r="AM127" s="6"/>
      <c r="AN127" s="6"/>
      <c r="AO127" s="6"/>
      <c r="AP127" s="6"/>
      <c r="AQ127" s="6"/>
      <c r="AR127" s="6"/>
      <c r="AS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11"/>
      <c r="X128" s="11"/>
      <c r="Y128" s="11"/>
      <c r="Z128" s="11"/>
      <c r="AA128" s="11"/>
      <c r="AB128" s="11"/>
      <c r="AC128" s="11"/>
      <c r="AD128" s="11"/>
      <c r="AE128" s="11"/>
      <c r="AF128" s="11"/>
      <c r="AG128" s="6"/>
      <c r="AH128" s="6"/>
      <c r="AI128" s="6"/>
      <c r="AJ128" s="6"/>
      <c r="AK128" s="6"/>
      <c r="AL128" s="6"/>
      <c r="AM128" s="6"/>
      <c r="AN128" s="6"/>
      <c r="AO128" s="6"/>
      <c r="AP128" s="6"/>
      <c r="AQ128" s="6"/>
      <c r="AR128" s="6"/>
      <c r="AS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11"/>
      <c r="X129" s="11"/>
      <c r="Y129" s="11"/>
      <c r="Z129" s="11"/>
      <c r="AA129" s="11"/>
      <c r="AB129" s="11"/>
      <c r="AC129" s="11"/>
      <c r="AD129" s="11"/>
      <c r="AE129" s="11"/>
      <c r="AF129" s="11"/>
      <c r="AG129" s="6"/>
      <c r="AH129" s="6"/>
      <c r="AI129" s="6"/>
      <c r="AJ129" s="6"/>
      <c r="AK129" s="6"/>
      <c r="AL129" s="6"/>
      <c r="AM129" s="6"/>
      <c r="AN129" s="6"/>
      <c r="AO129" s="6"/>
      <c r="AP129" s="6"/>
      <c r="AQ129" s="6"/>
      <c r="AR129" s="6"/>
      <c r="AS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11"/>
      <c r="X130" s="11"/>
      <c r="Y130" s="11"/>
      <c r="Z130" s="11"/>
      <c r="AA130" s="11"/>
      <c r="AB130" s="11"/>
      <c r="AC130" s="11"/>
      <c r="AD130" s="11"/>
      <c r="AE130" s="11"/>
      <c r="AF130" s="11"/>
      <c r="AG130" s="6"/>
      <c r="AH130" s="6"/>
      <c r="AI130" s="6"/>
      <c r="AJ130" s="6"/>
      <c r="AK130" s="6"/>
      <c r="AL130" s="6"/>
      <c r="AM130" s="6"/>
      <c r="AN130" s="6"/>
      <c r="AO130" s="6"/>
      <c r="AP130" s="6"/>
      <c r="AQ130" s="6"/>
      <c r="AR130" s="6"/>
      <c r="AS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11"/>
      <c r="X131" s="11"/>
      <c r="Y131" s="11"/>
      <c r="Z131" s="11"/>
      <c r="AA131" s="11"/>
      <c r="AB131" s="11"/>
      <c r="AC131" s="11"/>
      <c r="AD131" s="11"/>
      <c r="AE131" s="11"/>
      <c r="AF131" s="11"/>
      <c r="AG131" s="6"/>
      <c r="AH131" s="6"/>
      <c r="AI131" s="6"/>
      <c r="AJ131" s="6"/>
      <c r="AK131" s="6"/>
      <c r="AL131" s="6"/>
      <c r="AM131" s="6"/>
      <c r="AN131" s="6"/>
      <c r="AO131" s="6"/>
      <c r="AP131" s="6"/>
      <c r="AQ131" s="6"/>
      <c r="AR131" s="6"/>
      <c r="AS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11"/>
      <c r="X132" s="11"/>
      <c r="Y132" s="11"/>
      <c r="Z132" s="11"/>
      <c r="AA132" s="11"/>
      <c r="AB132" s="11"/>
      <c r="AC132" s="11"/>
      <c r="AD132" s="11"/>
      <c r="AE132" s="11"/>
      <c r="AF132" s="11"/>
      <c r="AG132" s="6"/>
      <c r="AH132" s="6"/>
      <c r="AI132" s="6"/>
      <c r="AJ132" s="6"/>
      <c r="AK132" s="6"/>
      <c r="AL132" s="6"/>
      <c r="AM132" s="6"/>
      <c r="AN132" s="6"/>
      <c r="AO132" s="6"/>
      <c r="AP132" s="6"/>
      <c r="AQ132" s="6"/>
      <c r="AR132" s="6"/>
      <c r="AS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11"/>
      <c r="X133" s="11"/>
      <c r="Y133" s="11"/>
      <c r="Z133" s="11"/>
      <c r="AA133" s="11"/>
      <c r="AB133" s="11"/>
      <c r="AC133" s="11"/>
      <c r="AD133" s="11"/>
      <c r="AE133" s="11"/>
      <c r="AF133" s="11"/>
      <c r="AG133" s="6"/>
      <c r="AH133" s="6"/>
      <c r="AI133" s="6"/>
      <c r="AJ133" s="6"/>
      <c r="AK133" s="6"/>
      <c r="AL133" s="6"/>
      <c r="AM133" s="6"/>
      <c r="AN133" s="6"/>
      <c r="AO133" s="6"/>
      <c r="AP133" s="6"/>
      <c r="AQ133" s="6"/>
      <c r="AR133" s="6"/>
      <c r="AS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11"/>
      <c r="X134" s="11"/>
      <c r="Y134" s="11"/>
      <c r="Z134" s="11"/>
      <c r="AA134" s="11"/>
      <c r="AB134" s="11"/>
      <c r="AC134" s="11"/>
      <c r="AD134" s="11"/>
      <c r="AE134" s="11"/>
      <c r="AF134" s="11"/>
      <c r="AG134" s="6"/>
      <c r="AH134" s="6"/>
      <c r="AI134" s="6"/>
      <c r="AJ134" s="6"/>
      <c r="AK134" s="6"/>
      <c r="AL134" s="6"/>
      <c r="AM134" s="6"/>
      <c r="AN134" s="6"/>
      <c r="AO134" s="6"/>
      <c r="AP134" s="6"/>
      <c r="AQ134" s="6"/>
      <c r="AR134" s="6"/>
      <c r="AS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11"/>
      <c r="X135" s="11"/>
      <c r="Y135" s="11"/>
      <c r="Z135" s="11"/>
      <c r="AA135" s="11"/>
      <c r="AB135" s="11"/>
      <c r="AC135" s="11"/>
      <c r="AD135" s="11"/>
      <c r="AE135" s="11"/>
      <c r="AF135" s="11"/>
      <c r="AG135" s="6"/>
      <c r="AH135" s="6"/>
      <c r="AI135" s="6"/>
      <c r="AJ135" s="6"/>
      <c r="AK135" s="6"/>
      <c r="AL135" s="6"/>
      <c r="AM135" s="6"/>
      <c r="AN135" s="6"/>
      <c r="AO135" s="6"/>
      <c r="AP135" s="6"/>
      <c r="AQ135" s="6"/>
      <c r="AR135" s="6"/>
      <c r="AS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11"/>
      <c r="X136" s="11"/>
      <c r="Y136" s="11"/>
      <c r="Z136" s="11"/>
      <c r="AA136" s="11"/>
      <c r="AB136" s="11"/>
      <c r="AC136" s="11"/>
      <c r="AD136" s="11"/>
      <c r="AE136" s="11"/>
      <c r="AF136" s="11"/>
      <c r="AG136" s="6"/>
      <c r="AH136" s="6"/>
      <c r="AI136" s="6"/>
      <c r="AJ136" s="6"/>
      <c r="AK136" s="6"/>
      <c r="AL136" s="6"/>
      <c r="AM136" s="6"/>
      <c r="AN136" s="6"/>
      <c r="AO136" s="6"/>
      <c r="AP136" s="6"/>
      <c r="AQ136" s="6"/>
      <c r="AR136" s="6"/>
      <c r="AS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11"/>
      <c r="X137" s="11"/>
      <c r="Y137" s="11"/>
      <c r="Z137" s="11"/>
      <c r="AA137" s="11"/>
      <c r="AB137" s="11"/>
      <c r="AC137" s="11"/>
      <c r="AD137" s="11"/>
      <c r="AE137" s="11"/>
      <c r="AF137" s="11"/>
      <c r="AG137" s="6"/>
      <c r="AH137" s="6"/>
      <c r="AI137" s="6"/>
      <c r="AJ137" s="6"/>
      <c r="AK137" s="6"/>
      <c r="AL137" s="6"/>
      <c r="AM137" s="6"/>
      <c r="AN137" s="6"/>
      <c r="AO137" s="6"/>
      <c r="AP137" s="6"/>
      <c r="AQ137" s="6"/>
      <c r="AR137" s="6"/>
      <c r="AS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11"/>
      <c r="X138" s="11"/>
      <c r="Y138" s="11"/>
      <c r="Z138" s="11"/>
      <c r="AA138" s="11"/>
      <c r="AB138" s="11"/>
      <c r="AC138" s="11"/>
      <c r="AD138" s="11"/>
      <c r="AE138" s="11"/>
      <c r="AF138" s="11"/>
      <c r="AG138" s="6"/>
      <c r="AH138" s="6"/>
      <c r="AI138" s="6"/>
      <c r="AJ138" s="6"/>
      <c r="AK138" s="6"/>
      <c r="AL138" s="6"/>
      <c r="AM138" s="6"/>
      <c r="AN138" s="6"/>
      <c r="AO138" s="6"/>
      <c r="AP138" s="6"/>
      <c r="AQ138" s="6"/>
      <c r="AR138" s="6"/>
      <c r="AS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11"/>
      <c r="X139" s="11"/>
      <c r="Y139" s="11"/>
      <c r="Z139" s="11"/>
      <c r="AA139" s="11"/>
      <c r="AB139" s="11"/>
      <c r="AC139" s="11"/>
      <c r="AD139" s="11"/>
      <c r="AE139" s="11"/>
      <c r="AF139" s="11"/>
      <c r="AG139" s="6"/>
      <c r="AH139" s="6"/>
      <c r="AI139" s="6"/>
      <c r="AJ139" s="6"/>
      <c r="AK139" s="6"/>
      <c r="AL139" s="6"/>
      <c r="AM139" s="6"/>
      <c r="AN139" s="6"/>
      <c r="AO139" s="6"/>
      <c r="AP139" s="6"/>
      <c r="AQ139" s="6"/>
      <c r="AR139" s="6"/>
      <c r="AS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11"/>
      <c r="X140" s="11"/>
      <c r="Y140" s="11"/>
      <c r="Z140" s="11"/>
      <c r="AA140" s="11"/>
      <c r="AB140" s="11"/>
      <c r="AC140" s="11"/>
      <c r="AD140" s="11"/>
      <c r="AE140" s="11"/>
      <c r="AF140" s="11"/>
      <c r="AG140" s="6"/>
      <c r="AH140" s="6"/>
      <c r="AI140" s="6"/>
      <c r="AJ140" s="6"/>
      <c r="AK140" s="6"/>
      <c r="AL140" s="6"/>
      <c r="AM140" s="6"/>
      <c r="AN140" s="6"/>
      <c r="AO140" s="6"/>
      <c r="AP140" s="6"/>
      <c r="AQ140" s="6"/>
      <c r="AR140" s="6"/>
      <c r="AS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11"/>
      <c r="X141" s="11"/>
      <c r="Y141" s="11"/>
      <c r="Z141" s="11"/>
      <c r="AA141" s="11"/>
      <c r="AB141" s="11"/>
      <c r="AC141" s="11"/>
      <c r="AD141" s="11"/>
      <c r="AE141" s="11"/>
      <c r="AF141" s="11"/>
      <c r="AG141" s="6"/>
      <c r="AH141" s="6"/>
      <c r="AI141" s="6"/>
      <c r="AJ141" s="6"/>
      <c r="AK141" s="6"/>
      <c r="AL141" s="6"/>
      <c r="AM141" s="6"/>
      <c r="AN141" s="6"/>
      <c r="AO141" s="6"/>
      <c r="AP141" s="6"/>
      <c r="AQ141" s="6"/>
      <c r="AR141" s="6"/>
      <c r="AS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11"/>
      <c r="X142" s="11"/>
      <c r="Y142" s="11"/>
      <c r="Z142" s="11"/>
      <c r="AA142" s="11"/>
      <c r="AB142" s="11"/>
      <c r="AC142" s="11"/>
      <c r="AD142" s="11"/>
      <c r="AE142" s="11"/>
      <c r="AF142" s="11"/>
      <c r="AG142" s="6"/>
      <c r="AH142" s="6"/>
      <c r="AI142" s="6"/>
      <c r="AJ142" s="6"/>
      <c r="AK142" s="6"/>
      <c r="AL142" s="6"/>
      <c r="AM142" s="6"/>
      <c r="AN142" s="6"/>
      <c r="AO142" s="6"/>
      <c r="AP142" s="6"/>
      <c r="AQ142" s="6"/>
      <c r="AR142" s="6"/>
      <c r="AS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11"/>
      <c r="X143" s="11"/>
      <c r="Y143" s="11"/>
      <c r="Z143" s="11"/>
      <c r="AA143" s="11"/>
      <c r="AB143" s="11"/>
      <c r="AC143" s="11"/>
      <c r="AD143" s="11"/>
      <c r="AE143" s="11"/>
      <c r="AF143" s="11"/>
      <c r="AG143" s="6"/>
      <c r="AH143" s="6"/>
      <c r="AI143" s="6"/>
      <c r="AJ143" s="6"/>
      <c r="AK143" s="6"/>
      <c r="AL143" s="6"/>
      <c r="AM143" s="6"/>
      <c r="AN143" s="6"/>
      <c r="AO143" s="6"/>
      <c r="AP143" s="6"/>
      <c r="AQ143" s="6"/>
      <c r="AR143" s="6"/>
      <c r="AS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11"/>
      <c r="X144" s="11"/>
      <c r="Y144" s="11"/>
      <c r="Z144" s="11"/>
      <c r="AA144" s="11"/>
      <c r="AB144" s="11"/>
      <c r="AC144" s="11"/>
      <c r="AD144" s="11"/>
      <c r="AE144" s="11"/>
      <c r="AF144" s="11"/>
      <c r="AG144" s="6"/>
      <c r="AH144" s="6"/>
      <c r="AI144" s="6"/>
      <c r="AJ144" s="6"/>
      <c r="AK144" s="6"/>
      <c r="AL144" s="6"/>
      <c r="AM144" s="6"/>
      <c r="AN144" s="6"/>
      <c r="AO144" s="6"/>
      <c r="AP144" s="6"/>
      <c r="AQ144" s="6"/>
      <c r="AR144" s="6"/>
      <c r="AS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11"/>
      <c r="X145" s="11"/>
      <c r="Y145" s="11"/>
      <c r="Z145" s="11"/>
      <c r="AA145" s="11"/>
      <c r="AB145" s="11"/>
      <c r="AC145" s="11"/>
      <c r="AD145" s="11"/>
      <c r="AE145" s="11"/>
      <c r="AF145" s="11"/>
      <c r="AG145" s="6"/>
      <c r="AH145" s="6"/>
      <c r="AI145" s="6"/>
      <c r="AJ145" s="6"/>
      <c r="AK145" s="6"/>
      <c r="AL145" s="6"/>
      <c r="AM145" s="6"/>
      <c r="AN145" s="6"/>
      <c r="AO145" s="6"/>
      <c r="AP145" s="6"/>
      <c r="AQ145" s="6"/>
      <c r="AR145" s="6"/>
      <c r="AS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11"/>
      <c r="X146" s="11"/>
      <c r="Y146" s="11"/>
      <c r="Z146" s="11"/>
      <c r="AA146" s="11"/>
      <c r="AB146" s="11"/>
      <c r="AC146" s="11"/>
      <c r="AD146" s="11"/>
      <c r="AE146" s="11"/>
      <c r="AF146" s="11"/>
      <c r="AG146" s="6"/>
      <c r="AH146" s="6"/>
      <c r="AI146" s="6"/>
      <c r="AJ146" s="6"/>
      <c r="AK146" s="6"/>
      <c r="AL146" s="6"/>
      <c r="AM146" s="6"/>
      <c r="AN146" s="6"/>
      <c r="AO146" s="6"/>
      <c r="AP146" s="6"/>
      <c r="AQ146" s="6"/>
      <c r="AR146" s="6"/>
      <c r="AS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11"/>
      <c r="X147" s="11"/>
      <c r="Y147" s="11"/>
      <c r="Z147" s="11"/>
      <c r="AA147" s="11"/>
      <c r="AB147" s="11"/>
      <c r="AC147" s="11"/>
      <c r="AD147" s="11"/>
      <c r="AE147" s="11"/>
      <c r="AF147" s="11"/>
      <c r="AG147" s="6"/>
      <c r="AH147" s="6"/>
      <c r="AI147" s="6"/>
      <c r="AJ147" s="6"/>
      <c r="AK147" s="6"/>
      <c r="AL147" s="6"/>
      <c r="AM147" s="6"/>
      <c r="AN147" s="6"/>
      <c r="AO147" s="6"/>
      <c r="AP147" s="6"/>
      <c r="AQ147" s="6"/>
      <c r="AR147" s="6"/>
      <c r="AS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11"/>
      <c r="X148" s="11"/>
      <c r="Y148" s="11"/>
      <c r="Z148" s="11"/>
      <c r="AA148" s="11"/>
      <c r="AB148" s="11"/>
      <c r="AC148" s="11"/>
      <c r="AD148" s="11"/>
      <c r="AE148" s="11"/>
      <c r="AF148" s="11"/>
      <c r="AG148" s="6"/>
      <c r="AH148" s="6"/>
      <c r="AI148" s="6"/>
      <c r="AJ148" s="6"/>
      <c r="AK148" s="6"/>
      <c r="AL148" s="6"/>
      <c r="AM148" s="6"/>
      <c r="AN148" s="6"/>
      <c r="AO148" s="6"/>
      <c r="AP148" s="6"/>
      <c r="AQ148" s="6"/>
      <c r="AR148" s="6"/>
      <c r="AS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11"/>
      <c r="X149" s="11"/>
      <c r="Y149" s="11"/>
      <c r="Z149" s="11"/>
      <c r="AA149" s="11"/>
      <c r="AB149" s="11"/>
      <c r="AC149" s="11"/>
      <c r="AD149" s="11"/>
      <c r="AE149" s="11"/>
      <c r="AF149" s="11"/>
      <c r="AG149" s="6"/>
      <c r="AH149" s="6"/>
      <c r="AI149" s="6"/>
      <c r="AJ149" s="6"/>
      <c r="AK149" s="6"/>
      <c r="AL149" s="6"/>
      <c r="AM149" s="6"/>
      <c r="AN149" s="6"/>
      <c r="AO149" s="6"/>
      <c r="AP149" s="6"/>
      <c r="AQ149" s="6"/>
      <c r="AR149" s="6"/>
      <c r="AS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11"/>
      <c r="X150" s="11"/>
      <c r="Y150" s="11"/>
      <c r="Z150" s="11"/>
      <c r="AA150" s="11"/>
      <c r="AB150" s="11"/>
      <c r="AC150" s="11"/>
      <c r="AD150" s="11"/>
      <c r="AE150" s="11"/>
      <c r="AF150" s="11"/>
      <c r="AG150" s="6"/>
      <c r="AH150" s="6"/>
      <c r="AI150" s="6"/>
      <c r="AJ150" s="6"/>
      <c r="AK150" s="6"/>
      <c r="AL150" s="6"/>
      <c r="AM150" s="6"/>
      <c r="AN150" s="6"/>
      <c r="AO150" s="6"/>
      <c r="AP150" s="6"/>
      <c r="AQ150" s="6"/>
      <c r="AR150" s="6"/>
      <c r="AS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11"/>
      <c r="X151" s="11"/>
      <c r="Y151" s="11"/>
      <c r="Z151" s="11"/>
      <c r="AA151" s="11"/>
      <c r="AB151" s="11"/>
      <c r="AC151" s="11"/>
      <c r="AD151" s="11"/>
      <c r="AE151" s="11"/>
      <c r="AF151" s="11"/>
      <c r="AG151" s="6"/>
      <c r="AH151" s="6"/>
      <c r="AI151" s="6"/>
      <c r="AJ151" s="6"/>
      <c r="AK151" s="6"/>
      <c r="AL151" s="6"/>
      <c r="AM151" s="6"/>
      <c r="AN151" s="6"/>
      <c r="AO151" s="6"/>
      <c r="AP151" s="6"/>
      <c r="AQ151" s="6"/>
      <c r="AR151" s="6"/>
      <c r="AS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11"/>
      <c r="X152" s="11"/>
      <c r="Y152" s="11"/>
      <c r="Z152" s="11"/>
      <c r="AA152" s="11"/>
      <c r="AB152" s="11"/>
      <c r="AC152" s="11"/>
      <c r="AD152" s="11"/>
      <c r="AE152" s="11"/>
      <c r="AF152" s="11"/>
      <c r="AG152" s="6"/>
      <c r="AH152" s="6"/>
      <c r="AI152" s="6"/>
      <c r="AJ152" s="6"/>
      <c r="AK152" s="6"/>
      <c r="AL152" s="6"/>
      <c r="AM152" s="6"/>
      <c r="AN152" s="6"/>
      <c r="AO152" s="6"/>
      <c r="AP152" s="6"/>
      <c r="AQ152" s="6"/>
      <c r="AR152" s="6"/>
      <c r="AS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11"/>
      <c r="X153" s="11"/>
      <c r="Y153" s="11"/>
      <c r="Z153" s="11"/>
      <c r="AA153" s="11"/>
      <c r="AB153" s="11"/>
      <c r="AC153" s="11"/>
      <c r="AD153" s="11"/>
      <c r="AE153" s="11"/>
      <c r="AF153" s="11"/>
      <c r="AG153" s="6"/>
      <c r="AH153" s="6"/>
      <c r="AI153" s="6"/>
      <c r="AJ153" s="6"/>
      <c r="AK153" s="6"/>
      <c r="AL153" s="6"/>
      <c r="AM153" s="6"/>
      <c r="AN153" s="6"/>
      <c r="AO153" s="6"/>
      <c r="AP153" s="6"/>
      <c r="AQ153" s="6"/>
      <c r="AR153" s="6"/>
      <c r="AS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11"/>
      <c r="X154" s="11"/>
      <c r="Y154" s="11"/>
      <c r="Z154" s="11"/>
      <c r="AA154" s="11"/>
      <c r="AB154" s="11"/>
      <c r="AC154" s="11"/>
      <c r="AD154" s="11"/>
      <c r="AE154" s="11"/>
      <c r="AF154" s="11"/>
      <c r="AG154" s="6"/>
      <c r="AH154" s="6"/>
      <c r="AI154" s="6"/>
      <c r="AJ154" s="6"/>
      <c r="AK154" s="6"/>
      <c r="AL154" s="6"/>
      <c r="AM154" s="6"/>
      <c r="AN154" s="6"/>
      <c r="AO154" s="6"/>
      <c r="AP154" s="6"/>
      <c r="AQ154" s="6"/>
      <c r="AR154" s="6"/>
      <c r="AS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11"/>
      <c r="X155" s="11"/>
      <c r="Y155" s="11"/>
      <c r="Z155" s="11"/>
      <c r="AA155" s="11"/>
      <c r="AB155" s="11"/>
      <c r="AC155" s="11"/>
      <c r="AD155" s="11"/>
      <c r="AE155" s="11"/>
      <c r="AF155" s="11"/>
      <c r="AG155" s="6"/>
      <c r="AH155" s="6"/>
      <c r="AI155" s="6"/>
      <c r="AJ155" s="6"/>
      <c r="AK155" s="6"/>
      <c r="AL155" s="6"/>
      <c r="AM155" s="6"/>
      <c r="AN155" s="6"/>
      <c r="AO155" s="6"/>
      <c r="AP155" s="6"/>
      <c r="AQ155" s="6"/>
      <c r="AR155" s="6"/>
      <c r="AS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11"/>
      <c r="X156" s="11"/>
      <c r="Y156" s="11"/>
      <c r="Z156" s="11"/>
      <c r="AA156" s="11"/>
      <c r="AB156" s="11"/>
      <c r="AC156" s="11"/>
      <c r="AD156" s="11"/>
      <c r="AE156" s="11"/>
      <c r="AF156" s="11"/>
      <c r="AG156" s="6"/>
      <c r="AH156" s="6"/>
      <c r="AI156" s="6"/>
      <c r="AJ156" s="6"/>
      <c r="AK156" s="6"/>
      <c r="AL156" s="6"/>
      <c r="AM156" s="6"/>
      <c r="AN156" s="6"/>
      <c r="AO156" s="6"/>
      <c r="AP156" s="6"/>
      <c r="AQ156" s="6"/>
      <c r="AR156" s="6"/>
      <c r="AS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11"/>
      <c r="X157" s="11"/>
      <c r="Y157" s="11"/>
      <c r="Z157" s="11"/>
      <c r="AA157" s="11"/>
      <c r="AB157" s="11"/>
      <c r="AC157" s="11"/>
      <c r="AD157" s="11"/>
      <c r="AE157" s="11"/>
      <c r="AF157" s="11"/>
      <c r="AG157" s="6"/>
      <c r="AH157" s="6"/>
      <c r="AI157" s="6"/>
      <c r="AJ157" s="6"/>
      <c r="AK157" s="6"/>
      <c r="AL157" s="6"/>
      <c r="AM157" s="6"/>
      <c r="AN157" s="6"/>
      <c r="AO157" s="6"/>
      <c r="AP157" s="6"/>
      <c r="AQ157" s="6"/>
      <c r="AR157" s="6"/>
      <c r="AS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11"/>
      <c r="X158" s="11"/>
      <c r="Y158" s="11"/>
      <c r="Z158" s="11"/>
      <c r="AA158" s="11"/>
      <c r="AB158" s="11"/>
      <c r="AC158" s="11"/>
      <c r="AD158" s="11"/>
      <c r="AE158" s="11"/>
      <c r="AF158" s="11"/>
      <c r="AG158" s="6"/>
      <c r="AH158" s="6"/>
      <c r="AI158" s="6"/>
      <c r="AJ158" s="6"/>
      <c r="AK158" s="6"/>
      <c r="AL158" s="6"/>
      <c r="AM158" s="6"/>
      <c r="AN158" s="6"/>
      <c r="AO158" s="6"/>
      <c r="AP158" s="6"/>
      <c r="AQ158" s="6"/>
      <c r="AR158" s="6"/>
      <c r="AS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11"/>
      <c r="X159" s="11"/>
      <c r="Y159" s="11"/>
      <c r="Z159" s="11"/>
      <c r="AA159" s="11"/>
      <c r="AB159" s="11"/>
      <c r="AC159" s="11"/>
      <c r="AD159" s="11"/>
      <c r="AE159" s="11"/>
      <c r="AF159" s="11"/>
      <c r="AG159" s="6"/>
      <c r="AH159" s="6"/>
      <c r="AI159" s="6"/>
      <c r="AJ159" s="6"/>
      <c r="AK159" s="6"/>
      <c r="AL159" s="6"/>
      <c r="AM159" s="6"/>
      <c r="AN159" s="6"/>
      <c r="AO159" s="6"/>
      <c r="AP159" s="6"/>
      <c r="AQ159" s="6"/>
      <c r="AR159" s="6"/>
      <c r="AS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11"/>
      <c r="X160" s="11"/>
      <c r="Y160" s="11"/>
      <c r="Z160" s="11"/>
      <c r="AA160" s="11"/>
      <c r="AB160" s="11"/>
      <c r="AC160" s="11"/>
      <c r="AD160" s="11"/>
      <c r="AE160" s="11"/>
      <c r="AF160" s="11"/>
      <c r="AG160" s="6"/>
      <c r="AH160" s="6"/>
      <c r="AI160" s="6"/>
      <c r="AJ160" s="6"/>
      <c r="AK160" s="6"/>
      <c r="AL160" s="6"/>
      <c r="AM160" s="6"/>
      <c r="AN160" s="6"/>
      <c r="AO160" s="6"/>
      <c r="AP160" s="6"/>
      <c r="AQ160" s="6"/>
      <c r="AR160" s="6"/>
      <c r="AS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11"/>
      <c r="X161" s="11"/>
      <c r="Y161" s="11"/>
      <c r="Z161" s="11"/>
      <c r="AA161" s="11"/>
      <c r="AB161" s="11"/>
      <c r="AC161" s="11"/>
      <c r="AD161" s="11"/>
      <c r="AE161" s="11"/>
      <c r="AF161" s="11"/>
      <c r="AG161" s="6"/>
      <c r="AH161" s="6"/>
      <c r="AI161" s="6"/>
      <c r="AJ161" s="6"/>
      <c r="AK161" s="6"/>
      <c r="AL161" s="6"/>
      <c r="AM161" s="6"/>
      <c r="AN161" s="6"/>
      <c r="AO161" s="6"/>
      <c r="AP161" s="6"/>
      <c r="AQ161" s="6"/>
      <c r="AR161" s="6"/>
      <c r="AS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11"/>
      <c r="X162" s="11"/>
      <c r="Y162" s="11"/>
      <c r="Z162" s="11"/>
      <c r="AA162" s="11"/>
      <c r="AB162" s="11"/>
      <c r="AC162" s="11"/>
      <c r="AD162" s="11"/>
      <c r="AE162" s="11"/>
      <c r="AF162" s="11"/>
      <c r="AG162" s="6"/>
      <c r="AH162" s="6"/>
      <c r="AI162" s="6"/>
      <c r="AJ162" s="6"/>
      <c r="AK162" s="6"/>
      <c r="AL162" s="6"/>
      <c r="AM162" s="6"/>
      <c r="AN162" s="6"/>
      <c r="AO162" s="6"/>
      <c r="AP162" s="6"/>
      <c r="AQ162" s="6"/>
      <c r="AR162" s="6"/>
      <c r="AS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11"/>
      <c r="X163" s="11"/>
      <c r="Y163" s="11"/>
      <c r="Z163" s="11"/>
      <c r="AA163" s="11"/>
      <c r="AB163" s="11"/>
      <c r="AC163" s="11"/>
      <c r="AD163" s="11"/>
      <c r="AE163" s="11"/>
      <c r="AF163" s="11"/>
      <c r="AG163" s="6"/>
      <c r="AH163" s="6"/>
      <c r="AI163" s="6"/>
      <c r="AJ163" s="6"/>
      <c r="AK163" s="6"/>
      <c r="AL163" s="6"/>
      <c r="AM163" s="6"/>
      <c r="AN163" s="6"/>
      <c r="AO163" s="6"/>
      <c r="AP163" s="6"/>
      <c r="AQ163" s="6"/>
      <c r="AR163" s="6"/>
      <c r="AS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11"/>
      <c r="X164" s="11"/>
      <c r="Y164" s="11"/>
      <c r="Z164" s="11"/>
      <c r="AA164" s="11"/>
      <c r="AB164" s="11"/>
      <c r="AC164" s="11"/>
      <c r="AD164" s="11"/>
      <c r="AE164" s="11"/>
      <c r="AF164" s="11"/>
      <c r="AG164" s="6"/>
      <c r="AH164" s="6"/>
      <c r="AI164" s="6"/>
      <c r="AJ164" s="6"/>
      <c r="AK164" s="6"/>
      <c r="AL164" s="6"/>
      <c r="AM164" s="6"/>
      <c r="AN164" s="6"/>
      <c r="AO164" s="6"/>
      <c r="AP164" s="6"/>
      <c r="AQ164" s="6"/>
      <c r="AR164" s="6"/>
      <c r="AS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11"/>
      <c r="X165" s="11"/>
      <c r="Y165" s="11"/>
      <c r="Z165" s="11"/>
      <c r="AA165" s="11"/>
      <c r="AB165" s="11"/>
      <c r="AC165" s="11"/>
      <c r="AD165" s="11"/>
      <c r="AE165" s="11"/>
      <c r="AF165" s="11"/>
      <c r="AG165" s="6"/>
      <c r="AH165" s="6"/>
      <c r="AI165" s="6"/>
      <c r="AJ165" s="6"/>
      <c r="AK165" s="6"/>
      <c r="AL165" s="6"/>
      <c r="AM165" s="6"/>
      <c r="AN165" s="6"/>
      <c r="AO165" s="6"/>
      <c r="AP165" s="6"/>
      <c r="AQ165" s="6"/>
      <c r="AR165" s="6"/>
      <c r="AS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11"/>
      <c r="X166" s="11"/>
      <c r="Y166" s="11"/>
      <c r="Z166" s="11"/>
      <c r="AA166" s="11"/>
      <c r="AB166" s="11"/>
      <c r="AC166" s="11"/>
      <c r="AD166" s="11"/>
      <c r="AE166" s="11"/>
      <c r="AF166" s="11"/>
      <c r="AG166" s="6"/>
      <c r="AH166" s="6"/>
      <c r="AI166" s="6"/>
      <c r="AJ166" s="6"/>
      <c r="AK166" s="6"/>
      <c r="AL166" s="6"/>
      <c r="AM166" s="6"/>
      <c r="AN166" s="6"/>
      <c r="AO166" s="6"/>
      <c r="AP166" s="6"/>
      <c r="AQ166" s="6"/>
      <c r="AR166" s="6"/>
      <c r="AS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11"/>
      <c r="X167" s="11"/>
      <c r="Y167" s="11"/>
      <c r="Z167" s="11"/>
      <c r="AA167" s="11"/>
      <c r="AB167" s="11"/>
      <c r="AC167" s="11"/>
      <c r="AD167" s="11"/>
      <c r="AE167" s="11"/>
      <c r="AF167" s="11"/>
      <c r="AG167" s="6"/>
      <c r="AH167" s="6"/>
      <c r="AI167" s="6"/>
      <c r="AJ167" s="6"/>
      <c r="AK167" s="6"/>
      <c r="AL167" s="6"/>
      <c r="AM167" s="6"/>
      <c r="AN167" s="6"/>
      <c r="AO167" s="6"/>
      <c r="AP167" s="6"/>
      <c r="AQ167" s="6"/>
      <c r="AR167" s="6"/>
      <c r="AS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11"/>
      <c r="X168" s="11"/>
      <c r="Y168" s="11"/>
      <c r="Z168" s="11"/>
      <c r="AA168" s="11"/>
      <c r="AB168" s="11"/>
      <c r="AC168" s="11"/>
      <c r="AD168" s="11"/>
      <c r="AE168" s="11"/>
      <c r="AF168" s="11"/>
      <c r="AG168" s="6"/>
      <c r="AH168" s="6"/>
      <c r="AI168" s="6"/>
      <c r="AJ168" s="6"/>
      <c r="AK168" s="6"/>
      <c r="AL168" s="6"/>
      <c r="AM168" s="6"/>
      <c r="AN168" s="6"/>
      <c r="AO168" s="6"/>
      <c r="AP168" s="6"/>
      <c r="AQ168" s="6"/>
      <c r="AR168" s="6"/>
      <c r="AS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11"/>
      <c r="X169" s="11"/>
      <c r="Y169" s="11"/>
      <c r="Z169" s="11"/>
      <c r="AA169" s="11"/>
      <c r="AB169" s="11"/>
      <c r="AC169" s="11"/>
      <c r="AD169" s="11"/>
      <c r="AE169" s="11"/>
      <c r="AF169" s="11"/>
      <c r="AG169" s="6"/>
      <c r="AH169" s="6"/>
      <c r="AI169" s="6"/>
      <c r="AJ169" s="6"/>
      <c r="AK169" s="6"/>
      <c r="AL169" s="6"/>
      <c r="AM169" s="6"/>
      <c r="AN169" s="6"/>
      <c r="AO169" s="6"/>
      <c r="AP169" s="6"/>
      <c r="AQ169" s="6"/>
      <c r="AR169" s="6"/>
      <c r="AS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11"/>
      <c r="X170" s="11"/>
      <c r="Y170" s="11"/>
      <c r="Z170" s="11"/>
      <c r="AA170" s="11"/>
      <c r="AB170" s="11"/>
      <c r="AC170" s="11"/>
      <c r="AD170" s="11"/>
      <c r="AE170" s="11"/>
      <c r="AF170" s="11"/>
      <c r="AG170" s="6"/>
      <c r="AH170" s="6"/>
      <c r="AI170" s="6"/>
      <c r="AJ170" s="6"/>
      <c r="AK170" s="6"/>
      <c r="AL170" s="6"/>
      <c r="AM170" s="6"/>
      <c r="AN170" s="6"/>
      <c r="AO170" s="6"/>
      <c r="AP170" s="6"/>
      <c r="AQ170" s="6"/>
      <c r="AR170" s="6"/>
      <c r="AS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11"/>
      <c r="X171" s="11"/>
      <c r="Y171" s="11"/>
      <c r="Z171" s="11"/>
      <c r="AA171" s="11"/>
      <c r="AB171" s="11"/>
      <c r="AC171" s="11"/>
      <c r="AD171" s="11"/>
      <c r="AE171" s="11"/>
      <c r="AF171" s="11"/>
      <c r="AG171" s="6"/>
      <c r="AH171" s="6"/>
      <c r="AI171" s="6"/>
      <c r="AJ171" s="6"/>
      <c r="AK171" s="6"/>
      <c r="AL171" s="6"/>
      <c r="AM171" s="6"/>
      <c r="AN171" s="6"/>
      <c r="AO171" s="6"/>
      <c r="AP171" s="6"/>
      <c r="AQ171" s="6"/>
      <c r="AR171" s="6"/>
      <c r="AS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11"/>
      <c r="X172" s="11"/>
      <c r="Y172" s="11"/>
      <c r="Z172" s="11"/>
      <c r="AA172" s="11"/>
      <c r="AB172" s="11"/>
      <c r="AC172" s="11"/>
      <c r="AD172" s="11"/>
      <c r="AE172" s="11"/>
      <c r="AF172" s="11"/>
      <c r="AG172" s="6"/>
      <c r="AH172" s="6"/>
      <c r="AI172" s="6"/>
      <c r="AJ172" s="6"/>
      <c r="AK172" s="6"/>
      <c r="AL172" s="6"/>
      <c r="AM172" s="6"/>
      <c r="AN172" s="6"/>
      <c r="AO172" s="6"/>
      <c r="AP172" s="6"/>
      <c r="AQ172" s="6"/>
      <c r="AR172" s="6"/>
      <c r="AS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11"/>
      <c r="X173" s="11"/>
      <c r="Y173" s="11"/>
      <c r="Z173" s="11"/>
      <c r="AA173" s="11"/>
      <c r="AB173" s="11"/>
      <c r="AC173" s="11"/>
      <c r="AD173" s="11"/>
      <c r="AE173" s="11"/>
      <c r="AF173" s="11"/>
      <c r="AG173" s="6"/>
      <c r="AH173" s="6"/>
      <c r="AI173" s="6"/>
      <c r="AJ173" s="6"/>
      <c r="AK173" s="6"/>
      <c r="AL173" s="6"/>
      <c r="AM173" s="6"/>
      <c r="AN173" s="6"/>
      <c r="AO173" s="6"/>
      <c r="AP173" s="6"/>
      <c r="AQ173" s="6"/>
      <c r="AR173" s="6"/>
      <c r="AS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11"/>
      <c r="X174" s="11"/>
      <c r="Y174" s="11"/>
      <c r="Z174" s="11"/>
      <c r="AA174" s="11"/>
      <c r="AB174" s="11"/>
      <c r="AC174" s="11"/>
      <c r="AD174" s="11"/>
      <c r="AE174" s="11"/>
      <c r="AF174" s="11"/>
      <c r="AG174" s="6"/>
      <c r="AH174" s="6"/>
      <c r="AI174" s="6"/>
      <c r="AJ174" s="6"/>
      <c r="AK174" s="6"/>
      <c r="AL174" s="6"/>
      <c r="AM174" s="6"/>
      <c r="AN174" s="6"/>
      <c r="AO174" s="6"/>
      <c r="AP174" s="6"/>
      <c r="AQ174" s="6"/>
      <c r="AR174" s="6"/>
      <c r="AS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11"/>
      <c r="X175" s="11"/>
      <c r="Y175" s="11"/>
      <c r="Z175" s="11"/>
      <c r="AA175" s="11"/>
      <c r="AB175" s="11"/>
      <c r="AC175" s="11"/>
      <c r="AD175" s="11"/>
      <c r="AE175" s="11"/>
      <c r="AF175" s="11"/>
      <c r="AG175" s="6"/>
      <c r="AH175" s="6"/>
      <c r="AI175" s="6"/>
      <c r="AJ175" s="6"/>
      <c r="AK175" s="6"/>
      <c r="AL175" s="6"/>
      <c r="AM175" s="6"/>
      <c r="AN175" s="6"/>
      <c r="AO175" s="6"/>
      <c r="AP175" s="6"/>
      <c r="AQ175" s="6"/>
      <c r="AR175" s="6"/>
      <c r="AS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11"/>
      <c r="X176" s="11"/>
      <c r="Y176" s="11"/>
      <c r="Z176" s="11"/>
      <c r="AA176" s="11"/>
      <c r="AB176" s="11"/>
      <c r="AC176" s="11"/>
      <c r="AD176" s="11"/>
      <c r="AE176" s="11"/>
      <c r="AF176" s="11"/>
      <c r="AG176" s="6"/>
      <c r="AH176" s="6"/>
      <c r="AI176" s="6"/>
      <c r="AJ176" s="6"/>
      <c r="AK176" s="6"/>
      <c r="AL176" s="6"/>
      <c r="AM176" s="6"/>
      <c r="AN176" s="6"/>
      <c r="AO176" s="6"/>
      <c r="AP176" s="6"/>
      <c r="AQ176" s="6"/>
      <c r="AR176" s="6"/>
      <c r="AS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11"/>
      <c r="X177" s="11"/>
      <c r="Y177" s="11"/>
      <c r="Z177" s="11"/>
      <c r="AA177" s="11"/>
      <c r="AB177" s="11"/>
      <c r="AC177" s="11"/>
      <c r="AD177" s="11"/>
      <c r="AE177" s="11"/>
      <c r="AF177" s="11"/>
      <c r="AG177" s="6"/>
      <c r="AH177" s="6"/>
      <c r="AI177" s="6"/>
      <c r="AJ177" s="6"/>
      <c r="AK177" s="6"/>
      <c r="AL177" s="6"/>
      <c r="AM177" s="6"/>
      <c r="AN177" s="6"/>
      <c r="AO177" s="6"/>
      <c r="AP177" s="6"/>
      <c r="AQ177" s="6"/>
      <c r="AR177" s="6"/>
      <c r="AS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11"/>
      <c r="X178" s="11"/>
      <c r="Y178" s="11"/>
      <c r="Z178" s="11"/>
      <c r="AA178" s="11"/>
      <c r="AB178" s="11"/>
      <c r="AC178" s="11"/>
      <c r="AD178" s="11"/>
      <c r="AE178" s="11"/>
      <c r="AF178" s="11"/>
      <c r="AG178" s="6"/>
      <c r="AH178" s="6"/>
      <c r="AI178" s="6"/>
      <c r="AJ178" s="6"/>
      <c r="AK178" s="6"/>
      <c r="AL178" s="6"/>
      <c r="AM178" s="6"/>
      <c r="AN178" s="6"/>
      <c r="AO178" s="6"/>
      <c r="AP178" s="6"/>
      <c r="AQ178" s="6"/>
      <c r="AR178" s="6"/>
      <c r="AS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11"/>
      <c r="X179" s="11"/>
      <c r="Y179" s="11"/>
      <c r="Z179" s="11"/>
      <c r="AA179" s="11"/>
      <c r="AB179" s="11"/>
      <c r="AC179" s="11"/>
      <c r="AD179" s="11"/>
      <c r="AE179" s="11"/>
      <c r="AF179" s="11"/>
      <c r="AG179" s="6"/>
      <c r="AH179" s="6"/>
      <c r="AI179" s="6"/>
      <c r="AJ179" s="6"/>
      <c r="AK179" s="6"/>
      <c r="AL179" s="6"/>
      <c r="AM179" s="6"/>
      <c r="AN179" s="6"/>
      <c r="AO179" s="6"/>
      <c r="AP179" s="6"/>
      <c r="AQ179" s="6"/>
      <c r="AR179" s="6"/>
      <c r="AS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11"/>
      <c r="X180" s="11"/>
      <c r="Y180" s="11"/>
      <c r="Z180" s="11"/>
      <c r="AA180" s="11"/>
      <c r="AB180" s="11"/>
      <c r="AC180" s="11"/>
      <c r="AD180" s="11"/>
      <c r="AE180" s="11"/>
      <c r="AF180" s="11"/>
      <c r="AG180" s="6"/>
      <c r="AH180" s="6"/>
      <c r="AI180" s="6"/>
      <c r="AJ180" s="6"/>
      <c r="AK180" s="6"/>
      <c r="AL180" s="6"/>
      <c r="AM180" s="6"/>
      <c r="AN180" s="6"/>
      <c r="AO180" s="6"/>
      <c r="AP180" s="6"/>
      <c r="AQ180" s="6"/>
      <c r="AR180" s="6"/>
      <c r="AS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11"/>
      <c r="X181" s="11"/>
      <c r="Y181" s="11"/>
      <c r="Z181" s="11"/>
      <c r="AA181" s="11"/>
      <c r="AB181" s="11"/>
      <c r="AC181" s="11"/>
      <c r="AD181" s="11"/>
      <c r="AE181" s="11"/>
      <c r="AF181" s="11"/>
      <c r="AG181" s="6"/>
      <c r="AH181" s="6"/>
      <c r="AI181" s="6"/>
      <c r="AJ181" s="6"/>
      <c r="AK181" s="6"/>
      <c r="AL181" s="6"/>
      <c r="AM181" s="6"/>
      <c r="AN181" s="6"/>
      <c r="AO181" s="6"/>
      <c r="AP181" s="6"/>
      <c r="AQ181" s="6"/>
      <c r="AR181" s="6"/>
      <c r="AS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11"/>
      <c r="X182" s="11"/>
      <c r="Y182" s="11"/>
      <c r="Z182" s="11"/>
      <c r="AA182" s="11"/>
      <c r="AB182" s="11"/>
      <c r="AC182" s="11"/>
      <c r="AD182" s="11"/>
      <c r="AE182" s="11"/>
      <c r="AF182" s="11"/>
      <c r="AG182" s="6"/>
      <c r="AH182" s="6"/>
      <c r="AI182" s="6"/>
      <c r="AJ182" s="6"/>
      <c r="AK182" s="6"/>
      <c r="AL182" s="6"/>
      <c r="AM182" s="6"/>
      <c r="AN182" s="6"/>
      <c r="AO182" s="6"/>
      <c r="AP182" s="6"/>
      <c r="AQ182" s="6"/>
      <c r="AR182" s="6"/>
      <c r="AS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11"/>
      <c r="X183" s="11"/>
      <c r="Y183" s="11"/>
      <c r="Z183" s="11"/>
      <c r="AA183" s="11"/>
      <c r="AB183" s="11"/>
      <c r="AC183" s="11"/>
      <c r="AD183" s="11"/>
      <c r="AE183" s="11"/>
      <c r="AF183" s="11"/>
      <c r="AG183" s="6"/>
      <c r="AH183" s="6"/>
      <c r="AI183" s="6"/>
      <c r="AJ183" s="6"/>
      <c r="AK183" s="6"/>
      <c r="AL183" s="6"/>
      <c r="AM183" s="6"/>
      <c r="AN183" s="6"/>
      <c r="AO183" s="6"/>
      <c r="AP183" s="6"/>
      <c r="AQ183" s="6"/>
      <c r="AR183" s="6"/>
      <c r="AS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11"/>
      <c r="X184" s="11"/>
      <c r="Y184" s="11"/>
      <c r="Z184" s="11"/>
      <c r="AA184" s="11"/>
      <c r="AB184" s="11"/>
      <c r="AC184" s="11"/>
      <c r="AD184" s="11"/>
      <c r="AE184" s="11"/>
      <c r="AF184" s="11"/>
      <c r="AG184" s="6"/>
      <c r="AH184" s="6"/>
      <c r="AI184" s="6"/>
      <c r="AJ184" s="6"/>
      <c r="AK184" s="6"/>
      <c r="AL184" s="6"/>
      <c r="AM184" s="6"/>
      <c r="AN184" s="6"/>
      <c r="AO184" s="6"/>
      <c r="AP184" s="6"/>
      <c r="AQ184" s="6"/>
      <c r="AR184" s="6"/>
      <c r="AS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11"/>
      <c r="X185" s="11"/>
      <c r="Y185" s="11"/>
      <c r="Z185" s="11"/>
      <c r="AA185" s="11"/>
      <c r="AB185" s="11"/>
      <c r="AC185" s="11"/>
      <c r="AD185" s="11"/>
      <c r="AE185" s="11"/>
      <c r="AF185" s="11"/>
      <c r="AG185" s="6"/>
      <c r="AH185" s="6"/>
      <c r="AI185" s="6"/>
      <c r="AJ185" s="6"/>
      <c r="AK185" s="6"/>
      <c r="AL185" s="6"/>
      <c r="AM185" s="6"/>
      <c r="AN185" s="6"/>
      <c r="AO185" s="6"/>
      <c r="AP185" s="6"/>
      <c r="AQ185" s="6"/>
      <c r="AR185" s="6"/>
      <c r="AS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11"/>
      <c r="X186" s="11"/>
      <c r="Y186" s="11"/>
      <c r="Z186" s="11"/>
      <c r="AA186" s="11"/>
      <c r="AB186" s="11"/>
      <c r="AC186" s="11"/>
      <c r="AD186" s="11"/>
      <c r="AE186" s="11"/>
      <c r="AF186" s="11"/>
      <c r="AG186" s="6"/>
      <c r="AH186" s="6"/>
      <c r="AI186" s="6"/>
      <c r="AJ186" s="6"/>
      <c r="AK186" s="6"/>
      <c r="AL186" s="6"/>
      <c r="AM186" s="6"/>
      <c r="AN186" s="6"/>
      <c r="AO186" s="6"/>
      <c r="AP186" s="6"/>
      <c r="AQ186" s="6"/>
      <c r="AR186" s="6"/>
      <c r="AS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11"/>
      <c r="X187" s="11"/>
      <c r="Y187" s="11"/>
      <c r="Z187" s="11"/>
      <c r="AA187" s="11"/>
      <c r="AB187" s="11"/>
      <c r="AC187" s="11"/>
      <c r="AD187" s="11"/>
      <c r="AE187" s="11"/>
      <c r="AF187" s="11"/>
      <c r="AG187" s="6"/>
      <c r="AH187" s="6"/>
      <c r="AI187" s="6"/>
      <c r="AJ187" s="6"/>
      <c r="AK187" s="6"/>
      <c r="AL187" s="6"/>
      <c r="AM187" s="6"/>
      <c r="AN187" s="6"/>
      <c r="AO187" s="6"/>
      <c r="AP187" s="6"/>
      <c r="AQ187" s="6"/>
      <c r="AR187" s="6"/>
      <c r="AS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11"/>
      <c r="X188" s="11"/>
      <c r="Y188" s="11"/>
      <c r="Z188" s="11"/>
      <c r="AA188" s="11"/>
      <c r="AB188" s="11"/>
      <c r="AC188" s="11"/>
      <c r="AD188" s="11"/>
      <c r="AE188" s="11"/>
      <c r="AF188" s="11"/>
      <c r="AG188" s="6"/>
      <c r="AH188" s="6"/>
      <c r="AI188" s="6"/>
      <c r="AJ188" s="6"/>
      <c r="AK188" s="6"/>
      <c r="AL188" s="6"/>
      <c r="AM188" s="6"/>
      <c r="AN188" s="6"/>
      <c r="AO188" s="6"/>
      <c r="AP188" s="6"/>
      <c r="AQ188" s="6"/>
      <c r="AR188" s="6"/>
      <c r="AS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11"/>
      <c r="X189" s="11"/>
      <c r="Y189" s="11"/>
      <c r="Z189" s="11"/>
      <c r="AA189" s="11"/>
      <c r="AB189" s="11"/>
      <c r="AC189" s="11"/>
      <c r="AD189" s="11"/>
      <c r="AE189" s="11"/>
      <c r="AF189" s="11"/>
      <c r="AG189" s="6"/>
      <c r="AH189" s="6"/>
      <c r="AI189" s="6"/>
      <c r="AJ189" s="6"/>
      <c r="AK189" s="6"/>
      <c r="AL189" s="6"/>
      <c r="AM189" s="6"/>
      <c r="AN189" s="6"/>
      <c r="AO189" s="6"/>
      <c r="AP189" s="6"/>
      <c r="AQ189" s="6"/>
      <c r="AR189" s="6"/>
      <c r="AS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11"/>
      <c r="X190" s="11"/>
      <c r="Y190" s="11"/>
      <c r="Z190" s="11"/>
      <c r="AA190" s="11"/>
      <c r="AB190" s="11"/>
      <c r="AC190" s="11"/>
      <c r="AD190" s="11"/>
      <c r="AE190" s="11"/>
      <c r="AF190" s="11"/>
      <c r="AG190" s="6"/>
      <c r="AH190" s="6"/>
      <c r="AI190" s="6"/>
      <c r="AJ190" s="6"/>
      <c r="AK190" s="6"/>
      <c r="AL190" s="6"/>
      <c r="AM190" s="6"/>
      <c r="AN190" s="6"/>
      <c r="AO190" s="6"/>
      <c r="AP190" s="6"/>
      <c r="AQ190" s="6"/>
      <c r="AR190" s="6"/>
      <c r="AS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11"/>
      <c r="X191" s="11"/>
      <c r="Y191" s="11"/>
      <c r="Z191" s="11"/>
      <c r="AA191" s="11"/>
      <c r="AB191" s="11"/>
      <c r="AC191" s="11"/>
      <c r="AD191" s="11"/>
      <c r="AE191" s="11"/>
      <c r="AF191" s="11"/>
      <c r="AG191" s="6"/>
      <c r="AH191" s="6"/>
      <c r="AI191" s="6"/>
      <c r="AJ191" s="6"/>
      <c r="AK191" s="6"/>
      <c r="AL191" s="6"/>
      <c r="AM191" s="6"/>
      <c r="AN191" s="6"/>
      <c r="AO191" s="6"/>
      <c r="AP191" s="6"/>
      <c r="AQ191" s="6"/>
      <c r="AR191" s="6"/>
      <c r="AS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11"/>
      <c r="X192" s="11"/>
      <c r="Y192" s="11"/>
      <c r="Z192" s="11"/>
      <c r="AA192" s="11"/>
      <c r="AB192" s="11"/>
      <c r="AC192" s="11"/>
      <c r="AD192" s="11"/>
      <c r="AE192" s="11"/>
      <c r="AF192" s="11"/>
      <c r="AG192" s="6"/>
      <c r="AH192" s="6"/>
      <c r="AI192" s="6"/>
      <c r="AJ192" s="6"/>
      <c r="AK192" s="6"/>
      <c r="AL192" s="6"/>
      <c r="AM192" s="6"/>
      <c r="AN192" s="6"/>
      <c r="AO192" s="6"/>
      <c r="AP192" s="6"/>
      <c r="AQ192" s="6"/>
      <c r="AR192" s="6"/>
      <c r="AS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11"/>
      <c r="X193" s="11"/>
      <c r="Y193" s="11"/>
      <c r="Z193" s="11"/>
      <c r="AA193" s="11"/>
      <c r="AB193" s="11"/>
      <c r="AC193" s="11"/>
      <c r="AD193" s="11"/>
      <c r="AE193" s="11"/>
      <c r="AF193" s="11"/>
      <c r="AG193" s="6"/>
      <c r="AH193" s="6"/>
      <c r="AI193" s="6"/>
      <c r="AJ193" s="6"/>
      <c r="AK193" s="6"/>
      <c r="AL193" s="6"/>
      <c r="AM193" s="6"/>
      <c r="AN193" s="6"/>
      <c r="AO193" s="6"/>
      <c r="AP193" s="6"/>
      <c r="AQ193" s="6"/>
      <c r="AR193" s="6"/>
      <c r="AS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11"/>
      <c r="X194" s="11"/>
      <c r="Y194" s="11"/>
      <c r="Z194" s="11"/>
      <c r="AA194" s="11"/>
      <c r="AB194" s="11"/>
      <c r="AC194" s="11"/>
      <c r="AD194" s="11"/>
      <c r="AE194" s="11"/>
      <c r="AF194" s="11"/>
      <c r="AG194" s="6"/>
      <c r="AH194" s="6"/>
      <c r="AI194" s="6"/>
      <c r="AJ194" s="6"/>
      <c r="AK194" s="6"/>
      <c r="AL194" s="6"/>
      <c r="AM194" s="6"/>
      <c r="AN194" s="6"/>
      <c r="AO194" s="6"/>
      <c r="AP194" s="6"/>
      <c r="AQ194" s="6"/>
      <c r="AR194" s="6"/>
      <c r="AS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11"/>
      <c r="X195" s="11"/>
      <c r="Y195" s="11"/>
      <c r="Z195" s="11"/>
      <c r="AA195" s="11"/>
      <c r="AB195" s="11"/>
      <c r="AC195" s="11"/>
      <c r="AD195" s="11"/>
      <c r="AE195" s="11"/>
      <c r="AF195" s="11"/>
      <c r="AG195" s="6"/>
      <c r="AH195" s="6"/>
      <c r="AI195" s="6"/>
      <c r="AJ195" s="6"/>
      <c r="AK195" s="6"/>
      <c r="AL195" s="6"/>
      <c r="AM195" s="6"/>
      <c r="AN195" s="6"/>
      <c r="AO195" s="6"/>
      <c r="AP195" s="6"/>
      <c r="AQ195" s="6"/>
      <c r="AR195" s="6"/>
      <c r="AS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11"/>
      <c r="X196" s="11"/>
      <c r="Y196" s="11"/>
      <c r="Z196" s="11"/>
      <c r="AA196" s="11"/>
      <c r="AB196" s="11"/>
      <c r="AC196" s="11"/>
      <c r="AD196" s="11"/>
      <c r="AE196" s="11"/>
      <c r="AF196" s="11"/>
      <c r="AG196" s="6"/>
      <c r="AH196" s="6"/>
      <c r="AI196" s="6"/>
      <c r="AJ196" s="6"/>
      <c r="AK196" s="6"/>
      <c r="AL196" s="6"/>
      <c r="AM196" s="6"/>
      <c r="AN196" s="6"/>
      <c r="AO196" s="6"/>
      <c r="AP196" s="6"/>
      <c r="AQ196" s="6"/>
      <c r="AR196" s="6"/>
      <c r="AS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11"/>
      <c r="X197" s="11"/>
      <c r="Y197" s="11"/>
      <c r="Z197" s="11"/>
      <c r="AA197" s="11"/>
      <c r="AB197" s="11"/>
      <c r="AC197" s="11"/>
      <c r="AD197" s="11"/>
      <c r="AE197" s="11"/>
      <c r="AF197" s="11"/>
      <c r="AG197" s="6"/>
      <c r="AH197" s="6"/>
      <c r="AI197" s="6"/>
      <c r="AJ197" s="6"/>
      <c r="AK197" s="6"/>
      <c r="AL197" s="6"/>
      <c r="AM197" s="6"/>
      <c r="AN197" s="6"/>
      <c r="AO197" s="6"/>
      <c r="AP197" s="6"/>
      <c r="AQ197" s="6"/>
      <c r="AR197" s="6"/>
      <c r="AS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11"/>
      <c r="X198" s="11"/>
      <c r="Y198" s="11"/>
      <c r="Z198" s="11"/>
      <c r="AA198" s="11"/>
      <c r="AB198" s="11"/>
      <c r="AC198" s="11"/>
      <c r="AD198" s="11"/>
      <c r="AE198" s="11"/>
      <c r="AF198" s="11"/>
      <c r="AG198" s="6"/>
      <c r="AH198" s="6"/>
      <c r="AI198" s="6"/>
      <c r="AJ198" s="6"/>
      <c r="AK198" s="6"/>
      <c r="AL198" s="6"/>
      <c r="AM198" s="6"/>
      <c r="AN198" s="6"/>
      <c r="AO198" s="6"/>
      <c r="AP198" s="6"/>
      <c r="AQ198" s="6"/>
      <c r="AR198" s="6"/>
      <c r="AS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11"/>
      <c r="X199" s="11"/>
      <c r="Y199" s="11"/>
      <c r="Z199" s="11"/>
      <c r="AA199" s="11"/>
      <c r="AB199" s="11"/>
      <c r="AC199" s="11"/>
      <c r="AD199" s="11"/>
      <c r="AE199" s="11"/>
      <c r="AF199" s="11"/>
      <c r="AG199" s="6"/>
      <c r="AH199" s="6"/>
      <c r="AI199" s="6"/>
      <c r="AJ199" s="6"/>
      <c r="AK199" s="6"/>
      <c r="AL199" s="6"/>
      <c r="AM199" s="6"/>
      <c r="AN199" s="6"/>
      <c r="AO199" s="6"/>
      <c r="AP199" s="6"/>
      <c r="AQ199" s="6"/>
      <c r="AR199" s="6"/>
      <c r="AS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11"/>
      <c r="X200" s="11"/>
      <c r="Y200" s="11"/>
      <c r="Z200" s="11"/>
      <c r="AA200" s="11"/>
      <c r="AB200" s="11"/>
      <c r="AC200" s="11"/>
      <c r="AD200" s="11"/>
      <c r="AE200" s="11"/>
      <c r="AF200" s="11"/>
      <c r="AG200" s="6"/>
      <c r="AH200" s="6"/>
      <c r="AI200" s="6"/>
      <c r="AJ200" s="6"/>
      <c r="AK200" s="6"/>
      <c r="AL200" s="6"/>
      <c r="AM200" s="6"/>
      <c r="AN200" s="6"/>
      <c r="AO200" s="6"/>
      <c r="AP200" s="6"/>
      <c r="AQ200" s="6"/>
      <c r="AR200" s="6"/>
      <c r="AS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11"/>
      <c r="X201" s="11"/>
      <c r="Y201" s="11"/>
      <c r="Z201" s="11"/>
      <c r="AA201" s="11"/>
      <c r="AB201" s="11"/>
      <c r="AC201" s="11"/>
      <c r="AD201" s="11"/>
      <c r="AE201" s="11"/>
      <c r="AF201" s="11"/>
      <c r="AG201" s="6"/>
      <c r="AH201" s="6"/>
      <c r="AI201" s="6"/>
      <c r="AJ201" s="6"/>
      <c r="AK201" s="6"/>
      <c r="AL201" s="6"/>
      <c r="AM201" s="6"/>
      <c r="AN201" s="6"/>
      <c r="AO201" s="6"/>
      <c r="AP201" s="6"/>
      <c r="AQ201" s="6"/>
      <c r="AR201" s="6"/>
      <c r="AS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11"/>
      <c r="X202" s="11"/>
      <c r="Y202" s="11"/>
      <c r="Z202" s="11"/>
      <c r="AA202" s="11"/>
      <c r="AB202" s="11"/>
      <c r="AC202" s="11"/>
      <c r="AD202" s="11"/>
      <c r="AE202" s="11"/>
      <c r="AF202" s="11"/>
      <c r="AG202" s="6"/>
      <c r="AH202" s="6"/>
      <c r="AI202" s="6"/>
      <c r="AJ202" s="6"/>
      <c r="AK202" s="6"/>
      <c r="AL202" s="6"/>
      <c r="AM202" s="6"/>
      <c r="AN202" s="6"/>
      <c r="AO202" s="6"/>
      <c r="AP202" s="6"/>
      <c r="AQ202" s="6"/>
      <c r="AR202" s="6"/>
      <c r="AS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11"/>
      <c r="X203" s="11"/>
      <c r="Y203" s="11"/>
      <c r="Z203" s="11"/>
      <c r="AA203" s="11"/>
      <c r="AB203" s="11"/>
      <c r="AC203" s="11"/>
      <c r="AD203" s="11"/>
      <c r="AE203" s="11"/>
      <c r="AF203" s="11"/>
      <c r="AG203" s="6"/>
      <c r="AH203" s="6"/>
      <c r="AI203" s="6"/>
      <c r="AJ203" s="6"/>
      <c r="AK203" s="6"/>
      <c r="AL203" s="6"/>
      <c r="AM203" s="6"/>
      <c r="AN203" s="6"/>
      <c r="AO203" s="6"/>
      <c r="AP203" s="6"/>
      <c r="AQ203" s="6"/>
      <c r="AR203" s="6"/>
      <c r="AS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11"/>
      <c r="X204" s="11"/>
      <c r="Y204" s="11"/>
      <c r="Z204" s="11"/>
      <c r="AA204" s="11"/>
      <c r="AB204" s="11"/>
      <c r="AC204" s="11"/>
      <c r="AD204" s="11"/>
      <c r="AE204" s="11"/>
      <c r="AF204" s="11"/>
      <c r="AG204" s="6"/>
      <c r="AH204" s="6"/>
      <c r="AI204" s="6"/>
      <c r="AJ204" s="6"/>
      <c r="AK204" s="6"/>
      <c r="AL204" s="6"/>
      <c r="AM204" s="6"/>
      <c r="AN204" s="6"/>
      <c r="AO204" s="6"/>
      <c r="AP204" s="6"/>
      <c r="AQ204" s="6"/>
      <c r="AR204" s="6"/>
      <c r="AS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11"/>
      <c r="X205" s="11"/>
      <c r="Y205" s="11"/>
      <c r="Z205" s="11"/>
      <c r="AA205" s="11"/>
      <c r="AB205" s="11"/>
      <c r="AC205" s="11"/>
      <c r="AD205" s="11"/>
      <c r="AE205" s="11"/>
      <c r="AF205" s="11"/>
      <c r="AG205" s="6"/>
      <c r="AH205" s="6"/>
      <c r="AI205" s="6"/>
      <c r="AJ205" s="6"/>
      <c r="AK205" s="6"/>
      <c r="AL205" s="6"/>
      <c r="AM205" s="6"/>
      <c r="AN205" s="6"/>
      <c r="AO205" s="6"/>
      <c r="AP205" s="6"/>
      <c r="AQ205" s="6"/>
      <c r="AR205" s="6"/>
      <c r="AS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11"/>
      <c r="X206" s="11"/>
      <c r="Y206" s="11"/>
      <c r="Z206" s="11"/>
      <c r="AA206" s="11"/>
      <c r="AB206" s="11"/>
      <c r="AC206" s="11"/>
      <c r="AD206" s="11"/>
      <c r="AE206" s="11"/>
      <c r="AF206" s="11"/>
      <c r="AG206" s="6"/>
      <c r="AH206" s="6"/>
      <c r="AI206" s="6"/>
      <c r="AJ206" s="6"/>
      <c r="AK206" s="6"/>
      <c r="AL206" s="6"/>
      <c r="AM206" s="6"/>
      <c r="AN206" s="6"/>
      <c r="AO206" s="6"/>
      <c r="AP206" s="6"/>
      <c r="AQ206" s="6"/>
      <c r="AR206" s="6"/>
      <c r="AS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11"/>
      <c r="X207" s="11"/>
      <c r="Y207" s="11"/>
      <c r="Z207" s="11"/>
      <c r="AA207" s="11"/>
      <c r="AB207" s="11"/>
      <c r="AC207" s="11"/>
      <c r="AD207" s="11"/>
      <c r="AE207" s="11"/>
      <c r="AF207" s="11"/>
      <c r="AG207" s="6"/>
      <c r="AH207" s="6"/>
      <c r="AI207" s="6"/>
      <c r="AJ207" s="6"/>
      <c r="AK207" s="6"/>
      <c r="AL207" s="6"/>
      <c r="AM207" s="6"/>
      <c r="AN207" s="6"/>
      <c r="AO207" s="6"/>
      <c r="AP207" s="6"/>
      <c r="AQ207" s="6"/>
      <c r="AR207" s="6"/>
      <c r="AS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11"/>
      <c r="X208" s="11"/>
      <c r="Y208" s="11"/>
      <c r="Z208" s="11"/>
      <c r="AA208" s="11"/>
      <c r="AB208" s="11"/>
      <c r="AC208" s="11"/>
      <c r="AD208" s="11"/>
      <c r="AE208" s="11"/>
      <c r="AF208" s="11"/>
      <c r="AG208" s="6"/>
      <c r="AH208" s="6"/>
      <c r="AI208" s="6"/>
      <c r="AJ208" s="6"/>
      <c r="AK208" s="6"/>
      <c r="AL208" s="6"/>
      <c r="AM208" s="6"/>
      <c r="AN208" s="6"/>
      <c r="AO208" s="6"/>
      <c r="AP208" s="6"/>
      <c r="AQ208" s="6"/>
      <c r="AR208" s="6"/>
      <c r="AS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11"/>
      <c r="X209" s="11"/>
      <c r="Y209" s="11"/>
      <c r="Z209" s="11"/>
      <c r="AA209" s="11"/>
      <c r="AB209" s="11"/>
      <c r="AC209" s="11"/>
      <c r="AD209" s="11"/>
      <c r="AE209" s="11"/>
      <c r="AF209" s="11"/>
      <c r="AG209" s="6"/>
      <c r="AH209" s="6"/>
      <c r="AI209" s="6"/>
      <c r="AJ209" s="6"/>
      <c r="AK209" s="6"/>
      <c r="AL209" s="6"/>
      <c r="AM209" s="6"/>
      <c r="AN209" s="6"/>
      <c r="AO209" s="6"/>
      <c r="AP209" s="6"/>
      <c r="AQ209" s="6"/>
      <c r="AR209" s="6"/>
      <c r="AS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11"/>
      <c r="X210" s="11"/>
      <c r="Y210" s="11"/>
      <c r="Z210" s="11"/>
      <c r="AA210" s="11"/>
      <c r="AB210" s="11"/>
      <c r="AC210" s="11"/>
      <c r="AD210" s="11"/>
      <c r="AE210" s="11"/>
      <c r="AF210" s="11"/>
      <c r="AG210" s="6"/>
      <c r="AH210" s="6"/>
      <c r="AI210" s="6"/>
      <c r="AJ210" s="6"/>
      <c r="AK210" s="6"/>
      <c r="AL210" s="6"/>
      <c r="AM210" s="6"/>
      <c r="AN210" s="6"/>
      <c r="AO210" s="6"/>
      <c r="AP210" s="6"/>
      <c r="AQ210" s="6"/>
      <c r="AR210" s="6"/>
      <c r="AS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11"/>
      <c r="X211" s="11"/>
      <c r="Y211" s="11"/>
      <c r="Z211" s="11"/>
      <c r="AA211" s="11"/>
      <c r="AB211" s="11"/>
      <c r="AC211" s="11"/>
      <c r="AD211" s="11"/>
      <c r="AE211" s="11"/>
      <c r="AF211" s="11"/>
      <c r="AG211" s="6"/>
      <c r="AH211" s="6"/>
      <c r="AI211" s="6"/>
      <c r="AJ211" s="6"/>
      <c r="AK211" s="6"/>
      <c r="AL211" s="6"/>
      <c r="AM211" s="6"/>
      <c r="AN211" s="6"/>
      <c r="AO211" s="6"/>
      <c r="AP211" s="6"/>
      <c r="AQ211" s="6"/>
      <c r="AR211" s="6"/>
      <c r="AS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11"/>
      <c r="X212" s="11"/>
      <c r="Y212" s="11"/>
      <c r="Z212" s="11"/>
      <c r="AA212" s="11"/>
      <c r="AB212" s="11"/>
      <c r="AC212" s="11"/>
      <c r="AD212" s="11"/>
      <c r="AE212" s="11"/>
      <c r="AF212" s="11"/>
      <c r="AG212" s="6"/>
      <c r="AH212" s="6"/>
      <c r="AI212" s="6"/>
      <c r="AJ212" s="6"/>
      <c r="AK212" s="6"/>
      <c r="AL212" s="6"/>
      <c r="AM212" s="6"/>
      <c r="AN212" s="6"/>
      <c r="AO212" s="6"/>
      <c r="AP212" s="6"/>
      <c r="AQ212" s="6"/>
      <c r="AR212" s="6"/>
      <c r="AS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11"/>
      <c r="X213" s="11"/>
      <c r="Y213" s="11"/>
      <c r="Z213" s="11"/>
      <c r="AA213" s="11"/>
      <c r="AB213" s="11"/>
      <c r="AC213" s="11"/>
      <c r="AD213" s="11"/>
      <c r="AE213" s="11"/>
      <c r="AF213" s="11"/>
      <c r="AG213" s="6"/>
      <c r="AH213" s="6"/>
      <c r="AI213" s="6"/>
      <c r="AJ213" s="6"/>
      <c r="AK213" s="6"/>
      <c r="AL213" s="6"/>
      <c r="AM213" s="6"/>
      <c r="AN213" s="6"/>
      <c r="AO213" s="6"/>
      <c r="AP213" s="6"/>
      <c r="AQ213" s="6"/>
      <c r="AR213" s="6"/>
      <c r="AS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11"/>
      <c r="X214" s="11"/>
      <c r="Y214" s="11"/>
      <c r="Z214" s="11"/>
      <c r="AA214" s="11"/>
      <c r="AB214" s="11"/>
      <c r="AC214" s="11"/>
      <c r="AD214" s="11"/>
      <c r="AE214" s="11"/>
      <c r="AF214" s="11"/>
      <c r="AG214" s="6"/>
      <c r="AH214" s="6"/>
      <c r="AI214" s="6"/>
      <c r="AJ214" s="6"/>
      <c r="AK214" s="6"/>
      <c r="AL214" s="6"/>
      <c r="AM214" s="6"/>
      <c r="AN214" s="6"/>
      <c r="AO214" s="6"/>
      <c r="AP214" s="6"/>
      <c r="AQ214" s="6"/>
      <c r="AR214" s="6"/>
      <c r="AS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11"/>
      <c r="X215" s="11"/>
      <c r="Y215" s="11"/>
      <c r="Z215" s="11"/>
      <c r="AA215" s="11"/>
      <c r="AB215" s="11"/>
      <c r="AC215" s="11"/>
      <c r="AD215" s="11"/>
      <c r="AE215" s="11"/>
      <c r="AF215" s="11"/>
      <c r="AG215" s="6"/>
      <c r="AH215" s="6"/>
      <c r="AI215" s="6"/>
      <c r="AJ215" s="6"/>
      <c r="AK215" s="6"/>
      <c r="AL215" s="6"/>
      <c r="AM215" s="6"/>
      <c r="AN215" s="6"/>
      <c r="AO215" s="6"/>
      <c r="AP215" s="6"/>
      <c r="AQ215" s="6"/>
      <c r="AR215" s="6"/>
      <c r="AS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11"/>
      <c r="X216" s="11"/>
      <c r="Y216" s="11"/>
      <c r="Z216" s="11"/>
      <c r="AA216" s="11"/>
      <c r="AB216" s="11"/>
      <c r="AC216" s="11"/>
      <c r="AD216" s="11"/>
      <c r="AE216" s="11"/>
      <c r="AF216" s="11"/>
      <c r="AG216" s="6"/>
      <c r="AH216" s="6"/>
      <c r="AI216" s="6"/>
      <c r="AJ216" s="6"/>
      <c r="AK216" s="6"/>
      <c r="AL216" s="6"/>
      <c r="AM216" s="6"/>
      <c r="AN216" s="6"/>
      <c r="AO216" s="6"/>
      <c r="AP216" s="6"/>
      <c r="AQ216" s="6"/>
      <c r="AR216" s="6"/>
      <c r="AS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11"/>
      <c r="X217" s="11"/>
      <c r="Y217" s="11"/>
      <c r="Z217" s="11"/>
      <c r="AA217" s="11"/>
      <c r="AB217" s="11"/>
      <c r="AC217" s="11"/>
      <c r="AD217" s="11"/>
      <c r="AE217" s="11"/>
      <c r="AF217" s="11"/>
      <c r="AG217" s="6"/>
      <c r="AH217" s="6"/>
      <c r="AI217" s="6"/>
      <c r="AJ217" s="6"/>
      <c r="AK217" s="6"/>
      <c r="AL217" s="6"/>
      <c r="AM217" s="6"/>
      <c r="AN217" s="6"/>
      <c r="AO217" s="6"/>
      <c r="AP217" s="6"/>
      <c r="AQ217" s="6"/>
      <c r="AR217" s="6"/>
      <c r="AS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11"/>
      <c r="X218" s="11"/>
      <c r="Y218" s="11"/>
      <c r="Z218" s="11"/>
      <c r="AA218" s="11"/>
      <c r="AB218" s="11"/>
      <c r="AC218" s="11"/>
      <c r="AD218" s="11"/>
      <c r="AE218" s="11"/>
      <c r="AF218" s="11"/>
      <c r="AG218" s="6"/>
      <c r="AH218" s="6"/>
      <c r="AI218" s="6"/>
      <c r="AJ218" s="6"/>
      <c r="AK218" s="6"/>
      <c r="AL218" s="6"/>
      <c r="AM218" s="6"/>
      <c r="AN218" s="6"/>
      <c r="AO218" s="6"/>
      <c r="AP218" s="6"/>
      <c r="AQ218" s="6"/>
      <c r="AR218" s="6"/>
      <c r="AS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11"/>
      <c r="X219" s="11"/>
      <c r="Y219" s="11"/>
      <c r="Z219" s="11"/>
      <c r="AA219" s="11"/>
      <c r="AB219" s="11"/>
      <c r="AC219" s="11"/>
      <c r="AD219" s="11"/>
      <c r="AE219" s="11"/>
      <c r="AF219" s="11"/>
      <c r="AG219" s="6"/>
      <c r="AH219" s="6"/>
      <c r="AI219" s="6"/>
      <c r="AJ219" s="6"/>
      <c r="AK219" s="6"/>
      <c r="AL219" s="6"/>
      <c r="AM219" s="6"/>
      <c r="AN219" s="6"/>
      <c r="AO219" s="6"/>
      <c r="AP219" s="6"/>
      <c r="AQ219" s="6"/>
      <c r="AR219" s="6"/>
      <c r="AS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11"/>
      <c r="X220" s="11"/>
      <c r="Y220" s="11"/>
      <c r="Z220" s="11"/>
      <c r="AA220" s="11"/>
      <c r="AB220" s="11"/>
      <c r="AC220" s="11"/>
      <c r="AD220" s="11"/>
      <c r="AE220" s="11"/>
      <c r="AF220" s="11"/>
      <c r="AG220" s="6"/>
      <c r="AH220" s="6"/>
      <c r="AI220" s="6"/>
      <c r="AJ220" s="6"/>
      <c r="AK220" s="6"/>
      <c r="AL220" s="6"/>
      <c r="AM220" s="6"/>
      <c r="AN220" s="6"/>
      <c r="AO220" s="6"/>
      <c r="AP220" s="6"/>
      <c r="AQ220" s="6"/>
      <c r="AR220" s="6"/>
      <c r="AS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11"/>
      <c r="X221" s="11"/>
      <c r="Y221" s="11"/>
      <c r="Z221" s="11"/>
      <c r="AA221" s="11"/>
      <c r="AB221" s="11"/>
      <c r="AC221" s="11"/>
      <c r="AD221" s="11"/>
      <c r="AE221" s="11"/>
      <c r="AF221" s="11"/>
      <c r="AG221" s="6"/>
      <c r="AH221" s="6"/>
      <c r="AI221" s="6"/>
      <c r="AJ221" s="6"/>
      <c r="AK221" s="6"/>
      <c r="AL221" s="6"/>
      <c r="AM221" s="6"/>
      <c r="AN221" s="6"/>
      <c r="AO221" s="6"/>
      <c r="AP221" s="6"/>
      <c r="AQ221" s="6"/>
      <c r="AR221" s="6"/>
      <c r="AS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11"/>
      <c r="X222" s="11"/>
      <c r="Y222" s="11"/>
      <c r="Z222" s="11"/>
      <c r="AA222" s="11"/>
      <c r="AB222" s="11"/>
      <c r="AC222" s="11"/>
      <c r="AD222" s="11"/>
      <c r="AE222" s="11"/>
      <c r="AF222" s="11"/>
      <c r="AG222" s="6"/>
      <c r="AH222" s="6"/>
      <c r="AI222" s="6"/>
      <c r="AJ222" s="6"/>
      <c r="AK222" s="6"/>
      <c r="AL222" s="6"/>
      <c r="AM222" s="6"/>
      <c r="AN222" s="6"/>
      <c r="AO222" s="6"/>
      <c r="AP222" s="6"/>
      <c r="AQ222" s="6"/>
      <c r="AR222" s="6"/>
      <c r="AS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11"/>
      <c r="X223" s="11"/>
      <c r="Y223" s="11"/>
      <c r="Z223" s="11"/>
      <c r="AA223" s="11"/>
      <c r="AB223" s="11"/>
      <c r="AC223" s="11"/>
      <c r="AD223" s="11"/>
      <c r="AE223" s="11"/>
      <c r="AF223" s="11"/>
      <c r="AG223" s="6"/>
      <c r="AH223" s="6"/>
      <c r="AI223" s="6"/>
      <c r="AJ223" s="6"/>
      <c r="AK223" s="6"/>
      <c r="AL223" s="6"/>
      <c r="AM223" s="6"/>
      <c r="AN223" s="6"/>
      <c r="AO223" s="6"/>
      <c r="AP223" s="6"/>
      <c r="AQ223" s="6"/>
      <c r="AR223" s="6"/>
      <c r="AS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11"/>
      <c r="X224" s="11"/>
      <c r="Y224" s="11"/>
      <c r="Z224" s="11"/>
      <c r="AA224" s="11"/>
      <c r="AB224" s="11"/>
      <c r="AC224" s="11"/>
      <c r="AD224" s="11"/>
      <c r="AE224" s="11"/>
      <c r="AF224" s="11"/>
      <c r="AG224" s="6"/>
      <c r="AH224" s="6"/>
      <c r="AI224" s="6"/>
      <c r="AJ224" s="6"/>
      <c r="AK224" s="6"/>
      <c r="AL224" s="6"/>
      <c r="AM224" s="6"/>
      <c r="AN224" s="6"/>
      <c r="AO224" s="6"/>
      <c r="AP224" s="6"/>
      <c r="AQ224" s="6"/>
      <c r="AR224" s="6"/>
      <c r="AS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11"/>
      <c r="X225" s="11"/>
      <c r="Y225" s="11"/>
      <c r="Z225" s="11"/>
      <c r="AA225" s="11"/>
      <c r="AB225" s="11"/>
      <c r="AC225" s="11"/>
      <c r="AD225" s="11"/>
      <c r="AE225" s="11"/>
      <c r="AF225" s="11"/>
      <c r="AG225" s="6"/>
      <c r="AH225" s="6"/>
      <c r="AI225" s="6"/>
      <c r="AJ225" s="6"/>
      <c r="AK225" s="6"/>
      <c r="AL225" s="6"/>
      <c r="AM225" s="6"/>
      <c r="AN225" s="6"/>
      <c r="AO225" s="6"/>
      <c r="AP225" s="6"/>
      <c r="AQ225" s="6"/>
      <c r="AR225" s="6"/>
      <c r="AS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11"/>
      <c r="X226" s="11"/>
      <c r="Y226" s="11"/>
      <c r="Z226" s="11"/>
      <c r="AA226" s="11"/>
      <c r="AB226" s="11"/>
      <c r="AC226" s="11"/>
      <c r="AD226" s="11"/>
      <c r="AE226" s="11"/>
      <c r="AF226" s="11"/>
      <c r="AG226" s="6"/>
      <c r="AH226" s="6"/>
      <c r="AI226" s="6"/>
      <c r="AJ226" s="6"/>
      <c r="AK226" s="6"/>
      <c r="AL226" s="6"/>
      <c r="AM226" s="6"/>
      <c r="AN226" s="6"/>
      <c r="AO226" s="6"/>
      <c r="AP226" s="6"/>
      <c r="AQ226" s="6"/>
      <c r="AR226" s="6"/>
      <c r="AS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11"/>
      <c r="X227" s="11"/>
      <c r="Y227" s="11"/>
      <c r="Z227" s="11"/>
      <c r="AA227" s="11"/>
      <c r="AB227" s="11"/>
      <c r="AC227" s="11"/>
      <c r="AD227" s="11"/>
      <c r="AE227" s="11"/>
      <c r="AF227" s="11"/>
      <c r="AG227" s="6"/>
      <c r="AH227" s="6"/>
      <c r="AI227" s="6"/>
      <c r="AJ227" s="6"/>
      <c r="AK227" s="6"/>
      <c r="AL227" s="6"/>
      <c r="AM227" s="6"/>
      <c r="AN227" s="6"/>
      <c r="AO227" s="6"/>
      <c r="AP227" s="6"/>
      <c r="AQ227" s="6"/>
      <c r="AR227" s="6"/>
      <c r="AS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11"/>
      <c r="X228" s="11"/>
      <c r="Y228" s="11"/>
      <c r="Z228" s="11"/>
      <c r="AA228" s="11"/>
      <c r="AB228" s="11"/>
      <c r="AC228" s="11"/>
      <c r="AD228" s="11"/>
      <c r="AE228" s="11"/>
      <c r="AF228" s="11"/>
      <c r="AG228" s="6"/>
      <c r="AH228" s="6"/>
      <c r="AI228" s="6"/>
      <c r="AJ228" s="6"/>
      <c r="AK228" s="6"/>
      <c r="AL228" s="6"/>
      <c r="AM228" s="6"/>
      <c r="AN228" s="6"/>
      <c r="AO228" s="6"/>
      <c r="AP228" s="6"/>
      <c r="AQ228" s="6"/>
      <c r="AR228" s="6"/>
      <c r="AS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11"/>
      <c r="X229" s="11"/>
      <c r="Y229" s="11"/>
      <c r="Z229" s="11"/>
      <c r="AA229" s="11"/>
      <c r="AB229" s="11"/>
      <c r="AC229" s="11"/>
      <c r="AD229" s="11"/>
      <c r="AE229" s="11"/>
      <c r="AF229" s="11"/>
      <c r="AG229" s="6"/>
      <c r="AH229" s="6"/>
      <c r="AI229" s="6"/>
      <c r="AJ229" s="6"/>
      <c r="AK229" s="6"/>
      <c r="AL229" s="6"/>
      <c r="AM229" s="6"/>
      <c r="AN229" s="6"/>
      <c r="AO229" s="6"/>
      <c r="AP229" s="6"/>
      <c r="AQ229" s="6"/>
      <c r="AR229" s="6"/>
      <c r="AS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11"/>
      <c r="X230" s="11"/>
      <c r="Y230" s="11"/>
      <c r="Z230" s="11"/>
      <c r="AA230" s="11"/>
      <c r="AB230" s="11"/>
      <c r="AC230" s="11"/>
      <c r="AD230" s="11"/>
      <c r="AE230" s="11"/>
      <c r="AF230" s="11"/>
      <c r="AG230" s="6"/>
      <c r="AH230" s="6"/>
      <c r="AI230" s="6"/>
      <c r="AJ230" s="6"/>
      <c r="AK230" s="6"/>
      <c r="AL230" s="6"/>
      <c r="AM230" s="6"/>
      <c r="AN230" s="6"/>
      <c r="AO230" s="6"/>
      <c r="AP230" s="6"/>
      <c r="AQ230" s="6"/>
      <c r="AR230" s="6"/>
      <c r="AS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11"/>
      <c r="X231" s="11"/>
      <c r="Y231" s="11"/>
      <c r="Z231" s="11"/>
      <c r="AA231" s="11"/>
      <c r="AB231" s="11"/>
      <c r="AC231" s="11"/>
      <c r="AD231" s="11"/>
      <c r="AE231" s="11"/>
      <c r="AF231" s="11"/>
      <c r="AG231" s="6"/>
      <c r="AH231" s="6"/>
      <c r="AI231" s="6"/>
      <c r="AJ231" s="6"/>
      <c r="AK231" s="6"/>
      <c r="AL231" s="6"/>
      <c r="AM231" s="6"/>
      <c r="AN231" s="6"/>
      <c r="AO231" s="6"/>
      <c r="AP231" s="6"/>
      <c r="AQ231" s="6"/>
      <c r="AR231" s="6"/>
      <c r="AS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11"/>
      <c r="X232" s="11"/>
      <c r="Y232" s="11"/>
      <c r="Z232" s="11"/>
      <c r="AA232" s="11"/>
      <c r="AB232" s="11"/>
      <c r="AC232" s="11"/>
      <c r="AD232" s="11"/>
      <c r="AE232" s="11"/>
      <c r="AF232" s="11"/>
      <c r="AG232" s="6"/>
      <c r="AH232" s="6"/>
      <c r="AI232" s="6"/>
      <c r="AJ232" s="6"/>
      <c r="AK232" s="6"/>
      <c r="AL232" s="6"/>
      <c r="AM232" s="6"/>
      <c r="AN232" s="6"/>
      <c r="AO232" s="6"/>
      <c r="AP232" s="6"/>
      <c r="AQ232" s="6"/>
      <c r="AR232" s="6"/>
      <c r="AS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11"/>
      <c r="X233" s="11"/>
      <c r="Y233" s="11"/>
      <c r="Z233" s="11"/>
      <c r="AA233" s="11"/>
      <c r="AB233" s="11"/>
      <c r="AC233" s="11"/>
      <c r="AD233" s="11"/>
      <c r="AE233" s="11"/>
      <c r="AF233" s="11"/>
      <c r="AG233" s="6"/>
      <c r="AH233" s="6"/>
      <c r="AI233" s="6"/>
      <c r="AJ233" s="6"/>
      <c r="AK233" s="6"/>
      <c r="AL233" s="6"/>
      <c r="AM233" s="6"/>
      <c r="AN233" s="6"/>
      <c r="AO233" s="6"/>
      <c r="AP233" s="6"/>
      <c r="AQ233" s="6"/>
      <c r="AR233" s="6"/>
      <c r="AS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11"/>
      <c r="X234" s="11"/>
      <c r="Y234" s="11"/>
      <c r="Z234" s="11"/>
      <c r="AA234" s="11"/>
      <c r="AB234" s="11"/>
      <c r="AC234" s="11"/>
      <c r="AD234" s="11"/>
      <c r="AE234" s="11"/>
      <c r="AF234" s="11"/>
      <c r="AG234" s="6"/>
      <c r="AH234" s="6"/>
      <c r="AI234" s="6"/>
      <c r="AJ234" s="6"/>
      <c r="AK234" s="6"/>
      <c r="AL234" s="6"/>
      <c r="AM234" s="6"/>
      <c r="AN234" s="6"/>
      <c r="AO234" s="6"/>
      <c r="AP234" s="6"/>
      <c r="AQ234" s="6"/>
      <c r="AR234" s="6"/>
      <c r="AS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11"/>
      <c r="X235" s="11"/>
      <c r="Y235" s="11"/>
      <c r="Z235" s="11"/>
      <c r="AA235" s="11"/>
      <c r="AB235" s="11"/>
      <c r="AC235" s="11"/>
      <c r="AD235" s="11"/>
      <c r="AE235" s="11"/>
      <c r="AF235" s="11"/>
      <c r="AG235" s="6"/>
      <c r="AH235" s="6"/>
      <c r="AI235" s="6"/>
      <c r="AJ235" s="6"/>
      <c r="AK235" s="6"/>
      <c r="AL235" s="6"/>
      <c r="AM235" s="6"/>
      <c r="AN235" s="6"/>
      <c r="AO235" s="6"/>
      <c r="AP235" s="6"/>
      <c r="AQ235" s="6"/>
      <c r="AR235" s="6"/>
      <c r="AS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11"/>
      <c r="X236" s="11"/>
      <c r="Y236" s="11"/>
      <c r="Z236" s="11"/>
      <c r="AA236" s="11"/>
      <c r="AB236" s="11"/>
      <c r="AC236" s="11"/>
      <c r="AD236" s="11"/>
      <c r="AE236" s="11"/>
      <c r="AF236" s="11"/>
      <c r="AG236" s="6"/>
      <c r="AH236" s="6"/>
      <c r="AI236" s="6"/>
      <c r="AJ236" s="6"/>
      <c r="AK236" s="6"/>
      <c r="AL236" s="6"/>
      <c r="AM236" s="6"/>
      <c r="AN236" s="6"/>
      <c r="AO236" s="6"/>
      <c r="AP236" s="6"/>
      <c r="AQ236" s="6"/>
      <c r="AR236" s="6"/>
      <c r="AS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11"/>
      <c r="X237" s="11"/>
      <c r="Y237" s="11"/>
      <c r="Z237" s="11"/>
      <c r="AA237" s="11"/>
      <c r="AB237" s="11"/>
      <c r="AC237" s="11"/>
      <c r="AD237" s="11"/>
      <c r="AE237" s="11"/>
      <c r="AF237" s="11"/>
      <c r="AG237" s="6"/>
      <c r="AH237" s="6"/>
      <c r="AI237" s="6"/>
      <c r="AJ237" s="6"/>
      <c r="AK237" s="6"/>
      <c r="AL237" s="6"/>
      <c r="AM237" s="6"/>
      <c r="AN237" s="6"/>
      <c r="AO237" s="6"/>
      <c r="AP237" s="6"/>
      <c r="AQ237" s="6"/>
      <c r="AR237" s="6"/>
      <c r="AS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11"/>
      <c r="X238" s="11"/>
      <c r="Y238" s="11"/>
      <c r="Z238" s="11"/>
      <c r="AA238" s="11"/>
      <c r="AB238" s="11"/>
      <c r="AC238" s="11"/>
      <c r="AD238" s="11"/>
      <c r="AE238" s="11"/>
      <c r="AF238" s="11"/>
      <c r="AG238" s="6"/>
      <c r="AH238" s="6"/>
      <c r="AI238" s="6"/>
      <c r="AJ238" s="6"/>
      <c r="AK238" s="6"/>
      <c r="AL238" s="6"/>
      <c r="AM238" s="6"/>
      <c r="AN238" s="6"/>
      <c r="AO238" s="6"/>
      <c r="AP238" s="6"/>
      <c r="AQ238" s="6"/>
      <c r="AR238" s="6"/>
      <c r="AS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11"/>
      <c r="X239" s="11"/>
      <c r="Y239" s="11"/>
      <c r="Z239" s="11"/>
      <c r="AA239" s="11"/>
      <c r="AB239" s="11"/>
      <c r="AC239" s="11"/>
      <c r="AD239" s="11"/>
      <c r="AE239" s="11"/>
      <c r="AF239" s="11"/>
      <c r="AG239" s="6"/>
      <c r="AH239" s="6"/>
      <c r="AI239" s="6"/>
      <c r="AJ239" s="6"/>
      <c r="AK239" s="6"/>
      <c r="AL239" s="6"/>
      <c r="AM239" s="6"/>
      <c r="AN239" s="6"/>
      <c r="AO239" s="6"/>
      <c r="AP239" s="6"/>
      <c r="AQ239" s="6"/>
      <c r="AR239" s="6"/>
      <c r="AS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11"/>
      <c r="X240" s="11"/>
      <c r="Y240" s="11"/>
      <c r="Z240" s="11"/>
      <c r="AA240" s="11"/>
      <c r="AB240" s="11"/>
      <c r="AC240" s="11"/>
      <c r="AD240" s="11"/>
      <c r="AE240" s="11"/>
      <c r="AF240" s="11"/>
      <c r="AG240" s="6"/>
      <c r="AH240" s="6"/>
      <c r="AI240" s="6"/>
      <c r="AJ240" s="6"/>
      <c r="AK240" s="6"/>
      <c r="AL240" s="6"/>
      <c r="AM240" s="6"/>
      <c r="AN240" s="6"/>
      <c r="AO240" s="6"/>
      <c r="AP240" s="6"/>
      <c r="AQ240" s="6"/>
      <c r="AR240" s="6"/>
      <c r="AS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11"/>
      <c r="X241" s="11"/>
      <c r="Y241" s="11"/>
      <c r="Z241" s="11"/>
      <c r="AA241" s="11"/>
      <c r="AB241" s="11"/>
      <c r="AC241" s="11"/>
      <c r="AD241" s="11"/>
      <c r="AE241" s="11"/>
      <c r="AF241" s="11"/>
      <c r="AG241" s="6"/>
      <c r="AH241" s="6"/>
      <c r="AI241" s="6"/>
      <c r="AJ241" s="6"/>
      <c r="AK241" s="6"/>
      <c r="AL241" s="6"/>
      <c r="AM241" s="6"/>
      <c r="AN241" s="6"/>
      <c r="AO241" s="6"/>
      <c r="AP241" s="6"/>
      <c r="AQ241" s="6"/>
      <c r="AR241" s="6"/>
      <c r="AS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11"/>
      <c r="X242" s="11"/>
      <c r="Y242" s="11"/>
      <c r="Z242" s="11"/>
      <c r="AA242" s="11"/>
      <c r="AB242" s="11"/>
      <c r="AC242" s="11"/>
      <c r="AD242" s="11"/>
      <c r="AE242" s="11"/>
      <c r="AF242" s="11"/>
      <c r="AG242" s="6"/>
      <c r="AH242" s="6"/>
      <c r="AI242" s="6"/>
      <c r="AJ242" s="6"/>
      <c r="AK242" s="6"/>
      <c r="AL242" s="6"/>
      <c r="AM242" s="6"/>
      <c r="AN242" s="6"/>
      <c r="AO242" s="6"/>
      <c r="AP242" s="6"/>
      <c r="AQ242" s="6"/>
      <c r="AR242" s="6"/>
      <c r="AS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11"/>
      <c r="X243" s="11"/>
      <c r="Y243" s="11"/>
      <c r="Z243" s="11"/>
      <c r="AA243" s="11"/>
      <c r="AB243" s="11"/>
      <c r="AC243" s="11"/>
      <c r="AD243" s="11"/>
      <c r="AE243" s="11"/>
      <c r="AF243" s="11"/>
      <c r="AG243" s="6"/>
      <c r="AH243" s="6"/>
      <c r="AI243" s="6"/>
      <c r="AJ243" s="6"/>
      <c r="AK243" s="6"/>
      <c r="AL243" s="6"/>
      <c r="AM243" s="6"/>
      <c r="AN243" s="6"/>
      <c r="AO243" s="6"/>
      <c r="AP243" s="6"/>
      <c r="AQ243" s="6"/>
      <c r="AR243" s="6"/>
      <c r="AS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11"/>
      <c r="X244" s="11"/>
      <c r="Y244" s="11"/>
      <c r="Z244" s="11"/>
      <c r="AA244" s="11"/>
      <c r="AB244" s="11"/>
      <c r="AC244" s="11"/>
      <c r="AD244" s="11"/>
      <c r="AE244" s="11"/>
      <c r="AF244" s="11"/>
      <c r="AG244" s="6"/>
      <c r="AH244" s="6"/>
      <c r="AI244" s="6"/>
      <c r="AJ244" s="6"/>
      <c r="AK244" s="6"/>
      <c r="AL244" s="6"/>
      <c r="AM244" s="6"/>
      <c r="AN244" s="6"/>
      <c r="AO244" s="6"/>
      <c r="AP244" s="6"/>
      <c r="AQ244" s="6"/>
      <c r="AR244" s="6"/>
      <c r="AS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11"/>
      <c r="X245" s="11"/>
      <c r="Y245" s="11"/>
      <c r="Z245" s="11"/>
      <c r="AA245" s="11"/>
      <c r="AB245" s="11"/>
      <c r="AC245" s="11"/>
      <c r="AD245" s="11"/>
      <c r="AE245" s="11"/>
      <c r="AF245" s="11"/>
      <c r="AG245" s="6"/>
      <c r="AH245" s="6"/>
      <c r="AI245" s="6"/>
      <c r="AJ245" s="6"/>
      <c r="AK245" s="6"/>
      <c r="AL245" s="6"/>
      <c r="AM245" s="6"/>
      <c r="AN245" s="6"/>
      <c r="AO245" s="6"/>
      <c r="AP245" s="6"/>
      <c r="AQ245" s="6"/>
      <c r="AR245" s="6"/>
      <c r="AS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11"/>
      <c r="X246" s="11"/>
      <c r="Y246" s="11"/>
      <c r="Z246" s="11"/>
      <c r="AA246" s="11"/>
      <c r="AB246" s="11"/>
      <c r="AC246" s="11"/>
      <c r="AD246" s="11"/>
      <c r="AE246" s="11"/>
      <c r="AF246" s="11"/>
      <c r="AG246" s="6"/>
      <c r="AH246" s="6"/>
      <c r="AI246" s="6"/>
      <c r="AJ246" s="6"/>
      <c r="AK246" s="6"/>
      <c r="AL246" s="6"/>
      <c r="AM246" s="6"/>
      <c r="AN246" s="6"/>
      <c r="AO246" s="6"/>
      <c r="AP246" s="6"/>
      <c r="AQ246" s="6"/>
      <c r="AR246" s="6"/>
      <c r="AS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11"/>
      <c r="X247" s="11"/>
      <c r="Y247" s="11"/>
      <c r="Z247" s="11"/>
      <c r="AA247" s="11"/>
      <c r="AB247" s="11"/>
      <c r="AC247" s="11"/>
      <c r="AD247" s="11"/>
      <c r="AE247" s="11"/>
      <c r="AF247" s="11"/>
      <c r="AG247" s="6"/>
      <c r="AH247" s="6"/>
      <c r="AI247" s="6"/>
      <c r="AJ247" s="6"/>
      <c r="AK247" s="6"/>
      <c r="AL247" s="6"/>
      <c r="AM247" s="6"/>
      <c r="AN247" s="6"/>
      <c r="AO247" s="6"/>
      <c r="AP247" s="6"/>
      <c r="AQ247" s="6"/>
      <c r="AR247" s="6"/>
      <c r="AS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11"/>
      <c r="X248" s="11"/>
      <c r="Y248" s="11"/>
      <c r="Z248" s="11"/>
      <c r="AA248" s="11"/>
      <c r="AB248" s="11"/>
      <c r="AC248" s="11"/>
      <c r="AD248" s="11"/>
      <c r="AE248" s="11"/>
      <c r="AF248" s="11"/>
      <c r="AG248" s="6"/>
      <c r="AH248" s="6"/>
      <c r="AI248" s="6"/>
      <c r="AJ248" s="6"/>
      <c r="AK248" s="6"/>
      <c r="AL248" s="6"/>
      <c r="AM248" s="6"/>
      <c r="AN248" s="6"/>
      <c r="AO248" s="6"/>
      <c r="AP248" s="6"/>
      <c r="AQ248" s="6"/>
      <c r="AR248" s="6"/>
      <c r="AS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11"/>
      <c r="X249" s="11"/>
      <c r="Y249" s="11"/>
      <c r="Z249" s="11"/>
      <c r="AA249" s="11"/>
      <c r="AB249" s="11"/>
      <c r="AC249" s="11"/>
      <c r="AD249" s="11"/>
      <c r="AE249" s="11"/>
      <c r="AF249" s="11"/>
      <c r="AG249" s="6"/>
      <c r="AH249" s="6"/>
      <c r="AI249" s="6"/>
      <c r="AJ249" s="6"/>
      <c r="AK249" s="6"/>
      <c r="AL249" s="6"/>
      <c r="AM249" s="6"/>
      <c r="AN249" s="6"/>
      <c r="AO249" s="6"/>
      <c r="AP249" s="6"/>
      <c r="AQ249" s="6"/>
      <c r="AR249" s="6"/>
      <c r="AS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11"/>
      <c r="X250" s="11"/>
      <c r="Y250" s="11"/>
      <c r="Z250" s="11"/>
      <c r="AA250" s="11"/>
      <c r="AB250" s="11"/>
      <c r="AC250" s="11"/>
      <c r="AD250" s="11"/>
      <c r="AE250" s="11"/>
      <c r="AF250" s="11"/>
      <c r="AG250" s="6"/>
      <c r="AH250" s="6"/>
      <c r="AI250" s="6"/>
      <c r="AJ250" s="6"/>
      <c r="AK250" s="6"/>
      <c r="AL250" s="6"/>
      <c r="AM250" s="6"/>
      <c r="AN250" s="6"/>
      <c r="AO250" s="6"/>
      <c r="AP250" s="6"/>
      <c r="AQ250" s="6"/>
      <c r="AR250" s="6"/>
      <c r="AS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11"/>
      <c r="X251" s="11"/>
      <c r="Y251" s="11"/>
      <c r="Z251" s="11"/>
      <c r="AA251" s="11"/>
      <c r="AB251" s="11"/>
      <c r="AC251" s="11"/>
      <c r="AD251" s="11"/>
      <c r="AE251" s="11"/>
      <c r="AF251" s="11"/>
      <c r="AG251" s="6"/>
      <c r="AH251" s="6"/>
      <c r="AI251" s="6"/>
      <c r="AJ251" s="6"/>
      <c r="AK251" s="6"/>
      <c r="AL251" s="6"/>
      <c r="AM251" s="6"/>
      <c r="AN251" s="6"/>
      <c r="AO251" s="6"/>
      <c r="AP251" s="6"/>
      <c r="AQ251" s="6"/>
      <c r="AR251" s="6"/>
      <c r="AS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11"/>
      <c r="X252" s="11"/>
      <c r="Y252" s="11"/>
      <c r="Z252" s="11"/>
      <c r="AA252" s="11"/>
      <c r="AB252" s="11"/>
      <c r="AC252" s="11"/>
      <c r="AD252" s="11"/>
      <c r="AE252" s="11"/>
      <c r="AF252" s="11"/>
      <c r="AG252" s="6"/>
      <c r="AH252" s="6"/>
      <c r="AI252" s="6"/>
      <c r="AJ252" s="6"/>
      <c r="AK252" s="6"/>
      <c r="AL252" s="6"/>
      <c r="AM252" s="6"/>
      <c r="AN252" s="6"/>
      <c r="AO252" s="6"/>
      <c r="AP252" s="6"/>
      <c r="AQ252" s="6"/>
      <c r="AR252" s="6"/>
      <c r="AS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11"/>
      <c r="X253" s="11"/>
      <c r="Y253" s="11"/>
      <c r="Z253" s="11"/>
      <c r="AA253" s="11"/>
      <c r="AB253" s="11"/>
      <c r="AC253" s="11"/>
      <c r="AD253" s="11"/>
      <c r="AE253" s="11"/>
      <c r="AF253" s="11"/>
      <c r="AG253" s="6"/>
      <c r="AH253" s="6"/>
      <c r="AI253" s="6"/>
      <c r="AJ253" s="6"/>
      <c r="AK253" s="6"/>
      <c r="AL253" s="6"/>
      <c r="AM253" s="6"/>
      <c r="AN253" s="6"/>
      <c r="AO253" s="6"/>
      <c r="AP253" s="6"/>
      <c r="AQ253" s="6"/>
      <c r="AR253" s="6"/>
      <c r="AS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11"/>
      <c r="X254" s="11"/>
      <c r="Y254" s="11"/>
      <c r="Z254" s="11"/>
      <c r="AA254" s="11"/>
      <c r="AB254" s="11"/>
      <c r="AC254" s="11"/>
      <c r="AD254" s="11"/>
      <c r="AE254" s="11"/>
      <c r="AF254" s="11"/>
      <c r="AG254" s="6"/>
      <c r="AH254" s="6"/>
      <c r="AI254" s="6"/>
      <c r="AJ254" s="6"/>
      <c r="AK254" s="6"/>
      <c r="AL254" s="6"/>
      <c r="AM254" s="6"/>
      <c r="AN254" s="6"/>
      <c r="AO254" s="6"/>
      <c r="AP254" s="6"/>
      <c r="AQ254" s="6"/>
      <c r="AR254" s="6"/>
      <c r="AS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11"/>
      <c r="X255" s="11"/>
      <c r="Y255" s="11"/>
      <c r="Z255" s="11"/>
      <c r="AA255" s="11"/>
      <c r="AB255" s="11"/>
      <c r="AC255" s="11"/>
      <c r="AD255" s="11"/>
      <c r="AE255" s="11"/>
      <c r="AF255" s="11"/>
      <c r="AG255" s="6"/>
      <c r="AH255" s="6"/>
      <c r="AI255" s="6"/>
      <c r="AJ255" s="6"/>
      <c r="AK255" s="6"/>
      <c r="AL255" s="6"/>
      <c r="AM255" s="6"/>
      <c r="AN255" s="6"/>
      <c r="AO255" s="6"/>
      <c r="AP255" s="6"/>
      <c r="AQ255" s="6"/>
      <c r="AR255" s="6"/>
      <c r="AS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11"/>
      <c r="X256" s="11"/>
      <c r="Y256" s="11"/>
      <c r="Z256" s="11"/>
      <c r="AA256" s="11"/>
      <c r="AB256" s="11"/>
      <c r="AC256" s="11"/>
      <c r="AD256" s="11"/>
      <c r="AE256" s="11"/>
      <c r="AF256" s="11"/>
      <c r="AG256" s="6"/>
      <c r="AH256" s="6"/>
      <c r="AI256" s="6"/>
      <c r="AJ256" s="6"/>
      <c r="AK256" s="6"/>
      <c r="AL256" s="6"/>
      <c r="AM256" s="6"/>
      <c r="AN256" s="6"/>
      <c r="AO256" s="6"/>
      <c r="AP256" s="6"/>
      <c r="AQ256" s="6"/>
      <c r="AR256" s="6"/>
      <c r="AS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11"/>
      <c r="X257" s="11"/>
      <c r="Y257" s="11"/>
      <c r="Z257" s="11"/>
      <c r="AA257" s="11"/>
      <c r="AB257" s="11"/>
      <c r="AC257" s="11"/>
      <c r="AD257" s="11"/>
      <c r="AE257" s="11"/>
      <c r="AF257" s="11"/>
      <c r="AG257" s="6"/>
      <c r="AH257" s="6"/>
      <c r="AI257" s="6"/>
      <c r="AJ257" s="6"/>
      <c r="AK257" s="6"/>
      <c r="AL257" s="6"/>
      <c r="AM257" s="6"/>
      <c r="AN257" s="6"/>
      <c r="AO257" s="6"/>
      <c r="AP257" s="6"/>
      <c r="AQ257" s="6"/>
      <c r="AR257" s="6"/>
      <c r="AS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11"/>
      <c r="X258" s="11"/>
      <c r="Y258" s="11"/>
      <c r="Z258" s="11"/>
      <c r="AA258" s="11"/>
      <c r="AB258" s="11"/>
      <c r="AC258" s="11"/>
      <c r="AD258" s="11"/>
      <c r="AE258" s="11"/>
      <c r="AF258" s="11"/>
      <c r="AG258" s="6"/>
      <c r="AH258" s="6"/>
      <c r="AI258" s="6"/>
      <c r="AJ258" s="6"/>
      <c r="AK258" s="6"/>
      <c r="AL258" s="6"/>
      <c r="AM258" s="6"/>
      <c r="AN258" s="6"/>
      <c r="AO258" s="6"/>
      <c r="AP258" s="6"/>
      <c r="AQ258" s="6"/>
      <c r="AR258" s="6"/>
      <c r="AS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11"/>
      <c r="X259" s="11"/>
      <c r="Y259" s="11"/>
      <c r="Z259" s="11"/>
      <c r="AA259" s="11"/>
      <c r="AB259" s="11"/>
      <c r="AC259" s="11"/>
      <c r="AD259" s="11"/>
      <c r="AE259" s="11"/>
      <c r="AF259" s="11"/>
      <c r="AG259" s="6"/>
      <c r="AH259" s="6"/>
      <c r="AI259" s="6"/>
      <c r="AJ259" s="6"/>
      <c r="AK259" s="6"/>
      <c r="AL259" s="6"/>
      <c r="AM259" s="6"/>
      <c r="AN259" s="6"/>
      <c r="AO259" s="6"/>
      <c r="AP259" s="6"/>
      <c r="AQ259" s="6"/>
      <c r="AR259" s="6"/>
      <c r="AS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11"/>
      <c r="X260" s="11"/>
      <c r="Y260" s="11"/>
      <c r="Z260" s="11"/>
      <c r="AA260" s="11"/>
      <c r="AB260" s="11"/>
      <c r="AC260" s="11"/>
      <c r="AD260" s="11"/>
      <c r="AE260" s="11"/>
      <c r="AF260" s="11"/>
      <c r="AG260" s="6"/>
      <c r="AH260" s="6"/>
      <c r="AI260" s="6"/>
      <c r="AJ260" s="6"/>
      <c r="AK260" s="6"/>
      <c r="AL260" s="6"/>
      <c r="AM260" s="6"/>
      <c r="AN260" s="6"/>
      <c r="AO260" s="6"/>
      <c r="AP260" s="6"/>
      <c r="AQ260" s="6"/>
      <c r="AR260" s="6"/>
      <c r="AS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11"/>
      <c r="X261" s="11"/>
      <c r="Y261" s="11"/>
      <c r="Z261" s="11"/>
      <c r="AA261" s="11"/>
      <c r="AB261" s="11"/>
      <c r="AC261" s="11"/>
      <c r="AD261" s="11"/>
      <c r="AE261" s="11"/>
      <c r="AF261" s="11"/>
      <c r="AG261" s="6"/>
      <c r="AH261" s="6"/>
      <c r="AI261" s="6"/>
      <c r="AJ261" s="6"/>
      <c r="AK261" s="6"/>
      <c r="AL261" s="6"/>
      <c r="AM261" s="6"/>
      <c r="AN261" s="6"/>
      <c r="AO261" s="6"/>
      <c r="AP261" s="6"/>
      <c r="AQ261" s="6"/>
      <c r="AR261" s="6"/>
      <c r="AS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11"/>
      <c r="X262" s="11"/>
      <c r="Y262" s="11"/>
      <c r="Z262" s="11"/>
      <c r="AA262" s="11"/>
      <c r="AB262" s="11"/>
      <c r="AC262" s="11"/>
      <c r="AD262" s="11"/>
      <c r="AE262" s="11"/>
      <c r="AF262" s="11"/>
      <c r="AG262" s="6"/>
      <c r="AH262" s="6"/>
      <c r="AI262" s="6"/>
      <c r="AJ262" s="6"/>
      <c r="AK262" s="6"/>
      <c r="AL262" s="6"/>
      <c r="AM262" s="6"/>
      <c r="AN262" s="6"/>
      <c r="AO262" s="6"/>
      <c r="AP262" s="6"/>
      <c r="AQ262" s="6"/>
      <c r="AR262" s="6"/>
      <c r="AS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11"/>
      <c r="X263" s="11"/>
      <c r="Y263" s="11"/>
      <c r="Z263" s="11"/>
      <c r="AA263" s="11"/>
      <c r="AB263" s="11"/>
      <c r="AC263" s="11"/>
      <c r="AD263" s="11"/>
      <c r="AE263" s="11"/>
      <c r="AF263" s="11"/>
      <c r="AG263" s="6"/>
      <c r="AH263" s="6"/>
      <c r="AI263" s="6"/>
      <c r="AJ263" s="6"/>
      <c r="AK263" s="6"/>
      <c r="AL263" s="6"/>
      <c r="AM263" s="6"/>
      <c r="AN263" s="6"/>
      <c r="AO263" s="6"/>
      <c r="AP263" s="6"/>
      <c r="AQ263" s="6"/>
      <c r="AR263" s="6"/>
      <c r="AS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11"/>
      <c r="X264" s="11"/>
      <c r="Y264" s="11"/>
      <c r="Z264" s="11"/>
      <c r="AA264" s="11"/>
      <c r="AB264" s="11"/>
      <c r="AC264" s="11"/>
      <c r="AD264" s="11"/>
      <c r="AE264" s="11"/>
      <c r="AF264" s="11"/>
      <c r="AG264" s="6"/>
      <c r="AH264" s="6"/>
      <c r="AI264" s="6"/>
      <c r="AJ264" s="6"/>
      <c r="AK264" s="6"/>
      <c r="AL264" s="6"/>
      <c r="AM264" s="6"/>
      <c r="AN264" s="6"/>
      <c r="AO264" s="6"/>
      <c r="AP264" s="6"/>
      <c r="AQ264" s="6"/>
      <c r="AR264" s="6"/>
      <c r="AS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11"/>
      <c r="X265" s="11"/>
      <c r="Y265" s="11"/>
      <c r="Z265" s="11"/>
      <c r="AA265" s="11"/>
      <c r="AB265" s="11"/>
      <c r="AC265" s="11"/>
      <c r="AD265" s="11"/>
      <c r="AE265" s="11"/>
      <c r="AF265" s="11"/>
      <c r="AG265" s="6"/>
      <c r="AH265" s="6"/>
      <c r="AI265" s="6"/>
      <c r="AJ265" s="6"/>
      <c r="AK265" s="6"/>
      <c r="AL265" s="6"/>
      <c r="AM265" s="6"/>
      <c r="AN265" s="6"/>
      <c r="AO265" s="6"/>
      <c r="AP265" s="6"/>
      <c r="AQ265" s="6"/>
      <c r="AR265" s="6"/>
      <c r="AS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11"/>
      <c r="X266" s="11"/>
      <c r="Y266" s="11"/>
      <c r="Z266" s="11"/>
      <c r="AA266" s="11"/>
      <c r="AB266" s="11"/>
      <c r="AC266" s="11"/>
      <c r="AD266" s="11"/>
      <c r="AE266" s="11"/>
      <c r="AF266" s="11"/>
      <c r="AG266" s="6"/>
      <c r="AH266" s="6"/>
      <c r="AI266" s="6"/>
      <c r="AJ266" s="6"/>
      <c r="AK266" s="6"/>
      <c r="AL266" s="6"/>
      <c r="AM266" s="6"/>
      <c r="AN266" s="6"/>
      <c r="AO266" s="6"/>
      <c r="AP266" s="6"/>
      <c r="AQ266" s="6"/>
      <c r="AR266" s="6"/>
      <c r="AS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11"/>
      <c r="X267" s="11"/>
      <c r="Y267" s="11"/>
      <c r="Z267" s="11"/>
      <c r="AA267" s="11"/>
      <c r="AB267" s="11"/>
      <c r="AC267" s="11"/>
      <c r="AD267" s="11"/>
      <c r="AE267" s="11"/>
      <c r="AF267" s="11"/>
      <c r="AG267" s="6"/>
      <c r="AH267" s="6"/>
      <c r="AI267" s="6"/>
      <c r="AJ267" s="6"/>
      <c r="AK267" s="6"/>
      <c r="AL267" s="6"/>
      <c r="AM267" s="6"/>
      <c r="AN267" s="6"/>
      <c r="AO267" s="6"/>
      <c r="AP267" s="6"/>
      <c r="AQ267" s="6"/>
      <c r="AR267" s="6"/>
      <c r="AS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11"/>
      <c r="X268" s="11"/>
      <c r="Y268" s="11"/>
      <c r="Z268" s="11"/>
      <c r="AA268" s="11"/>
      <c r="AB268" s="11"/>
      <c r="AC268" s="11"/>
      <c r="AD268" s="11"/>
      <c r="AE268" s="11"/>
      <c r="AF268" s="11"/>
      <c r="AG268" s="6"/>
      <c r="AH268" s="6"/>
      <c r="AI268" s="6"/>
      <c r="AJ268" s="6"/>
      <c r="AK268" s="6"/>
      <c r="AL268" s="6"/>
      <c r="AM268" s="6"/>
      <c r="AN268" s="6"/>
      <c r="AO268" s="6"/>
      <c r="AP268" s="6"/>
      <c r="AQ268" s="6"/>
      <c r="AR268" s="6"/>
      <c r="AS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11"/>
      <c r="X269" s="11"/>
      <c r="Y269" s="11"/>
      <c r="Z269" s="11"/>
      <c r="AA269" s="11"/>
      <c r="AB269" s="11"/>
      <c r="AC269" s="11"/>
      <c r="AD269" s="11"/>
      <c r="AE269" s="11"/>
      <c r="AF269" s="11"/>
      <c r="AG269" s="6"/>
      <c r="AH269" s="6"/>
      <c r="AI269" s="6"/>
      <c r="AJ269" s="6"/>
      <c r="AK269" s="6"/>
      <c r="AL269" s="6"/>
      <c r="AM269" s="6"/>
      <c r="AN269" s="6"/>
      <c r="AO269" s="6"/>
      <c r="AP269" s="6"/>
      <c r="AQ269" s="6"/>
      <c r="AR269" s="6"/>
      <c r="AS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11"/>
      <c r="X270" s="11"/>
      <c r="Y270" s="11"/>
      <c r="Z270" s="11"/>
      <c r="AA270" s="11"/>
      <c r="AB270" s="11"/>
      <c r="AC270" s="11"/>
      <c r="AD270" s="11"/>
      <c r="AE270" s="11"/>
      <c r="AF270" s="11"/>
      <c r="AG270" s="6"/>
      <c r="AH270" s="6"/>
      <c r="AI270" s="6"/>
      <c r="AJ270" s="6"/>
      <c r="AK270" s="6"/>
      <c r="AL270" s="6"/>
      <c r="AM270" s="6"/>
      <c r="AN270" s="6"/>
      <c r="AO270" s="6"/>
      <c r="AP270" s="6"/>
      <c r="AQ270" s="6"/>
      <c r="AR270" s="6"/>
      <c r="AS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11"/>
      <c r="X271" s="11"/>
      <c r="Y271" s="11"/>
      <c r="Z271" s="11"/>
      <c r="AA271" s="11"/>
      <c r="AB271" s="11"/>
      <c r="AC271" s="11"/>
      <c r="AD271" s="11"/>
      <c r="AE271" s="11"/>
      <c r="AF271" s="11"/>
      <c r="AG271" s="6"/>
      <c r="AH271" s="6"/>
      <c r="AI271" s="6"/>
      <c r="AJ271" s="6"/>
      <c r="AK271" s="6"/>
      <c r="AL271" s="6"/>
      <c r="AM271" s="6"/>
      <c r="AN271" s="6"/>
      <c r="AO271" s="6"/>
      <c r="AP271" s="6"/>
      <c r="AQ271" s="6"/>
      <c r="AR271" s="6"/>
      <c r="AS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11"/>
      <c r="X272" s="11"/>
      <c r="Y272" s="11"/>
      <c r="Z272" s="11"/>
      <c r="AA272" s="11"/>
      <c r="AB272" s="11"/>
      <c r="AC272" s="11"/>
      <c r="AD272" s="11"/>
      <c r="AE272" s="11"/>
      <c r="AF272" s="11"/>
      <c r="AG272" s="6"/>
      <c r="AH272" s="6"/>
      <c r="AI272" s="6"/>
      <c r="AJ272" s="6"/>
      <c r="AK272" s="6"/>
      <c r="AL272" s="6"/>
      <c r="AM272" s="6"/>
      <c r="AN272" s="6"/>
      <c r="AO272" s="6"/>
      <c r="AP272" s="6"/>
      <c r="AQ272" s="6"/>
      <c r="AR272" s="6"/>
      <c r="AS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11"/>
      <c r="X273" s="11"/>
      <c r="Y273" s="11"/>
      <c r="Z273" s="11"/>
      <c r="AA273" s="11"/>
      <c r="AB273" s="11"/>
      <c r="AC273" s="11"/>
      <c r="AD273" s="11"/>
      <c r="AE273" s="11"/>
      <c r="AF273" s="11"/>
      <c r="AG273" s="6"/>
      <c r="AH273" s="6"/>
      <c r="AI273" s="6"/>
      <c r="AJ273" s="6"/>
      <c r="AK273" s="6"/>
      <c r="AL273" s="6"/>
      <c r="AM273" s="6"/>
      <c r="AN273" s="6"/>
      <c r="AO273" s="6"/>
      <c r="AP273" s="6"/>
      <c r="AQ273" s="6"/>
      <c r="AR273" s="6"/>
      <c r="AS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11"/>
      <c r="X274" s="11"/>
      <c r="Y274" s="11"/>
      <c r="Z274" s="11"/>
      <c r="AA274" s="11"/>
      <c r="AB274" s="11"/>
      <c r="AC274" s="11"/>
      <c r="AD274" s="11"/>
      <c r="AE274" s="11"/>
      <c r="AF274" s="11"/>
      <c r="AG274" s="6"/>
      <c r="AH274" s="6"/>
      <c r="AI274" s="6"/>
      <c r="AJ274" s="6"/>
      <c r="AK274" s="6"/>
      <c r="AL274" s="6"/>
      <c r="AM274" s="6"/>
      <c r="AN274" s="6"/>
      <c r="AO274" s="6"/>
      <c r="AP274" s="6"/>
      <c r="AQ274" s="6"/>
      <c r="AR274" s="6"/>
      <c r="AS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11"/>
      <c r="X275" s="11"/>
      <c r="Y275" s="11"/>
      <c r="Z275" s="11"/>
      <c r="AA275" s="11"/>
      <c r="AB275" s="11"/>
      <c r="AC275" s="11"/>
      <c r="AD275" s="11"/>
      <c r="AE275" s="11"/>
      <c r="AF275" s="11"/>
      <c r="AG275" s="6"/>
      <c r="AH275" s="6"/>
      <c r="AI275" s="6"/>
      <c r="AJ275" s="6"/>
      <c r="AK275" s="6"/>
      <c r="AL275" s="6"/>
      <c r="AM275" s="6"/>
      <c r="AN275" s="6"/>
      <c r="AO275" s="6"/>
      <c r="AP275" s="6"/>
      <c r="AQ275" s="6"/>
      <c r="AR275" s="6"/>
      <c r="AS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11"/>
      <c r="X276" s="11"/>
      <c r="Y276" s="11"/>
      <c r="Z276" s="11"/>
      <c r="AA276" s="11"/>
      <c r="AB276" s="11"/>
      <c r="AC276" s="11"/>
      <c r="AD276" s="11"/>
      <c r="AE276" s="11"/>
      <c r="AF276" s="11"/>
      <c r="AG276" s="6"/>
      <c r="AH276" s="6"/>
      <c r="AI276" s="6"/>
      <c r="AJ276" s="6"/>
      <c r="AK276" s="6"/>
      <c r="AL276" s="6"/>
      <c r="AM276" s="6"/>
      <c r="AN276" s="6"/>
      <c r="AO276" s="6"/>
      <c r="AP276" s="6"/>
      <c r="AQ276" s="6"/>
      <c r="AR276" s="6"/>
      <c r="AS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11"/>
      <c r="X277" s="11"/>
      <c r="Y277" s="11"/>
      <c r="Z277" s="11"/>
      <c r="AA277" s="11"/>
      <c r="AB277" s="11"/>
      <c r="AC277" s="11"/>
      <c r="AD277" s="11"/>
      <c r="AE277" s="11"/>
      <c r="AF277" s="11"/>
      <c r="AG277" s="6"/>
      <c r="AH277" s="6"/>
      <c r="AI277" s="6"/>
      <c r="AJ277" s="6"/>
      <c r="AK277" s="6"/>
      <c r="AL277" s="6"/>
      <c r="AM277" s="6"/>
      <c r="AN277" s="6"/>
      <c r="AO277" s="6"/>
      <c r="AP277" s="6"/>
      <c r="AQ277" s="6"/>
      <c r="AR277" s="6"/>
      <c r="AS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11"/>
      <c r="X278" s="11"/>
      <c r="Y278" s="11"/>
      <c r="Z278" s="11"/>
      <c r="AA278" s="11"/>
      <c r="AB278" s="11"/>
      <c r="AC278" s="11"/>
      <c r="AD278" s="11"/>
      <c r="AE278" s="11"/>
      <c r="AF278" s="11"/>
      <c r="AG278" s="6"/>
      <c r="AH278" s="6"/>
      <c r="AI278" s="6"/>
      <c r="AJ278" s="6"/>
      <c r="AK278" s="6"/>
      <c r="AL278" s="6"/>
      <c r="AM278" s="6"/>
      <c r="AN278" s="6"/>
      <c r="AO278" s="6"/>
      <c r="AP278" s="6"/>
      <c r="AQ278" s="6"/>
      <c r="AR278" s="6"/>
      <c r="AS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11"/>
      <c r="X279" s="11"/>
      <c r="Y279" s="11"/>
      <c r="Z279" s="11"/>
      <c r="AA279" s="11"/>
      <c r="AB279" s="11"/>
      <c r="AC279" s="11"/>
      <c r="AD279" s="11"/>
      <c r="AE279" s="11"/>
      <c r="AF279" s="11"/>
      <c r="AG279" s="6"/>
      <c r="AH279" s="6"/>
      <c r="AI279" s="6"/>
      <c r="AJ279" s="6"/>
      <c r="AK279" s="6"/>
      <c r="AL279" s="6"/>
      <c r="AM279" s="6"/>
      <c r="AN279" s="6"/>
      <c r="AO279" s="6"/>
      <c r="AP279" s="6"/>
      <c r="AQ279" s="6"/>
      <c r="AR279" s="6"/>
      <c r="AS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11"/>
      <c r="X280" s="11"/>
      <c r="Y280" s="11"/>
      <c r="Z280" s="11"/>
      <c r="AA280" s="11"/>
      <c r="AB280" s="11"/>
      <c r="AC280" s="11"/>
      <c r="AD280" s="11"/>
      <c r="AE280" s="11"/>
      <c r="AF280" s="11"/>
      <c r="AG280" s="6"/>
      <c r="AH280" s="6"/>
      <c r="AI280" s="6"/>
      <c r="AJ280" s="6"/>
      <c r="AK280" s="6"/>
      <c r="AL280" s="6"/>
      <c r="AM280" s="6"/>
      <c r="AN280" s="6"/>
      <c r="AO280" s="6"/>
      <c r="AP280" s="6"/>
      <c r="AQ280" s="6"/>
      <c r="AR280" s="6"/>
      <c r="AS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11"/>
      <c r="X281" s="11"/>
      <c r="Y281" s="11"/>
      <c r="Z281" s="11"/>
      <c r="AA281" s="11"/>
      <c r="AB281" s="11"/>
      <c r="AC281" s="11"/>
      <c r="AD281" s="11"/>
      <c r="AE281" s="11"/>
      <c r="AF281" s="11"/>
      <c r="AG281" s="6"/>
      <c r="AH281" s="6"/>
      <c r="AI281" s="6"/>
      <c r="AJ281" s="6"/>
      <c r="AK281" s="6"/>
      <c r="AL281" s="6"/>
      <c r="AM281" s="6"/>
      <c r="AN281" s="6"/>
      <c r="AO281" s="6"/>
      <c r="AP281" s="6"/>
      <c r="AQ281" s="6"/>
      <c r="AR281" s="6"/>
      <c r="AS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11"/>
      <c r="X282" s="11"/>
      <c r="Y282" s="11"/>
      <c r="Z282" s="11"/>
      <c r="AA282" s="11"/>
      <c r="AB282" s="11"/>
      <c r="AC282" s="11"/>
      <c r="AD282" s="11"/>
      <c r="AE282" s="11"/>
      <c r="AF282" s="11"/>
      <c r="AG282" s="6"/>
      <c r="AH282" s="6"/>
      <c r="AI282" s="6"/>
      <c r="AJ282" s="6"/>
      <c r="AK282" s="6"/>
      <c r="AL282" s="6"/>
      <c r="AM282" s="6"/>
      <c r="AN282" s="6"/>
      <c r="AO282" s="6"/>
      <c r="AP282" s="6"/>
      <c r="AQ282" s="6"/>
      <c r="AR282" s="6"/>
      <c r="AS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11"/>
      <c r="X283" s="11"/>
      <c r="Y283" s="11"/>
      <c r="Z283" s="11"/>
      <c r="AA283" s="11"/>
      <c r="AB283" s="11"/>
      <c r="AC283" s="11"/>
      <c r="AD283" s="11"/>
      <c r="AE283" s="11"/>
      <c r="AF283" s="11"/>
      <c r="AG283" s="6"/>
      <c r="AH283" s="6"/>
      <c r="AI283" s="6"/>
      <c r="AJ283" s="6"/>
      <c r="AK283" s="6"/>
      <c r="AL283" s="6"/>
      <c r="AM283" s="6"/>
      <c r="AN283" s="6"/>
      <c r="AO283" s="6"/>
      <c r="AP283" s="6"/>
      <c r="AQ283" s="6"/>
      <c r="AR283" s="6"/>
      <c r="AS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11"/>
      <c r="X284" s="11"/>
      <c r="Y284" s="11"/>
      <c r="Z284" s="11"/>
      <c r="AA284" s="11"/>
      <c r="AB284" s="11"/>
      <c r="AC284" s="11"/>
      <c r="AD284" s="11"/>
      <c r="AE284" s="11"/>
      <c r="AF284" s="11"/>
      <c r="AG284" s="6"/>
      <c r="AH284" s="6"/>
      <c r="AI284" s="6"/>
      <c r="AJ284" s="6"/>
      <c r="AK284" s="6"/>
      <c r="AL284" s="6"/>
      <c r="AM284" s="6"/>
      <c r="AN284" s="6"/>
      <c r="AO284" s="6"/>
      <c r="AP284" s="6"/>
      <c r="AQ284" s="6"/>
      <c r="AR284" s="6"/>
      <c r="AS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11"/>
      <c r="X285" s="11"/>
      <c r="Y285" s="11"/>
      <c r="Z285" s="11"/>
      <c r="AA285" s="11"/>
      <c r="AB285" s="11"/>
      <c r="AC285" s="11"/>
      <c r="AD285" s="11"/>
      <c r="AE285" s="11"/>
      <c r="AF285" s="11"/>
      <c r="AG285" s="6"/>
      <c r="AH285" s="6"/>
      <c r="AI285" s="6"/>
      <c r="AJ285" s="6"/>
      <c r="AK285" s="6"/>
      <c r="AL285" s="6"/>
      <c r="AM285" s="6"/>
      <c r="AN285" s="6"/>
      <c r="AO285" s="6"/>
      <c r="AP285" s="6"/>
      <c r="AQ285" s="6"/>
      <c r="AR285" s="6"/>
      <c r="AS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11"/>
      <c r="X286" s="11"/>
      <c r="Y286" s="11"/>
      <c r="Z286" s="11"/>
      <c r="AA286" s="11"/>
      <c r="AB286" s="11"/>
      <c r="AC286" s="11"/>
      <c r="AD286" s="11"/>
      <c r="AE286" s="11"/>
      <c r="AF286" s="11"/>
      <c r="AG286" s="6"/>
      <c r="AH286" s="6"/>
      <c r="AI286" s="6"/>
      <c r="AJ286" s="6"/>
      <c r="AK286" s="6"/>
      <c r="AL286" s="6"/>
      <c r="AM286" s="6"/>
      <c r="AN286" s="6"/>
      <c r="AO286" s="6"/>
      <c r="AP286" s="6"/>
      <c r="AQ286" s="6"/>
      <c r="AR286" s="6"/>
      <c r="AS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11"/>
      <c r="X287" s="11"/>
      <c r="Y287" s="11"/>
      <c r="Z287" s="11"/>
      <c r="AA287" s="11"/>
      <c r="AB287" s="11"/>
      <c r="AC287" s="11"/>
      <c r="AD287" s="11"/>
      <c r="AE287" s="11"/>
      <c r="AF287" s="11"/>
      <c r="AG287" s="6"/>
      <c r="AH287" s="6"/>
      <c r="AI287" s="6"/>
      <c r="AJ287" s="6"/>
      <c r="AK287" s="6"/>
      <c r="AL287" s="6"/>
      <c r="AM287" s="6"/>
      <c r="AN287" s="6"/>
      <c r="AO287" s="6"/>
      <c r="AP287" s="6"/>
      <c r="AQ287" s="6"/>
      <c r="AR287" s="6"/>
      <c r="AS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11"/>
      <c r="X288" s="11"/>
      <c r="Y288" s="11"/>
      <c r="Z288" s="11"/>
      <c r="AA288" s="11"/>
      <c r="AB288" s="11"/>
      <c r="AC288" s="11"/>
      <c r="AD288" s="11"/>
      <c r="AE288" s="11"/>
      <c r="AF288" s="11"/>
      <c r="AG288" s="6"/>
      <c r="AH288" s="6"/>
      <c r="AI288" s="6"/>
      <c r="AJ288" s="6"/>
      <c r="AK288" s="6"/>
      <c r="AL288" s="6"/>
      <c r="AM288" s="6"/>
      <c r="AN288" s="6"/>
      <c r="AO288" s="6"/>
      <c r="AP288" s="6"/>
      <c r="AQ288" s="6"/>
      <c r="AR288" s="6"/>
      <c r="AS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11"/>
      <c r="X289" s="11"/>
      <c r="Y289" s="11"/>
      <c r="Z289" s="11"/>
      <c r="AA289" s="11"/>
      <c r="AB289" s="11"/>
      <c r="AC289" s="11"/>
      <c r="AD289" s="11"/>
      <c r="AE289" s="11"/>
      <c r="AF289" s="11"/>
      <c r="AG289" s="6"/>
      <c r="AH289" s="6"/>
      <c r="AI289" s="6"/>
      <c r="AJ289" s="6"/>
      <c r="AK289" s="6"/>
      <c r="AL289" s="6"/>
      <c r="AM289" s="6"/>
      <c r="AN289" s="6"/>
      <c r="AO289" s="6"/>
      <c r="AP289" s="6"/>
      <c r="AQ289" s="6"/>
      <c r="AR289" s="6"/>
      <c r="AS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11"/>
      <c r="X290" s="11"/>
      <c r="Y290" s="11"/>
      <c r="Z290" s="11"/>
      <c r="AA290" s="11"/>
      <c r="AB290" s="11"/>
      <c r="AC290" s="11"/>
      <c r="AD290" s="11"/>
      <c r="AE290" s="11"/>
      <c r="AF290" s="11"/>
      <c r="AG290" s="6"/>
      <c r="AH290" s="6"/>
      <c r="AI290" s="6"/>
      <c r="AJ290" s="6"/>
      <c r="AK290" s="6"/>
      <c r="AL290" s="6"/>
      <c r="AM290" s="6"/>
      <c r="AN290" s="6"/>
      <c r="AO290" s="6"/>
      <c r="AP290" s="6"/>
      <c r="AQ290" s="6"/>
      <c r="AR290" s="6"/>
      <c r="AS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11"/>
      <c r="X291" s="11"/>
      <c r="Y291" s="11"/>
      <c r="Z291" s="11"/>
      <c r="AA291" s="11"/>
      <c r="AB291" s="11"/>
      <c r="AC291" s="11"/>
      <c r="AD291" s="11"/>
      <c r="AE291" s="11"/>
      <c r="AF291" s="11"/>
      <c r="AG291" s="6"/>
      <c r="AH291" s="6"/>
      <c r="AI291" s="6"/>
      <c r="AJ291" s="6"/>
      <c r="AK291" s="6"/>
      <c r="AL291" s="6"/>
      <c r="AM291" s="6"/>
      <c r="AN291" s="6"/>
      <c r="AO291" s="6"/>
      <c r="AP291" s="6"/>
      <c r="AQ291" s="6"/>
      <c r="AR291" s="6"/>
      <c r="AS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11"/>
      <c r="X292" s="11"/>
      <c r="Y292" s="11"/>
      <c r="Z292" s="11"/>
      <c r="AA292" s="11"/>
      <c r="AB292" s="11"/>
      <c r="AC292" s="11"/>
      <c r="AD292" s="11"/>
      <c r="AE292" s="11"/>
      <c r="AF292" s="11"/>
      <c r="AG292" s="6"/>
      <c r="AH292" s="6"/>
      <c r="AI292" s="6"/>
      <c r="AJ292" s="6"/>
      <c r="AK292" s="6"/>
      <c r="AL292" s="6"/>
      <c r="AM292" s="6"/>
      <c r="AN292" s="6"/>
      <c r="AO292" s="6"/>
      <c r="AP292" s="6"/>
      <c r="AQ292" s="6"/>
      <c r="AR292" s="6"/>
      <c r="AS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11"/>
      <c r="X293" s="11"/>
      <c r="Y293" s="11"/>
      <c r="Z293" s="11"/>
      <c r="AA293" s="11"/>
      <c r="AB293" s="11"/>
      <c r="AC293" s="11"/>
      <c r="AD293" s="11"/>
      <c r="AE293" s="11"/>
      <c r="AF293" s="11"/>
      <c r="AG293" s="6"/>
      <c r="AH293" s="6"/>
      <c r="AI293" s="6"/>
      <c r="AJ293" s="6"/>
      <c r="AK293" s="6"/>
      <c r="AL293" s="6"/>
      <c r="AM293" s="6"/>
      <c r="AN293" s="6"/>
      <c r="AO293" s="6"/>
      <c r="AP293" s="6"/>
      <c r="AQ293" s="6"/>
      <c r="AR293" s="6"/>
      <c r="AS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11"/>
      <c r="X294" s="11"/>
      <c r="Y294" s="11"/>
      <c r="Z294" s="11"/>
      <c r="AA294" s="11"/>
      <c r="AB294" s="11"/>
      <c r="AC294" s="11"/>
      <c r="AD294" s="11"/>
      <c r="AE294" s="11"/>
      <c r="AF294" s="11"/>
      <c r="AG294" s="6"/>
      <c r="AH294" s="6"/>
      <c r="AI294" s="6"/>
      <c r="AJ294" s="6"/>
      <c r="AK294" s="6"/>
      <c r="AL294" s="6"/>
      <c r="AM294" s="6"/>
      <c r="AN294" s="6"/>
      <c r="AO294" s="6"/>
      <c r="AP294" s="6"/>
      <c r="AQ294" s="6"/>
      <c r="AR294" s="6"/>
      <c r="AS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11"/>
      <c r="X295" s="11"/>
      <c r="Y295" s="11"/>
      <c r="Z295" s="11"/>
      <c r="AA295" s="11"/>
      <c r="AB295" s="11"/>
      <c r="AC295" s="11"/>
      <c r="AD295" s="11"/>
      <c r="AE295" s="11"/>
      <c r="AF295" s="11"/>
      <c r="AG295" s="6"/>
      <c r="AH295" s="6"/>
      <c r="AI295" s="6"/>
      <c r="AJ295" s="6"/>
      <c r="AK295" s="6"/>
      <c r="AL295" s="6"/>
      <c r="AM295" s="6"/>
      <c r="AN295" s="6"/>
      <c r="AO295" s="6"/>
      <c r="AP295" s="6"/>
      <c r="AQ295" s="6"/>
      <c r="AR295" s="6"/>
      <c r="AS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11"/>
      <c r="X296" s="11"/>
      <c r="Y296" s="11"/>
      <c r="Z296" s="11"/>
      <c r="AA296" s="11"/>
      <c r="AB296" s="11"/>
      <c r="AC296" s="11"/>
      <c r="AD296" s="11"/>
      <c r="AE296" s="11"/>
      <c r="AF296" s="11"/>
      <c r="AG296" s="6"/>
      <c r="AH296" s="6"/>
      <c r="AI296" s="6"/>
      <c r="AJ296" s="6"/>
      <c r="AK296" s="6"/>
      <c r="AL296" s="6"/>
      <c r="AM296" s="6"/>
      <c r="AN296" s="6"/>
      <c r="AO296" s="6"/>
      <c r="AP296" s="6"/>
      <c r="AQ296" s="6"/>
      <c r="AR296" s="6"/>
      <c r="AS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11"/>
      <c r="X297" s="11"/>
      <c r="Y297" s="11"/>
      <c r="Z297" s="11"/>
      <c r="AA297" s="11"/>
      <c r="AB297" s="11"/>
      <c r="AC297" s="11"/>
      <c r="AD297" s="11"/>
      <c r="AE297" s="11"/>
      <c r="AF297" s="11"/>
      <c r="AG297" s="6"/>
      <c r="AH297" s="6"/>
      <c r="AI297" s="6"/>
      <c r="AJ297" s="6"/>
      <c r="AK297" s="6"/>
      <c r="AL297" s="6"/>
      <c r="AM297" s="6"/>
      <c r="AN297" s="6"/>
      <c r="AO297" s="6"/>
      <c r="AP297" s="6"/>
      <c r="AQ297" s="6"/>
      <c r="AR297" s="6"/>
      <c r="AS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11"/>
      <c r="X298" s="11"/>
      <c r="Y298" s="11"/>
      <c r="Z298" s="11"/>
      <c r="AA298" s="11"/>
      <c r="AB298" s="11"/>
      <c r="AC298" s="11"/>
      <c r="AD298" s="11"/>
      <c r="AE298" s="11"/>
      <c r="AF298" s="11"/>
      <c r="AG298" s="6"/>
      <c r="AH298" s="6"/>
      <c r="AI298" s="6"/>
      <c r="AJ298" s="6"/>
      <c r="AK298" s="6"/>
      <c r="AL298" s="6"/>
      <c r="AM298" s="6"/>
      <c r="AN298" s="6"/>
      <c r="AO298" s="6"/>
      <c r="AP298" s="6"/>
      <c r="AQ298" s="6"/>
      <c r="AR298" s="6"/>
      <c r="AS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11"/>
      <c r="X299" s="11"/>
      <c r="Y299" s="11"/>
      <c r="Z299" s="11"/>
      <c r="AA299" s="11"/>
      <c r="AB299" s="11"/>
      <c r="AC299" s="11"/>
      <c r="AD299" s="11"/>
      <c r="AE299" s="11"/>
      <c r="AF299" s="11"/>
      <c r="AG299" s="6"/>
      <c r="AH299" s="6"/>
      <c r="AI299" s="6"/>
      <c r="AJ299" s="6"/>
      <c r="AK299" s="6"/>
      <c r="AL299" s="6"/>
      <c r="AM299" s="6"/>
      <c r="AN299" s="6"/>
      <c r="AO299" s="6"/>
      <c r="AP299" s="6"/>
      <c r="AQ299" s="6"/>
      <c r="AR299" s="6"/>
      <c r="AS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11"/>
      <c r="X300" s="11"/>
      <c r="Y300" s="11"/>
      <c r="Z300" s="11"/>
      <c r="AA300" s="11"/>
      <c r="AB300" s="11"/>
      <c r="AC300" s="11"/>
      <c r="AD300" s="11"/>
      <c r="AE300" s="11"/>
      <c r="AF300" s="11"/>
      <c r="AG300" s="6"/>
      <c r="AH300" s="6"/>
      <c r="AI300" s="6"/>
      <c r="AJ300" s="6"/>
      <c r="AK300" s="6"/>
      <c r="AL300" s="6"/>
      <c r="AM300" s="6"/>
      <c r="AN300" s="6"/>
      <c r="AO300" s="6"/>
      <c r="AP300" s="6"/>
      <c r="AQ300" s="6"/>
      <c r="AR300" s="6"/>
      <c r="AS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11"/>
      <c r="X301" s="11"/>
      <c r="Y301" s="11"/>
      <c r="Z301" s="11"/>
      <c r="AA301" s="11"/>
      <c r="AB301" s="11"/>
      <c r="AC301" s="11"/>
      <c r="AD301" s="11"/>
      <c r="AE301" s="11"/>
      <c r="AF301" s="11"/>
      <c r="AG301" s="6"/>
      <c r="AH301" s="6"/>
      <c r="AI301" s="6"/>
      <c r="AJ301" s="6"/>
      <c r="AK301" s="6"/>
      <c r="AL301" s="6"/>
      <c r="AM301" s="6"/>
      <c r="AN301" s="6"/>
      <c r="AO301" s="6"/>
      <c r="AP301" s="6"/>
      <c r="AQ301" s="6"/>
      <c r="AR301" s="6"/>
      <c r="AS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11"/>
      <c r="X302" s="11"/>
      <c r="Y302" s="11"/>
      <c r="Z302" s="11"/>
      <c r="AA302" s="11"/>
      <c r="AB302" s="11"/>
      <c r="AC302" s="11"/>
      <c r="AD302" s="11"/>
      <c r="AE302" s="11"/>
      <c r="AF302" s="11"/>
      <c r="AG302" s="6"/>
      <c r="AH302" s="6"/>
      <c r="AI302" s="6"/>
      <c r="AJ302" s="6"/>
      <c r="AK302" s="6"/>
      <c r="AL302" s="6"/>
      <c r="AM302" s="6"/>
      <c r="AN302" s="6"/>
      <c r="AO302" s="6"/>
      <c r="AP302" s="6"/>
      <c r="AQ302" s="6"/>
      <c r="AR302" s="6"/>
      <c r="AS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11"/>
      <c r="X303" s="11"/>
      <c r="Y303" s="11"/>
      <c r="Z303" s="11"/>
      <c r="AA303" s="11"/>
      <c r="AB303" s="11"/>
      <c r="AC303" s="11"/>
      <c r="AD303" s="11"/>
      <c r="AE303" s="11"/>
      <c r="AF303" s="11"/>
      <c r="AG303" s="6"/>
      <c r="AH303" s="6"/>
      <c r="AI303" s="6"/>
      <c r="AJ303" s="6"/>
      <c r="AK303" s="6"/>
      <c r="AL303" s="6"/>
      <c r="AM303" s="6"/>
      <c r="AN303" s="6"/>
      <c r="AO303" s="6"/>
      <c r="AP303" s="6"/>
      <c r="AQ303" s="6"/>
      <c r="AR303" s="6"/>
      <c r="AS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11"/>
      <c r="X304" s="11"/>
      <c r="Y304" s="11"/>
      <c r="Z304" s="11"/>
      <c r="AA304" s="11"/>
      <c r="AB304" s="11"/>
      <c r="AC304" s="11"/>
      <c r="AD304" s="11"/>
      <c r="AE304" s="11"/>
      <c r="AF304" s="11"/>
      <c r="AG304" s="6"/>
      <c r="AH304" s="6"/>
      <c r="AI304" s="6"/>
      <c r="AJ304" s="6"/>
      <c r="AK304" s="6"/>
      <c r="AL304" s="6"/>
      <c r="AM304" s="6"/>
      <c r="AN304" s="6"/>
      <c r="AO304" s="6"/>
      <c r="AP304" s="6"/>
      <c r="AQ304" s="6"/>
      <c r="AR304" s="6"/>
      <c r="AS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11"/>
      <c r="X305" s="11"/>
      <c r="Y305" s="11"/>
      <c r="Z305" s="11"/>
      <c r="AA305" s="11"/>
      <c r="AB305" s="11"/>
      <c r="AC305" s="11"/>
      <c r="AD305" s="11"/>
      <c r="AE305" s="11"/>
      <c r="AF305" s="11"/>
      <c r="AG305" s="6"/>
      <c r="AH305" s="6"/>
      <c r="AI305" s="6"/>
      <c r="AJ305" s="6"/>
      <c r="AK305" s="6"/>
      <c r="AL305" s="6"/>
      <c r="AM305" s="6"/>
      <c r="AN305" s="6"/>
      <c r="AO305" s="6"/>
      <c r="AP305" s="6"/>
      <c r="AQ305" s="6"/>
      <c r="AR305" s="6"/>
      <c r="AS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11"/>
      <c r="X306" s="11"/>
      <c r="Y306" s="11"/>
      <c r="Z306" s="11"/>
      <c r="AA306" s="11"/>
      <c r="AB306" s="11"/>
      <c r="AC306" s="11"/>
      <c r="AD306" s="11"/>
      <c r="AE306" s="11"/>
      <c r="AF306" s="11"/>
      <c r="AG306" s="6"/>
      <c r="AH306" s="6"/>
      <c r="AI306" s="6"/>
      <c r="AJ306" s="6"/>
      <c r="AK306" s="6"/>
      <c r="AL306" s="6"/>
      <c r="AM306" s="6"/>
      <c r="AN306" s="6"/>
      <c r="AO306" s="6"/>
      <c r="AP306" s="6"/>
      <c r="AQ306" s="6"/>
      <c r="AR306" s="6"/>
      <c r="AS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11"/>
      <c r="X307" s="11"/>
      <c r="Y307" s="11"/>
      <c r="Z307" s="11"/>
      <c r="AA307" s="11"/>
      <c r="AB307" s="11"/>
      <c r="AC307" s="11"/>
      <c r="AD307" s="11"/>
      <c r="AE307" s="11"/>
      <c r="AF307" s="11"/>
      <c r="AG307" s="6"/>
      <c r="AH307" s="6"/>
      <c r="AI307" s="6"/>
      <c r="AJ307" s="6"/>
      <c r="AK307" s="6"/>
      <c r="AL307" s="6"/>
      <c r="AM307" s="6"/>
      <c r="AN307" s="6"/>
      <c r="AO307" s="6"/>
      <c r="AP307" s="6"/>
      <c r="AQ307" s="6"/>
      <c r="AR307" s="6"/>
      <c r="AS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11"/>
      <c r="X308" s="11"/>
      <c r="Y308" s="11"/>
      <c r="Z308" s="11"/>
      <c r="AA308" s="11"/>
      <c r="AB308" s="11"/>
      <c r="AC308" s="11"/>
      <c r="AD308" s="11"/>
      <c r="AE308" s="11"/>
      <c r="AF308" s="11"/>
      <c r="AG308" s="6"/>
      <c r="AH308" s="6"/>
      <c r="AI308" s="6"/>
      <c r="AJ308" s="6"/>
      <c r="AK308" s="6"/>
      <c r="AL308" s="6"/>
      <c r="AM308" s="6"/>
      <c r="AN308" s="6"/>
      <c r="AO308" s="6"/>
      <c r="AP308" s="6"/>
      <c r="AQ308" s="6"/>
      <c r="AR308" s="6"/>
      <c r="AS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11"/>
      <c r="X309" s="11"/>
      <c r="Y309" s="11"/>
      <c r="Z309" s="11"/>
      <c r="AA309" s="11"/>
      <c r="AB309" s="11"/>
      <c r="AC309" s="11"/>
      <c r="AD309" s="11"/>
      <c r="AE309" s="11"/>
      <c r="AF309" s="11"/>
      <c r="AG309" s="6"/>
      <c r="AH309" s="6"/>
      <c r="AI309" s="6"/>
      <c r="AJ309" s="6"/>
      <c r="AK309" s="6"/>
      <c r="AL309" s="6"/>
      <c r="AM309" s="6"/>
      <c r="AN309" s="6"/>
      <c r="AO309" s="6"/>
      <c r="AP309" s="6"/>
      <c r="AQ309" s="6"/>
      <c r="AR309" s="6"/>
      <c r="AS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11"/>
      <c r="X310" s="11"/>
      <c r="Y310" s="11"/>
      <c r="Z310" s="11"/>
      <c r="AA310" s="11"/>
      <c r="AB310" s="11"/>
      <c r="AC310" s="11"/>
      <c r="AD310" s="11"/>
      <c r="AE310" s="11"/>
      <c r="AF310" s="11"/>
      <c r="AG310" s="6"/>
      <c r="AH310" s="6"/>
      <c r="AI310" s="6"/>
      <c r="AJ310" s="6"/>
      <c r="AK310" s="6"/>
      <c r="AL310" s="6"/>
      <c r="AM310" s="6"/>
      <c r="AN310" s="6"/>
      <c r="AO310" s="6"/>
      <c r="AP310" s="6"/>
      <c r="AQ310" s="6"/>
      <c r="AR310" s="6"/>
      <c r="AS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11"/>
      <c r="X311" s="11"/>
      <c r="Y311" s="11"/>
      <c r="Z311" s="11"/>
      <c r="AA311" s="11"/>
      <c r="AB311" s="11"/>
      <c r="AC311" s="11"/>
      <c r="AD311" s="11"/>
      <c r="AE311" s="11"/>
      <c r="AF311" s="11"/>
      <c r="AG311" s="6"/>
      <c r="AH311" s="6"/>
      <c r="AI311" s="6"/>
      <c r="AJ311" s="6"/>
      <c r="AK311" s="6"/>
      <c r="AL311" s="6"/>
      <c r="AM311" s="6"/>
      <c r="AN311" s="6"/>
      <c r="AO311" s="6"/>
      <c r="AP311" s="6"/>
      <c r="AQ311" s="6"/>
      <c r="AR311" s="6"/>
      <c r="AS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11"/>
      <c r="X312" s="11"/>
      <c r="Y312" s="11"/>
      <c r="Z312" s="11"/>
      <c r="AA312" s="11"/>
      <c r="AB312" s="11"/>
      <c r="AC312" s="11"/>
      <c r="AD312" s="11"/>
      <c r="AE312" s="11"/>
      <c r="AF312" s="11"/>
      <c r="AG312" s="6"/>
      <c r="AH312" s="6"/>
      <c r="AI312" s="6"/>
      <c r="AJ312" s="6"/>
      <c r="AK312" s="6"/>
      <c r="AL312" s="6"/>
      <c r="AM312" s="6"/>
      <c r="AN312" s="6"/>
      <c r="AO312" s="6"/>
      <c r="AP312" s="6"/>
      <c r="AQ312" s="6"/>
      <c r="AR312" s="6"/>
      <c r="AS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11"/>
      <c r="X313" s="11"/>
      <c r="Y313" s="11"/>
      <c r="Z313" s="11"/>
      <c r="AA313" s="11"/>
      <c r="AB313" s="11"/>
      <c r="AC313" s="11"/>
      <c r="AD313" s="11"/>
      <c r="AE313" s="11"/>
      <c r="AF313" s="11"/>
      <c r="AG313" s="6"/>
      <c r="AH313" s="6"/>
      <c r="AI313" s="6"/>
      <c r="AJ313" s="6"/>
      <c r="AK313" s="6"/>
      <c r="AL313" s="6"/>
      <c r="AM313" s="6"/>
      <c r="AN313" s="6"/>
      <c r="AO313" s="6"/>
      <c r="AP313" s="6"/>
      <c r="AQ313" s="6"/>
      <c r="AR313" s="6"/>
      <c r="AS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11"/>
      <c r="X314" s="11"/>
      <c r="Y314" s="11"/>
      <c r="Z314" s="11"/>
      <c r="AA314" s="11"/>
      <c r="AB314" s="11"/>
      <c r="AC314" s="11"/>
      <c r="AD314" s="11"/>
      <c r="AE314" s="11"/>
      <c r="AF314" s="11"/>
      <c r="AG314" s="6"/>
      <c r="AH314" s="6"/>
      <c r="AI314" s="6"/>
      <c r="AJ314" s="6"/>
      <c r="AK314" s="6"/>
      <c r="AL314" s="6"/>
      <c r="AM314" s="6"/>
      <c r="AN314" s="6"/>
      <c r="AO314" s="6"/>
      <c r="AP314" s="6"/>
      <c r="AQ314" s="6"/>
      <c r="AR314" s="6"/>
      <c r="AS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11"/>
      <c r="X315" s="11"/>
      <c r="Y315" s="11"/>
      <c r="Z315" s="11"/>
      <c r="AA315" s="11"/>
      <c r="AB315" s="11"/>
      <c r="AC315" s="11"/>
      <c r="AD315" s="11"/>
      <c r="AE315" s="11"/>
      <c r="AF315" s="11"/>
      <c r="AG315" s="6"/>
      <c r="AH315" s="6"/>
      <c r="AI315" s="6"/>
      <c r="AJ315" s="6"/>
      <c r="AK315" s="6"/>
      <c r="AL315" s="6"/>
      <c r="AM315" s="6"/>
      <c r="AN315" s="6"/>
      <c r="AO315" s="6"/>
      <c r="AP315" s="6"/>
      <c r="AQ315" s="6"/>
      <c r="AR315" s="6"/>
      <c r="AS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11"/>
      <c r="X316" s="11"/>
      <c r="Y316" s="11"/>
      <c r="Z316" s="11"/>
      <c r="AA316" s="11"/>
      <c r="AB316" s="11"/>
      <c r="AC316" s="11"/>
      <c r="AD316" s="11"/>
      <c r="AE316" s="11"/>
      <c r="AF316" s="11"/>
      <c r="AG316" s="6"/>
      <c r="AH316" s="6"/>
      <c r="AI316" s="6"/>
      <c r="AJ316" s="6"/>
      <c r="AK316" s="6"/>
      <c r="AL316" s="6"/>
      <c r="AM316" s="6"/>
      <c r="AN316" s="6"/>
      <c r="AO316" s="6"/>
      <c r="AP316" s="6"/>
      <c r="AQ316" s="6"/>
      <c r="AR316" s="6"/>
      <c r="AS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11"/>
      <c r="X317" s="11"/>
      <c r="Y317" s="11"/>
      <c r="Z317" s="11"/>
      <c r="AA317" s="11"/>
      <c r="AB317" s="11"/>
      <c r="AC317" s="11"/>
      <c r="AD317" s="11"/>
      <c r="AE317" s="11"/>
      <c r="AF317" s="11"/>
      <c r="AG317" s="6"/>
      <c r="AH317" s="6"/>
      <c r="AI317" s="6"/>
      <c r="AJ317" s="6"/>
      <c r="AK317" s="6"/>
      <c r="AL317" s="6"/>
      <c r="AM317" s="6"/>
      <c r="AN317" s="6"/>
      <c r="AO317" s="6"/>
      <c r="AP317" s="6"/>
      <c r="AQ317" s="6"/>
      <c r="AR317" s="6"/>
      <c r="AS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11"/>
      <c r="X318" s="11"/>
      <c r="Y318" s="11"/>
      <c r="Z318" s="11"/>
      <c r="AA318" s="11"/>
      <c r="AB318" s="11"/>
      <c r="AC318" s="11"/>
      <c r="AD318" s="11"/>
      <c r="AE318" s="11"/>
      <c r="AF318" s="11"/>
      <c r="AG318" s="6"/>
      <c r="AH318" s="6"/>
      <c r="AI318" s="6"/>
      <c r="AJ318" s="6"/>
      <c r="AK318" s="6"/>
      <c r="AL318" s="6"/>
      <c r="AM318" s="6"/>
      <c r="AN318" s="6"/>
      <c r="AO318" s="6"/>
      <c r="AP318" s="6"/>
      <c r="AQ318" s="6"/>
      <c r="AR318" s="6"/>
      <c r="AS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11"/>
      <c r="X319" s="11"/>
      <c r="Y319" s="11"/>
      <c r="Z319" s="11"/>
      <c r="AA319" s="11"/>
      <c r="AB319" s="11"/>
      <c r="AC319" s="11"/>
      <c r="AD319" s="11"/>
      <c r="AE319" s="11"/>
      <c r="AF319" s="11"/>
      <c r="AG319" s="6"/>
      <c r="AH319" s="6"/>
      <c r="AI319" s="6"/>
      <c r="AJ319" s="6"/>
      <c r="AK319" s="6"/>
      <c r="AL319" s="6"/>
      <c r="AM319" s="6"/>
      <c r="AN319" s="6"/>
      <c r="AO319" s="6"/>
      <c r="AP319" s="6"/>
      <c r="AQ319" s="6"/>
      <c r="AR319" s="6"/>
      <c r="AS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11"/>
      <c r="X320" s="11"/>
      <c r="Y320" s="11"/>
      <c r="Z320" s="11"/>
      <c r="AA320" s="11"/>
      <c r="AB320" s="11"/>
      <c r="AC320" s="11"/>
      <c r="AD320" s="11"/>
      <c r="AE320" s="11"/>
      <c r="AF320" s="11"/>
      <c r="AG320" s="6"/>
      <c r="AH320" s="6"/>
      <c r="AI320" s="6"/>
      <c r="AJ320" s="6"/>
      <c r="AK320" s="6"/>
      <c r="AL320" s="6"/>
      <c r="AM320" s="6"/>
      <c r="AN320" s="6"/>
      <c r="AO320" s="6"/>
      <c r="AP320" s="6"/>
      <c r="AQ320" s="6"/>
      <c r="AR320" s="6"/>
      <c r="AS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11"/>
      <c r="X321" s="11"/>
      <c r="Y321" s="11"/>
      <c r="Z321" s="11"/>
      <c r="AA321" s="11"/>
      <c r="AB321" s="11"/>
      <c r="AC321" s="11"/>
      <c r="AD321" s="11"/>
      <c r="AE321" s="11"/>
      <c r="AF321" s="11"/>
      <c r="AG321" s="6"/>
      <c r="AH321" s="6"/>
      <c r="AI321" s="6"/>
      <c r="AJ321" s="6"/>
      <c r="AK321" s="6"/>
      <c r="AL321" s="6"/>
      <c r="AM321" s="6"/>
      <c r="AN321" s="6"/>
      <c r="AO321" s="6"/>
      <c r="AP321" s="6"/>
      <c r="AQ321" s="6"/>
      <c r="AR321" s="6"/>
      <c r="AS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11"/>
      <c r="X322" s="11"/>
      <c r="Y322" s="11"/>
      <c r="Z322" s="11"/>
      <c r="AA322" s="11"/>
      <c r="AB322" s="11"/>
      <c r="AC322" s="11"/>
      <c r="AD322" s="11"/>
      <c r="AE322" s="11"/>
      <c r="AF322" s="11"/>
      <c r="AG322" s="6"/>
      <c r="AH322" s="6"/>
      <c r="AI322" s="6"/>
      <c r="AJ322" s="6"/>
      <c r="AK322" s="6"/>
      <c r="AL322" s="6"/>
      <c r="AM322" s="6"/>
      <c r="AN322" s="6"/>
      <c r="AO322" s="6"/>
      <c r="AP322" s="6"/>
      <c r="AQ322" s="6"/>
      <c r="AR322" s="6"/>
      <c r="AS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11"/>
      <c r="X323" s="11"/>
      <c r="Y323" s="11"/>
      <c r="Z323" s="11"/>
      <c r="AA323" s="11"/>
      <c r="AB323" s="11"/>
      <c r="AC323" s="11"/>
      <c r="AD323" s="11"/>
      <c r="AE323" s="11"/>
      <c r="AF323" s="11"/>
      <c r="AG323" s="6"/>
      <c r="AH323" s="6"/>
      <c r="AI323" s="6"/>
      <c r="AJ323" s="6"/>
      <c r="AK323" s="6"/>
      <c r="AL323" s="6"/>
      <c r="AM323" s="6"/>
      <c r="AN323" s="6"/>
      <c r="AO323" s="6"/>
      <c r="AP323" s="6"/>
      <c r="AQ323" s="6"/>
      <c r="AR323" s="6"/>
      <c r="AS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11"/>
      <c r="X324" s="11"/>
      <c r="Y324" s="11"/>
      <c r="Z324" s="11"/>
      <c r="AA324" s="11"/>
      <c r="AB324" s="11"/>
      <c r="AC324" s="11"/>
      <c r="AD324" s="11"/>
      <c r="AE324" s="11"/>
      <c r="AF324" s="11"/>
      <c r="AG324" s="6"/>
      <c r="AH324" s="6"/>
      <c r="AI324" s="6"/>
      <c r="AJ324" s="6"/>
      <c r="AK324" s="6"/>
      <c r="AL324" s="6"/>
      <c r="AM324" s="6"/>
      <c r="AN324" s="6"/>
      <c r="AO324" s="6"/>
      <c r="AP324" s="6"/>
      <c r="AQ324" s="6"/>
      <c r="AR324" s="6"/>
      <c r="AS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11"/>
      <c r="X325" s="11"/>
      <c r="Y325" s="11"/>
      <c r="Z325" s="11"/>
      <c r="AA325" s="11"/>
      <c r="AB325" s="11"/>
      <c r="AC325" s="11"/>
      <c r="AD325" s="11"/>
      <c r="AE325" s="11"/>
      <c r="AF325" s="11"/>
      <c r="AG325" s="6"/>
      <c r="AH325" s="6"/>
      <c r="AI325" s="6"/>
      <c r="AJ325" s="6"/>
      <c r="AK325" s="6"/>
      <c r="AL325" s="6"/>
      <c r="AM325" s="6"/>
      <c r="AN325" s="6"/>
      <c r="AO325" s="6"/>
      <c r="AP325" s="6"/>
      <c r="AQ325" s="6"/>
      <c r="AR325" s="6"/>
      <c r="AS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11"/>
      <c r="X326" s="11"/>
      <c r="Y326" s="11"/>
      <c r="Z326" s="11"/>
      <c r="AA326" s="11"/>
      <c r="AB326" s="11"/>
      <c r="AC326" s="11"/>
      <c r="AD326" s="11"/>
      <c r="AE326" s="11"/>
      <c r="AF326" s="11"/>
      <c r="AG326" s="6"/>
      <c r="AH326" s="6"/>
      <c r="AI326" s="6"/>
      <c r="AJ326" s="6"/>
      <c r="AK326" s="6"/>
      <c r="AL326" s="6"/>
      <c r="AM326" s="6"/>
      <c r="AN326" s="6"/>
      <c r="AO326" s="6"/>
      <c r="AP326" s="6"/>
      <c r="AQ326" s="6"/>
      <c r="AR326" s="6"/>
      <c r="AS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11"/>
      <c r="X327" s="11"/>
      <c r="Y327" s="11"/>
      <c r="Z327" s="11"/>
      <c r="AA327" s="11"/>
      <c r="AB327" s="11"/>
      <c r="AC327" s="11"/>
      <c r="AD327" s="11"/>
      <c r="AE327" s="11"/>
      <c r="AF327" s="11"/>
      <c r="AG327" s="6"/>
      <c r="AH327" s="6"/>
      <c r="AI327" s="6"/>
      <c r="AJ327" s="6"/>
      <c r="AK327" s="6"/>
      <c r="AL327" s="6"/>
      <c r="AM327" s="6"/>
      <c r="AN327" s="6"/>
      <c r="AO327" s="6"/>
      <c r="AP327" s="6"/>
      <c r="AQ327" s="6"/>
      <c r="AR327" s="6"/>
      <c r="AS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11"/>
      <c r="X328" s="11"/>
      <c r="Y328" s="11"/>
      <c r="Z328" s="11"/>
      <c r="AA328" s="11"/>
      <c r="AB328" s="11"/>
      <c r="AC328" s="11"/>
      <c r="AD328" s="11"/>
      <c r="AE328" s="11"/>
      <c r="AF328" s="11"/>
      <c r="AG328" s="6"/>
      <c r="AH328" s="6"/>
      <c r="AI328" s="6"/>
      <c r="AJ328" s="6"/>
      <c r="AK328" s="6"/>
      <c r="AL328" s="6"/>
      <c r="AM328" s="6"/>
      <c r="AN328" s="6"/>
      <c r="AO328" s="6"/>
      <c r="AP328" s="6"/>
      <c r="AQ328" s="6"/>
      <c r="AR328" s="6"/>
      <c r="AS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11"/>
      <c r="X329" s="11"/>
      <c r="Y329" s="11"/>
      <c r="Z329" s="11"/>
      <c r="AA329" s="11"/>
      <c r="AB329" s="11"/>
      <c r="AC329" s="11"/>
      <c r="AD329" s="11"/>
      <c r="AE329" s="11"/>
      <c r="AF329" s="11"/>
      <c r="AG329" s="6"/>
      <c r="AH329" s="6"/>
      <c r="AI329" s="6"/>
      <c r="AJ329" s="6"/>
      <c r="AK329" s="6"/>
      <c r="AL329" s="6"/>
      <c r="AM329" s="6"/>
      <c r="AN329" s="6"/>
      <c r="AO329" s="6"/>
      <c r="AP329" s="6"/>
      <c r="AQ329" s="6"/>
      <c r="AR329" s="6"/>
      <c r="AS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11"/>
      <c r="X330" s="11"/>
      <c r="Y330" s="11"/>
      <c r="Z330" s="11"/>
      <c r="AA330" s="11"/>
      <c r="AB330" s="11"/>
      <c r="AC330" s="11"/>
      <c r="AD330" s="11"/>
      <c r="AE330" s="11"/>
      <c r="AF330" s="11"/>
      <c r="AG330" s="6"/>
      <c r="AH330" s="6"/>
      <c r="AI330" s="6"/>
      <c r="AJ330" s="6"/>
      <c r="AK330" s="6"/>
      <c r="AL330" s="6"/>
      <c r="AM330" s="6"/>
      <c r="AN330" s="6"/>
      <c r="AO330" s="6"/>
      <c r="AP330" s="6"/>
      <c r="AQ330" s="6"/>
      <c r="AR330" s="6"/>
      <c r="AS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11"/>
      <c r="X331" s="11"/>
      <c r="Y331" s="11"/>
      <c r="Z331" s="11"/>
      <c r="AA331" s="11"/>
      <c r="AB331" s="11"/>
      <c r="AC331" s="11"/>
      <c r="AD331" s="11"/>
      <c r="AE331" s="11"/>
      <c r="AF331" s="11"/>
      <c r="AG331" s="6"/>
      <c r="AH331" s="6"/>
      <c r="AI331" s="6"/>
      <c r="AJ331" s="6"/>
      <c r="AK331" s="6"/>
      <c r="AL331" s="6"/>
      <c r="AM331" s="6"/>
      <c r="AN331" s="6"/>
      <c r="AO331" s="6"/>
      <c r="AP331" s="6"/>
      <c r="AQ331" s="6"/>
      <c r="AR331" s="6"/>
      <c r="AS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11"/>
      <c r="X332" s="11"/>
      <c r="Y332" s="11"/>
      <c r="Z332" s="11"/>
      <c r="AA332" s="11"/>
      <c r="AB332" s="11"/>
      <c r="AC332" s="11"/>
      <c r="AD332" s="11"/>
      <c r="AE332" s="11"/>
      <c r="AF332" s="11"/>
      <c r="AG332" s="6"/>
      <c r="AH332" s="6"/>
      <c r="AI332" s="6"/>
      <c r="AJ332" s="6"/>
      <c r="AK332" s="6"/>
      <c r="AL332" s="6"/>
      <c r="AM332" s="6"/>
      <c r="AN332" s="6"/>
      <c r="AO332" s="6"/>
      <c r="AP332" s="6"/>
      <c r="AQ332" s="6"/>
      <c r="AR332" s="6"/>
      <c r="AS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11"/>
      <c r="X333" s="11"/>
      <c r="Y333" s="11"/>
      <c r="Z333" s="11"/>
      <c r="AA333" s="11"/>
      <c r="AB333" s="11"/>
      <c r="AC333" s="11"/>
      <c r="AD333" s="11"/>
      <c r="AE333" s="11"/>
      <c r="AF333" s="11"/>
      <c r="AG333" s="6"/>
      <c r="AH333" s="6"/>
      <c r="AI333" s="6"/>
      <c r="AJ333" s="6"/>
      <c r="AK333" s="6"/>
      <c r="AL333" s="6"/>
      <c r="AM333" s="6"/>
      <c r="AN333" s="6"/>
      <c r="AO333" s="6"/>
      <c r="AP333" s="6"/>
      <c r="AQ333" s="6"/>
      <c r="AR333" s="6"/>
      <c r="AS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11"/>
      <c r="X334" s="11"/>
      <c r="Y334" s="11"/>
      <c r="Z334" s="11"/>
      <c r="AA334" s="11"/>
      <c r="AB334" s="11"/>
      <c r="AC334" s="11"/>
      <c r="AD334" s="11"/>
      <c r="AE334" s="11"/>
      <c r="AF334" s="11"/>
      <c r="AG334" s="6"/>
      <c r="AH334" s="6"/>
      <c r="AI334" s="6"/>
      <c r="AJ334" s="6"/>
      <c r="AK334" s="6"/>
      <c r="AL334" s="6"/>
      <c r="AM334" s="6"/>
      <c r="AN334" s="6"/>
      <c r="AO334" s="6"/>
      <c r="AP334" s="6"/>
      <c r="AQ334" s="6"/>
      <c r="AR334" s="6"/>
      <c r="AS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11"/>
      <c r="X335" s="11"/>
      <c r="Y335" s="11"/>
      <c r="Z335" s="11"/>
      <c r="AA335" s="11"/>
      <c r="AB335" s="11"/>
      <c r="AC335" s="11"/>
      <c r="AD335" s="11"/>
      <c r="AE335" s="11"/>
      <c r="AF335" s="11"/>
      <c r="AG335" s="6"/>
      <c r="AH335" s="6"/>
      <c r="AI335" s="6"/>
      <c r="AJ335" s="6"/>
      <c r="AK335" s="6"/>
      <c r="AL335" s="6"/>
      <c r="AM335" s="6"/>
      <c r="AN335" s="6"/>
      <c r="AO335" s="6"/>
      <c r="AP335" s="6"/>
      <c r="AQ335" s="6"/>
      <c r="AR335" s="6"/>
      <c r="AS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11"/>
      <c r="X336" s="11"/>
      <c r="Y336" s="11"/>
      <c r="Z336" s="11"/>
      <c r="AA336" s="11"/>
      <c r="AB336" s="11"/>
      <c r="AC336" s="11"/>
      <c r="AD336" s="11"/>
      <c r="AE336" s="11"/>
      <c r="AF336" s="11"/>
      <c r="AG336" s="6"/>
      <c r="AH336" s="6"/>
      <c r="AI336" s="6"/>
      <c r="AJ336" s="6"/>
      <c r="AK336" s="6"/>
      <c r="AL336" s="6"/>
      <c r="AM336" s="6"/>
      <c r="AN336" s="6"/>
      <c r="AO336" s="6"/>
      <c r="AP336" s="6"/>
      <c r="AQ336" s="6"/>
      <c r="AR336" s="6"/>
      <c r="AS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11"/>
      <c r="X337" s="11"/>
      <c r="Y337" s="11"/>
      <c r="Z337" s="11"/>
      <c r="AA337" s="11"/>
      <c r="AB337" s="11"/>
      <c r="AC337" s="11"/>
      <c r="AD337" s="11"/>
      <c r="AE337" s="11"/>
      <c r="AF337" s="11"/>
      <c r="AG337" s="6"/>
      <c r="AH337" s="6"/>
      <c r="AI337" s="6"/>
      <c r="AJ337" s="6"/>
      <c r="AK337" s="6"/>
      <c r="AL337" s="6"/>
      <c r="AM337" s="6"/>
      <c r="AN337" s="6"/>
      <c r="AO337" s="6"/>
      <c r="AP337" s="6"/>
      <c r="AQ337" s="6"/>
      <c r="AR337" s="6"/>
      <c r="AS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11"/>
      <c r="X338" s="11"/>
      <c r="Y338" s="11"/>
      <c r="Z338" s="11"/>
      <c r="AA338" s="11"/>
      <c r="AB338" s="11"/>
      <c r="AC338" s="11"/>
      <c r="AD338" s="11"/>
      <c r="AE338" s="11"/>
      <c r="AF338" s="11"/>
      <c r="AG338" s="6"/>
      <c r="AH338" s="6"/>
      <c r="AI338" s="6"/>
      <c r="AJ338" s="6"/>
      <c r="AK338" s="6"/>
      <c r="AL338" s="6"/>
      <c r="AM338" s="6"/>
      <c r="AN338" s="6"/>
      <c r="AO338" s="6"/>
      <c r="AP338" s="6"/>
      <c r="AQ338" s="6"/>
      <c r="AR338" s="6"/>
      <c r="AS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11"/>
      <c r="X339" s="11"/>
      <c r="Y339" s="11"/>
      <c r="Z339" s="11"/>
      <c r="AA339" s="11"/>
      <c r="AB339" s="11"/>
      <c r="AC339" s="11"/>
      <c r="AD339" s="11"/>
      <c r="AE339" s="11"/>
      <c r="AF339" s="11"/>
      <c r="AG339" s="6"/>
      <c r="AH339" s="6"/>
      <c r="AI339" s="6"/>
      <c r="AJ339" s="6"/>
      <c r="AK339" s="6"/>
      <c r="AL339" s="6"/>
      <c r="AM339" s="6"/>
      <c r="AN339" s="6"/>
      <c r="AO339" s="6"/>
      <c r="AP339" s="6"/>
      <c r="AQ339" s="6"/>
      <c r="AR339" s="6"/>
      <c r="AS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11"/>
      <c r="X340" s="11"/>
      <c r="Y340" s="11"/>
      <c r="Z340" s="11"/>
      <c r="AA340" s="11"/>
      <c r="AB340" s="11"/>
      <c r="AC340" s="11"/>
      <c r="AD340" s="11"/>
      <c r="AE340" s="11"/>
      <c r="AF340" s="11"/>
      <c r="AG340" s="6"/>
      <c r="AH340" s="6"/>
      <c r="AI340" s="6"/>
      <c r="AJ340" s="6"/>
      <c r="AK340" s="6"/>
      <c r="AL340" s="6"/>
      <c r="AM340" s="6"/>
      <c r="AN340" s="6"/>
      <c r="AO340" s="6"/>
      <c r="AP340" s="6"/>
      <c r="AQ340" s="6"/>
      <c r="AR340" s="6"/>
      <c r="AS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11"/>
      <c r="X341" s="11"/>
      <c r="Y341" s="11"/>
      <c r="Z341" s="11"/>
      <c r="AA341" s="11"/>
      <c r="AB341" s="11"/>
      <c r="AC341" s="11"/>
      <c r="AD341" s="11"/>
      <c r="AE341" s="11"/>
      <c r="AF341" s="11"/>
      <c r="AG341" s="6"/>
      <c r="AH341" s="6"/>
      <c r="AI341" s="6"/>
      <c r="AJ341" s="6"/>
      <c r="AK341" s="6"/>
      <c r="AL341" s="6"/>
      <c r="AM341" s="6"/>
      <c r="AN341" s="6"/>
      <c r="AO341" s="6"/>
      <c r="AP341" s="6"/>
      <c r="AQ341" s="6"/>
      <c r="AR341" s="6"/>
      <c r="AS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11"/>
      <c r="X342" s="11"/>
      <c r="Y342" s="11"/>
      <c r="Z342" s="11"/>
      <c r="AA342" s="11"/>
      <c r="AB342" s="11"/>
      <c r="AC342" s="11"/>
      <c r="AD342" s="11"/>
      <c r="AE342" s="11"/>
      <c r="AF342" s="11"/>
      <c r="AG342" s="6"/>
      <c r="AH342" s="6"/>
      <c r="AI342" s="6"/>
      <c r="AJ342" s="6"/>
      <c r="AK342" s="6"/>
      <c r="AL342" s="6"/>
      <c r="AM342" s="6"/>
      <c r="AN342" s="6"/>
      <c r="AO342" s="6"/>
      <c r="AP342" s="6"/>
      <c r="AQ342" s="6"/>
      <c r="AR342" s="6"/>
      <c r="AS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11"/>
      <c r="X343" s="11"/>
      <c r="Y343" s="11"/>
      <c r="Z343" s="11"/>
      <c r="AA343" s="11"/>
      <c r="AB343" s="11"/>
      <c r="AC343" s="11"/>
      <c r="AD343" s="11"/>
      <c r="AE343" s="11"/>
      <c r="AF343" s="11"/>
      <c r="AG343" s="6"/>
      <c r="AH343" s="6"/>
      <c r="AI343" s="6"/>
      <c r="AJ343" s="6"/>
      <c r="AK343" s="6"/>
      <c r="AL343" s="6"/>
      <c r="AM343" s="6"/>
      <c r="AN343" s="6"/>
      <c r="AO343" s="6"/>
      <c r="AP343" s="6"/>
      <c r="AQ343" s="6"/>
      <c r="AR343" s="6"/>
      <c r="AS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11"/>
      <c r="X344" s="11"/>
      <c r="Y344" s="11"/>
      <c r="Z344" s="11"/>
      <c r="AA344" s="11"/>
      <c r="AB344" s="11"/>
      <c r="AC344" s="11"/>
      <c r="AD344" s="11"/>
      <c r="AE344" s="11"/>
      <c r="AF344" s="11"/>
      <c r="AG344" s="6"/>
      <c r="AH344" s="6"/>
      <c r="AI344" s="6"/>
      <c r="AJ344" s="6"/>
      <c r="AK344" s="6"/>
      <c r="AL344" s="6"/>
      <c r="AM344" s="6"/>
      <c r="AN344" s="6"/>
      <c r="AO344" s="6"/>
      <c r="AP344" s="6"/>
      <c r="AQ344" s="6"/>
      <c r="AR344" s="6"/>
      <c r="AS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11"/>
      <c r="X345" s="11"/>
      <c r="Y345" s="11"/>
      <c r="Z345" s="11"/>
      <c r="AA345" s="11"/>
      <c r="AB345" s="11"/>
      <c r="AC345" s="11"/>
      <c r="AD345" s="11"/>
      <c r="AE345" s="11"/>
      <c r="AF345" s="11"/>
      <c r="AG345" s="6"/>
      <c r="AH345" s="6"/>
      <c r="AI345" s="6"/>
      <c r="AJ345" s="6"/>
      <c r="AK345" s="6"/>
      <c r="AL345" s="6"/>
      <c r="AM345" s="6"/>
      <c r="AN345" s="6"/>
      <c r="AO345" s="6"/>
      <c r="AP345" s="6"/>
      <c r="AQ345" s="6"/>
      <c r="AR345" s="6"/>
      <c r="AS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11"/>
      <c r="X346" s="11"/>
      <c r="Y346" s="11"/>
      <c r="Z346" s="11"/>
      <c r="AA346" s="11"/>
      <c r="AB346" s="11"/>
      <c r="AC346" s="11"/>
      <c r="AD346" s="11"/>
      <c r="AE346" s="11"/>
      <c r="AF346" s="11"/>
      <c r="AG346" s="6"/>
      <c r="AH346" s="6"/>
      <c r="AI346" s="6"/>
      <c r="AJ346" s="6"/>
      <c r="AK346" s="6"/>
      <c r="AL346" s="6"/>
      <c r="AM346" s="6"/>
      <c r="AN346" s="6"/>
      <c r="AO346" s="6"/>
      <c r="AP346" s="6"/>
      <c r="AQ346" s="6"/>
      <c r="AR346" s="6"/>
      <c r="AS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11"/>
      <c r="X347" s="11"/>
      <c r="Y347" s="11"/>
      <c r="Z347" s="11"/>
      <c r="AA347" s="11"/>
      <c r="AB347" s="11"/>
      <c r="AC347" s="11"/>
      <c r="AD347" s="11"/>
      <c r="AE347" s="11"/>
      <c r="AF347" s="11"/>
      <c r="AG347" s="6"/>
      <c r="AH347" s="6"/>
      <c r="AI347" s="6"/>
      <c r="AJ347" s="6"/>
      <c r="AK347" s="6"/>
      <c r="AL347" s="6"/>
      <c r="AM347" s="6"/>
      <c r="AN347" s="6"/>
      <c r="AO347" s="6"/>
      <c r="AP347" s="6"/>
      <c r="AQ347" s="6"/>
      <c r="AR347" s="6"/>
      <c r="AS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11"/>
      <c r="X348" s="11"/>
      <c r="Y348" s="11"/>
      <c r="Z348" s="11"/>
      <c r="AA348" s="11"/>
      <c r="AB348" s="11"/>
      <c r="AC348" s="11"/>
      <c r="AD348" s="11"/>
      <c r="AE348" s="11"/>
      <c r="AF348" s="11"/>
      <c r="AG348" s="6"/>
      <c r="AH348" s="6"/>
      <c r="AI348" s="6"/>
      <c r="AJ348" s="6"/>
      <c r="AK348" s="6"/>
      <c r="AL348" s="6"/>
      <c r="AM348" s="6"/>
      <c r="AN348" s="6"/>
      <c r="AO348" s="6"/>
      <c r="AP348" s="6"/>
      <c r="AQ348" s="6"/>
      <c r="AR348" s="6"/>
      <c r="AS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11"/>
      <c r="X349" s="11"/>
      <c r="Y349" s="11"/>
      <c r="Z349" s="11"/>
      <c r="AA349" s="11"/>
      <c r="AB349" s="11"/>
      <c r="AC349" s="11"/>
      <c r="AD349" s="11"/>
      <c r="AE349" s="11"/>
      <c r="AF349" s="11"/>
      <c r="AG349" s="6"/>
      <c r="AH349" s="6"/>
      <c r="AI349" s="6"/>
      <c r="AJ349" s="6"/>
      <c r="AK349" s="6"/>
      <c r="AL349" s="6"/>
      <c r="AM349" s="6"/>
      <c r="AN349" s="6"/>
      <c r="AO349" s="6"/>
      <c r="AP349" s="6"/>
      <c r="AQ349" s="6"/>
      <c r="AR349" s="6"/>
      <c r="AS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11"/>
      <c r="X350" s="11"/>
      <c r="Y350" s="11"/>
      <c r="Z350" s="11"/>
      <c r="AA350" s="11"/>
      <c r="AB350" s="11"/>
      <c r="AC350" s="11"/>
      <c r="AD350" s="11"/>
      <c r="AE350" s="11"/>
      <c r="AF350" s="11"/>
      <c r="AG350" s="6"/>
      <c r="AH350" s="6"/>
      <c r="AI350" s="6"/>
      <c r="AJ350" s="6"/>
      <c r="AK350" s="6"/>
      <c r="AL350" s="6"/>
      <c r="AM350" s="6"/>
      <c r="AN350" s="6"/>
      <c r="AO350" s="6"/>
      <c r="AP350" s="6"/>
      <c r="AQ350" s="6"/>
      <c r="AR350" s="6"/>
      <c r="AS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11"/>
      <c r="X351" s="11"/>
      <c r="Y351" s="11"/>
      <c r="Z351" s="11"/>
      <c r="AA351" s="11"/>
      <c r="AB351" s="11"/>
      <c r="AC351" s="11"/>
      <c r="AD351" s="11"/>
      <c r="AE351" s="11"/>
      <c r="AF351" s="11"/>
      <c r="AG351" s="6"/>
      <c r="AH351" s="6"/>
      <c r="AI351" s="6"/>
      <c r="AJ351" s="6"/>
      <c r="AK351" s="6"/>
      <c r="AL351" s="6"/>
      <c r="AM351" s="6"/>
      <c r="AN351" s="6"/>
      <c r="AO351" s="6"/>
      <c r="AP351" s="6"/>
      <c r="AQ351" s="6"/>
      <c r="AR351" s="6"/>
      <c r="AS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11"/>
      <c r="X352" s="11"/>
      <c r="Y352" s="11"/>
      <c r="Z352" s="11"/>
      <c r="AA352" s="11"/>
      <c r="AB352" s="11"/>
      <c r="AC352" s="11"/>
      <c r="AD352" s="11"/>
      <c r="AE352" s="11"/>
      <c r="AF352" s="11"/>
      <c r="AG352" s="6"/>
      <c r="AH352" s="6"/>
      <c r="AI352" s="6"/>
      <c r="AJ352" s="6"/>
      <c r="AK352" s="6"/>
      <c r="AL352" s="6"/>
      <c r="AM352" s="6"/>
      <c r="AN352" s="6"/>
      <c r="AO352" s="6"/>
      <c r="AP352" s="6"/>
      <c r="AQ352" s="6"/>
      <c r="AR352" s="6"/>
      <c r="AS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11"/>
      <c r="X353" s="11"/>
      <c r="Y353" s="11"/>
      <c r="Z353" s="11"/>
      <c r="AA353" s="11"/>
      <c r="AB353" s="11"/>
      <c r="AC353" s="11"/>
      <c r="AD353" s="11"/>
      <c r="AE353" s="11"/>
      <c r="AF353" s="11"/>
      <c r="AG353" s="6"/>
      <c r="AH353" s="6"/>
      <c r="AI353" s="6"/>
      <c r="AJ353" s="6"/>
      <c r="AK353" s="6"/>
      <c r="AL353" s="6"/>
      <c r="AM353" s="6"/>
      <c r="AN353" s="6"/>
      <c r="AO353" s="6"/>
      <c r="AP353" s="6"/>
      <c r="AQ353" s="6"/>
      <c r="AR353" s="6"/>
      <c r="AS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11"/>
      <c r="X354" s="11"/>
      <c r="Y354" s="11"/>
      <c r="Z354" s="11"/>
      <c r="AA354" s="11"/>
      <c r="AB354" s="11"/>
      <c r="AC354" s="11"/>
      <c r="AD354" s="11"/>
      <c r="AE354" s="11"/>
      <c r="AF354" s="11"/>
      <c r="AG354" s="6"/>
      <c r="AH354" s="6"/>
      <c r="AI354" s="6"/>
      <c r="AJ354" s="6"/>
      <c r="AK354" s="6"/>
      <c r="AL354" s="6"/>
      <c r="AM354" s="6"/>
      <c r="AN354" s="6"/>
      <c r="AO354" s="6"/>
      <c r="AP354" s="6"/>
      <c r="AQ354" s="6"/>
      <c r="AR354" s="6"/>
      <c r="AS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11"/>
      <c r="X355" s="11"/>
      <c r="Y355" s="11"/>
      <c r="Z355" s="11"/>
      <c r="AA355" s="11"/>
      <c r="AB355" s="11"/>
      <c r="AC355" s="11"/>
      <c r="AD355" s="11"/>
      <c r="AE355" s="11"/>
      <c r="AF355" s="11"/>
      <c r="AG355" s="6"/>
      <c r="AH355" s="6"/>
      <c r="AI355" s="6"/>
      <c r="AJ355" s="6"/>
      <c r="AK355" s="6"/>
      <c r="AL355" s="6"/>
      <c r="AM355" s="6"/>
      <c r="AN355" s="6"/>
      <c r="AO355" s="6"/>
      <c r="AP355" s="6"/>
      <c r="AQ355" s="6"/>
      <c r="AR355" s="6"/>
      <c r="AS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11"/>
      <c r="X356" s="11"/>
      <c r="Y356" s="11"/>
      <c r="Z356" s="11"/>
      <c r="AA356" s="11"/>
      <c r="AB356" s="11"/>
      <c r="AC356" s="11"/>
      <c r="AD356" s="11"/>
      <c r="AE356" s="11"/>
      <c r="AF356" s="11"/>
      <c r="AG356" s="6"/>
      <c r="AH356" s="6"/>
      <c r="AI356" s="6"/>
      <c r="AJ356" s="6"/>
      <c r="AK356" s="6"/>
      <c r="AL356" s="6"/>
      <c r="AM356" s="6"/>
      <c r="AN356" s="6"/>
      <c r="AO356" s="6"/>
      <c r="AP356" s="6"/>
      <c r="AQ356" s="6"/>
      <c r="AR356" s="6"/>
      <c r="AS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11"/>
      <c r="X357" s="11"/>
      <c r="Y357" s="11"/>
      <c r="Z357" s="11"/>
      <c r="AA357" s="11"/>
      <c r="AB357" s="11"/>
      <c r="AC357" s="11"/>
      <c r="AD357" s="11"/>
      <c r="AE357" s="11"/>
      <c r="AF357" s="11"/>
      <c r="AG357" s="6"/>
      <c r="AH357" s="6"/>
      <c r="AI357" s="6"/>
      <c r="AJ357" s="6"/>
      <c r="AK357" s="6"/>
      <c r="AL357" s="6"/>
      <c r="AM357" s="6"/>
      <c r="AN357" s="6"/>
      <c r="AO357" s="6"/>
      <c r="AP357" s="6"/>
      <c r="AQ357" s="6"/>
      <c r="AR357" s="6"/>
      <c r="AS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11"/>
      <c r="X358" s="11"/>
      <c r="Y358" s="11"/>
      <c r="Z358" s="11"/>
      <c r="AA358" s="11"/>
      <c r="AB358" s="11"/>
      <c r="AC358" s="11"/>
      <c r="AD358" s="11"/>
      <c r="AE358" s="11"/>
      <c r="AF358" s="11"/>
      <c r="AG358" s="6"/>
      <c r="AH358" s="6"/>
      <c r="AI358" s="6"/>
      <c r="AJ358" s="6"/>
      <c r="AK358" s="6"/>
      <c r="AL358" s="6"/>
      <c r="AM358" s="6"/>
      <c r="AN358" s="6"/>
      <c r="AO358" s="6"/>
      <c r="AP358" s="6"/>
      <c r="AQ358" s="6"/>
      <c r="AR358" s="6"/>
      <c r="AS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11"/>
      <c r="X359" s="11"/>
      <c r="Y359" s="11"/>
      <c r="Z359" s="11"/>
      <c r="AA359" s="11"/>
      <c r="AB359" s="11"/>
      <c r="AC359" s="11"/>
      <c r="AD359" s="11"/>
      <c r="AE359" s="11"/>
      <c r="AF359" s="11"/>
      <c r="AG359" s="6"/>
      <c r="AH359" s="6"/>
      <c r="AI359" s="6"/>
      <c r="AJ359" s="6"/>
      <c r="AK359" s="6"/>
      <c r="AL359" s="6"/>
      <c r="AM359" s="6"/>
      <c r="AN359" s="6"/>
      <c r="AO359" s="6"/>
      <c r="AP359" s="6"/>
      <c r="AQ359" s="6"/>
      <c r="AR359" s="6"/>
      <c r="AS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11"/>
      <c r="X360" s="11"/>
      <c r="Y360" s="11"/>
      <c r="Z360" s="11"/>
      <c r="AA360" s="11"/>
      <c r="AB360" s="11"/>
      <c r="AC360" s="11"/>
      <c r="AD360" s="11"/>
      <c r="AE360" s="11"/>
      <c r="AF360" s="11"/>
      <c r="AG360" s="6"/>
      <c r="AH360" s="6"/>
      <c r="AI360" s="6"/>
      <c r="AJ360" s="6"/>
      <c r="AK360" s="6"/>
      <c r="AL360" s="6"/>
      <c r="AM360" s="6"/>
      <c r="AN360" s="6"/>
      <c r="AO360" s="6"/>
      <c r="AP360" s="6"/>
      <c r="AQ360" s="6"/>
      <c r="AR360" s="6"/>
      <c r="AS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11"/>
      <c r="X361" s="11"/>
      <c r="Y361" s="11"/>
      <c r="Z361" s="11"/>
      <c r="AA361" s="11"/>
      <c r="AB361" s="11"/>
      <c r="AC361" s="11"/>
      <c r="AD361" s="11"/>
      <c r="AE361" s="11"/>
      <c r="AF361" s="11"/>
      <c r="AG361" s="6"/>
      <c r="AH361" s="6"/>
      <c r="AI361" s="6"/>
      <c r="AJ361" s="6"/>
      <c r="AK361" s="6"/>
      <c r="AL361" s="6"/>
      <c r="AM361" s="6"/>
      <c r="AN361" s="6"/>
      <c r="AO361" s="6"/>
      <c r="AP361" s="6"/>
      <c r="AQ361" s="6"/>
      <c r="AR361" s="6"/>
      <c r="AS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11"/>
      <c r="X362" s="11"/>
      <c r="Y362" s="11"/>
      <c r="Z362" s="11"/>
      <c r="AA362" s="11"/>
      <c r="AB362" s="11"/>
      <c r="AC362" s="11"/>
      <c r="AD362" s="11"/>
      <c r="AE362" s="11"/>
      <c r="AF362" s="11"/>
      <c r="AG362" s="6"/>
      <c r="AH362" s="6"/>
      <c r="AI362" s="6"/>
      <c r="AJ362" s="6"/>
      <c r="AK362" s="6"/>
      <c r="AL362" s="6"/>
      <c r="AM362" s="6"/>
      <c r="AN362" s="6"/>
      <c r="AO362" s="6"/>
      <c r="AP362" s="6"/>
      <c r="AQ362" s="6"/>
      <c r="AR362" s="6"/>
      <c r="AS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11"/>
      <c r="X363" s="11"/>
      <c r="Y363" s="11"/>
      <c r="Z363" s="11"/>
      <c r="AA363" s="11"/>
      <c r="AB363" s="11"/>
      <c r="AC363" s="11"/>
      <c r="AD363" s="11"/>
      <c r="AE363" s="11"/>
      <c r="AF363" s="11"/>
      <c r="AG363" s="6"/>
      <c r="AH363" s="6"/>
      <c r="AI363" s="6"/>
      <c r="AJ363" s="6"/>
      <c r="AK363" s="6"/>
      <c r="AL363" s="6"/>
      <c r="AM363" s="6"/>
      <c r="AN363" s="6"/>
      <c r="AO363" s="6"/>
      <c r="AP363" s="6"/>
      <c r="AQ363" s="6"/>
      <c r="AR363" s="6"/>
      <c r="AS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11"/>
      <c r="X364" s="11"/>
      <c r="Y364" s="11"/>
      <c r="Z364" s="11"/>
      <c r="AA364" s="11"/>
      <c r="AB364" s="11"/>
      <c r="AC364" s="11"/>
      <c r="AD364" s="11"/>
      <c r="AE364" s="11"/>
      <c r="AF364" s="11"/>
      <c r="AG364" s="6"/>
      <c r="AH364" s="6"/>
      <c r="AI364" s="6"/>
      <c r="AJ364" s="6"/>
      <c r="AK364" s="6"/>
      <c r="AL364" s="6"/>
      <c r="AM364" s="6"/>
      <c r="AN364" s="6"/>
      <c r="AO364" s="6"/>
      <c r="AP364" s="6"/>
      <c r="AQ364" s="6"/>
      <c r="AR364" s="6"/>
      <c r="AS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11"/>
      <c r="X365" s="11"/>
      <c r="Y365" s="11"/>
      <c r="Z365" s="11"/>
      <c r="AA365" s="11"/>
      <c r="AB365" s="11"/>
      <c r="AC365" s="11"/>
      <c r="AD365" s="11"/>
      <c r="AE365" s="11"/>
      <c r="AF365" s="11"/>
      <c r="AG365" s="6"/>
      <c r="AH365" s="6"/>
      <c r="AI365" s="6"/>
      <c r="AJ365" s="6"/>
      <c r="AK365" s="6"/>
      <c r="AL365" s="6"/>
      <c r="AM365" s="6"/>
      <c r="AN365" s="6"/>
      <c r="AO365" s="6"/>
      <c r="AP365" s="6"/>
      <c r="AQ365" s="6"/>
      <c r="AR365" s="6"/>
      <c r="AS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11"/>
      <c r="X366" s="11"/>
      <c r="Y366" s="11"/>
      <c r="Z366" s="11"/>
      <c r="AA366" s="11"/>
      <c r="AB366" s="11"/>
      <c r="AC366" s="11"/>
      <c r="AD366" s="11"/>
      <c r="AE366" s="11"/>
      <c r="AF366" s="11"/>
      <c r="AG366" s="6"/>
      <c r="AH366" s="6"/>
      <c r="AI366" s="6"/>
      <c r="AJ366" s="6"/>
      <c r="AK366" s="6"/>
      <c r="AL366" s="6"/>
      <c r="AM366" s="6"/>
      <c r="AN366" s="6"/>
      <c r="AO366" s="6"/>
      <c r="AP366" s="6"/>
      <c r="AQ366" s="6"/>
      <c r="AR366" s="6"/>
      <c r="AS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11"/>
      <c r="X367" s="11"/>
      <c r="Y367" s="11"/>
      <c r="Z367" s="11"/>
      <c r="AA367" s="11"/>
      <c r="AB367" s="11"/>
      <c r="AC367" s="11"/>
      <c r="AD367" s="11"/>
      <c r="AE367" s="11"/>
      <c r="AF367" s="11"/>
      <c r="AG367" s="6"/>
      <c r="AH367" s="6"/>
      <c r="AI367" s="6"/>
      <c r="AJ367" s="6"/>
      <c r="AK367" s="6"/>
      <c r="AL367" s="6"/>
      <c r="AM367" s="6"/>
      <c r="AN367" s="6"/>
      <c r="AO367" s="6"/>
      <c r="AP367" s="6"/>
      <c r="AQ367" s="6"/>
      <c r="AR367" s="6"/>
      <c r="AS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11"/>
      <c r="X368" s="11"/>
      <c r="Y368" s="11"/>
      <c r="Z368" s="11"/>
      <c r="AA368" s="11"/>
      <c r="AB368" s="11"/>
      <c r="AC368" s="11"/>
      <c r="AD368" s="11"/>
      <c r="AE368" s="11"/>
      <c r="AF368" s="11"/>
      <c r="AG368" s="6"/>
      <c r="AH368" s="6"/>
      <c r="AI368" s="6"/>
      <c r="AJ368" s="6"/>
      <c r="AK368" s="6"/>
      <c r="AL368" s="6"/>
      <c r="AM368" s="6"/>
      <c r="AN368" s="6"/>
      <c r="AO368" s="6"/>
      <c r="AP368" s="6"/>
      <c r="AQ368" s="6"/>
      <c r="AR368" s="6"/>
      <c r="AS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11"/>
      <c r="X369" s="11"/>
      <c r="Y369" s="11"/>
      <c r="Z369" s="11"/>
      <c r="AA369" s="11"/>
      <c r="AB369" s="11"/>
      <c r="AC369" s="11"/>
      <c r="AD369" s="11"/>
      <c r="AE369" s="11"/>
      <c r="AF369" s="11"/>
      <c r="AG369" s="6"/>
      <c r="AH369" s="6"/>
      <c r="AI369" s="6"/>
      <c r="AJ369" s="6"/>
      <c r="AK369" s="6"/>
      <c r="AL369" s="6"/>
      <c r="AM369" s="6"/>
      <c r="AN369" s="6"/>
      <c r="AO369" s="6"/>
      <c r="AP369" s="6"/>
      <c r="AQ369" s="6"/>
      <c r="AR369" s="6"/>
      <c r="AS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11"/>
      <c r="X370" s="11"/>
      <c r="Y370" s="11"/>
      <c r="Z370" s="11"/>
      <c r="AA370" s="11"/>
      <c r="AB370" s="11"/>
      <c r="AC370" s="11"/>
      <c r="AD370" s="11"/>
      <c r="AE370" s="11"/>
      <c r="AF370" s="11"/>
      <c r="AG370" s="6"/>
      <c r="AH370" s="6"/>
      <c r="AI370" s="6"/>
      <c r="AJ370" s="6"/>
      <c r="AK370" s="6"/>
      <c r="AL370" s="6"/>
      <c r="AM370" s="6"/>
      <c r="AN370" s="6"/>
      <c r="AO370" s="6"/>
      <c r="AP370" s="6"/>
      <c r="AQ370" s="6"/>
      <c r="AR370" s="6"/>
      <c r="AS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11"/>
      <c r="X371" s="11"/>
      <c r="Y371" s="11"/>
      <c r="Z371" s="11"/>
      <c r="AA371" s="11"/>
      <c r="AB371" s="11"/>
      <c r="AC371" s="11"/>
      <c r="AD371" s="11"/>
      <c r="AE371" s="11"/>
      <c r="AF371" s="11"/>
      <c r="AG371" s="6"/>
      <c r="AH371" s="6"/>
      <c r="AI371" s="6"/>
      <c r="AJ371" s="6"/>
      <c r="AK371" s="6"/>
      <c r="AL371" s="6"/>
      <c r="AM371" s="6"/>
      <c r="AN371" s="6"/>
      <c r="AO371" s="6"/>
      <c r="AP371" s="6"/>
      <c r="AQ371" s="6"/>
      <c r="AR371" s="6"/>
      <c r="AS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11"/>
      <c r="X372" s="11"/>
      <c r="Y372" s="11"/>
      <c r="Z372" s="11"/>
      <c r="AA372" s="11"/>
      <c r="AB372" s="11"/>
      <c r="AC372" s="11"/>
      <c r="AD372" s="11"/>
      <c r="AE372" s="11"/>
      <c r="AF372" s="11"/>
      <c r="AG372" s="6"/>
      <c r="AH372" s="6"/>
      <c r="AI372" s="6"/>
      <c r="AJ372" s="6"/>
      <c r="AK372" s="6"/>
      <c r="AL372" s="6"/>
      <c r="AM372" s="6"/>
      <c r="AN372" s="6"/>
      <c r="AO372" s="6"/>
      <c r="AP372" s="6"/>
      <c r="AQ372" s="6"/>
      <c r="AR372" s="6"/>
      <c r="AS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11"/>
      <c r="X373" s="11"/>
      <c r="Y373" s="11"/>
      <c r="Z373" s="11"/>
      <c r="AA373" s="11"/>
      <c r="AB373" s="11"/>
      <c r="AC373" s="11"/>
      <c r="AD373" s="11"/>
      <c r="AE373" s="11"/>
      <c r="AF373" s="11"/>
      <c r="AG373" s="6"/>
      <c r="AH373" s="6"/>
      <c r="AI373" s="6"/>
      <c r="AJ373" s="6"/>
      <c r="AK373" s="6"/>
      <c r="AL373" s="6"/>
      <c r="AM373" s="6"/>
      <c r="AN373" s="6"/>
      <c r="AO373" s="6"/>
      <c r="AP373" s="6"/>
      <c r="AQ373" s="6"/>
      <c r="AR373" s="6"/>
      <c r="AS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11"/>
      <c r="X374" s="11"/>
      <c r="Y374" s="11"/>
      <c r="Z374" s="11"/>
      <c r="AA374" s="11"/>
      <c r="AB374" s="11"/>
      <c r="AC374" s="11"/>
      <c r="AD374" s="11"/>
      <c r="AE374" s="11"/>
      <c r="AF374" s="11"/>
      <c r="AG374" s="6"/>
      <c r="AH374" s="6"/>
      <c r="AI374" s="6"/>
      <c r="AJ374" s="6"/>
      <c r="AK374" s="6"/>
      <c r="AL374" s="6"/>
      <c r="AM374" s="6"/>
      <c r="AN374" s="6"/>
      <c r="AO374" s="6"/>
      <c r="AP374" s="6"/>
      <c r="AQ374" s="6"/>
      <c r="AR374" s="6"/>
      <c r="AS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11"/>
      <c r="X375" s="11"/>
      <c r="Y375" s="11"/>
      <c r="Z375" s="11"/>
      <c r="AA375" s="11"/>
      <c r="AB375" s="11"/>
      <c r="AC375" s="11"/>
      <c r="AD375" s="11"/>
      <c r="AE375" s="11"/>
      <c r="AF375" s="11"/>
      <c r="AG375" s="6"/>
      <c r="AH375" s="6"/>
      <c r="AI375" s="6"/>
      <c r="AJ375" s="6"/>
      <c r="AK375" s="6"/>
      <c r="AL375" s="6"/>
      <c r="AM375" s="6"/>
      <c r="AN375" s="6"/>
      <c r="AO375" s="6"/>
      <c r="AP375" s="6"/>
      <c r="AQ375" s="6"/>
      <c r="AR375" s="6"/>
      <c r="AS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11"/>
      <c r="X376" s="11"/>
      <c r="Y376" s="11"/>
      <c r="Z376" s="11"/>
      <c r="AA376" s="11"/>
      <c r="AB376" s="11"/>
      <c r="AC376" s="11"/>
      <c r="AD376" s="11"/>
      <c r="AE376" s="11"/>
      <c r="AF376" s="11"/>
      <c r="AG376" s="6"/>
      <c r="AH376" s="6"/>
      <c r="AI376" s="6"/>
      <c r="AJ376" s="6"/>
      <c r="AK376" s="6"/>
      <c r="AL376" s="6"/>
      <c r="AM376" s="6"/>
      <c r="AN376" s="6"/>
      <c r="AO376" s="6"/>
      <c r="AP376" s="6"/>
      <c r="AQ376" s="6"/>
      <c r="AR376" s="6"/>
      <c r="AS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11"/>
      <c r="X377" s="11"/>
      <c r="Y377" s="11"/>
      <c r="Z377" s="11"/>
      <c r="AA377" s="11"/>
      <c r="AB377" s="11"/>
      <c r="AC377" s="11"/>
      <c r="AD377" s="11"/>
      <c r="AE377" s="11"/>
      <c r="AF377" s="11"/>
      <c r="AG377" s="6"/>
      <c r="AH377" s="6"/>
      <c r="AI377" s="6"/>
      <c r="AJ377" s="6"/>
      <c r="AK377" s="6"/>
      <c r="AL377" s="6"/>
      <c r="AM377" s="6"/>
      <c r="AN377" s="6"/>
      <c r="AO377" s="6"/>
      <c r="AP377" s="6"/>
      <c r="AQ377" s="6"/>
      <c r="AR377" s="6"/>
      <c r="AS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11"/>
      <c r="X378" s="11"/>
      <c r="Y378" s="11"/>
      <c r="Z378" s="11"/>
      <c r="AA378" s="11"/>
      <c r="AB378" s="11"/>
      <c r="AC378" s="11"/>
      <c r="AD378" s="11"/>
      <c r="AE378" s="11"/>
      <c r="AF378" s="11"/>
      <c r="AG378" s="6"/>
      <c r="AH378" s="6"/>
      <c r="AI378" s="6"/>
      <c r="AJ378" s="6"/>
      <c r="AK378" s="6"/>
      <c r="AL378" s="6"/>
      <c r="AM378" s="6"/>
      <c r="AN378" s="6"/>
      <c r="AO378" s="6"/>
      <c r="AP378" s="6"/>
      <c r="AQ378" s="6"/>
      <c r="AR378" s="6"/>
      <c r="AS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11"/>
      <c r="X379" s="11"/>
      <c r="Y379" s="11"/>
      <c r="Z379" s="11"/>
      <c r="AA379" s="11"/>
      <c r="AB379" s="11"/>
      <c r="AC379" s="11"/>
      <c r="AD379" s="11"/>
      <c r="AE379" s="11"/>
      <c r="AF379" s="11"/>
      <c r="AG379" s="6"/>
      <c r="AH379" s="6"/>
      <c r="AI379" s="6"/>
      <c r="AJ379" s="6"/>
      <c r="AK379" s="6"/>
      <c r="AL379" s="6"/>
      <c r="AM379" s="6"/>
      <c r="AN379" s="6"/>
      <c r="AO379" s="6"/>
      <c r="AP379" s="6"/>
      <c r="AQ379" s="6"/>
      <c r="AR379" s="6"/>
      <c r="AS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11"/>
      <c r="X380" s="11"/>
      <c r="Y380" s="11"/>
      <c r="Z380" s="11"/>
      <c r="AA380" s="11"/>
      <c r="AB380" s="11"/>
      <c r="AC380" s="11"/>
      <c r="AD380" s="11"/>
      <c r="AE380" s="11"/>
      <c r="AF380" s="11"/>
      <c r="AG380" s="6"/>
      <c r="AH380" s="6"/>
      <c r="AI380" s="6"/>
      <c r="AJ380" s="6"/>
      <c r="AK380" s="6"/>
      <c r="AL380" s="6"/>
      <c r="AM380" s="6"/>
      <c r="AN380" s="6"/>
      <c r="AO380" s="6"/>
      <c r="AP380" s="6"/>
      <c r="AQ380" s="6"/>
      <c r="AR380" s="6"/>
      <c r="AS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11"/>
      <c r="X381" s="11"/>
      <c r="Y381" s="11"/>
      <c r="Z381" s="11"/>
      <c r="AA381" s="11"/>
      <c r="AB381" s="11"/>
      <c r="AC381" s="11"/>
      <c r="AD381" s="11"/>
      <c r="AE381" s="11"/>
      <c r="AF381" s="11"/>
      <c r="AG381" s="6"/>
      <c r="AH381" s="6"/>
      <c r="AI381" s="6"/>
      <c r="AJ381" s="6"/>
      <c r="AK381" s="6"/>
      <c r="AL381" s="6"/>
      <c r="AM381" s="6"/>
      <c r="AN381" s="6"/>
      <c r="AO381" s="6"/>
      <c r="AP381" s="6"/>
      <c r="AQ381" s="6"/>
      <c r="AR381" s="6"/>
      <c r="AS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11"/>
      <c r="X382" s="11"/>
      <c r="Y382" s="11"/>
      <c r="Z382" s="11"/>
      <c r="AA382" s="11"/>
      <c r="AB382" s="11"/>
      <c r="AC382" s="11"/>
      <c r="AD382" s="11"/>
      <c r="AE382" s="11"/>
      <c r="AF382" s="11"/>
      <c r="AG382" s="6"/>
      <c r="AH382" s="6"/>
      <c r="AI382" s="6"/>
      <c r="AJ382" s="6"/>
      <c r="AK382" s="6"/>
      <c r="AL382" s="6"/>
      <c r="AM382" s="6"/>
      <c r="AN382" s="6"/>
      <c r="AO382" s="6"/>
      <c r="AP382" s="6"/>
      <c r="AQ382" s="6"/>
      <c r="AR382" s="6"/>
      <c r="AS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11"/>
      <c r="X383" s="11"/>
      <c r="Y383" s="11"/>
      <c r="Z383" s="11"/>
      <c r="AA383" s="11"/>
      <c r="AB383" s="11"/>
      <c r="AC383" s="11"/>
      <c r="AD383" s="11"/>
      <c r="AE383" s="11"/>
      <c r="AF383" s="11"/>
      <c r="AG383" s="6"/>
      <c r="AH383" s="6"/>
      <c r="AI383" s="6"/>
      <c r="AJ383" s="6"/>
      <c r="AK383" s="6"/>
      <c r="AL383" s="6"/>
      <c r="AM383" s="6"/>
      <c r="AN383" s="6"/>
      <c r="AO383" s="6"/>
      <c r="AP383" s="6"/>
      <c r="AQ383" s="6"/>
      <c r="AR383" s="6"/>
      <c r="AS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11"/>
      <c r="X384" s="11"/>
      <c r="Y384" s="11"/>
      <c r="Z384" s="11"/>
      <c r="AA384" s="11"/>
      <c r="AB384" s="11"/>
      <c r="AC384" s="11"/>
      <c r="AD384" s="11"/>
      <c r="AE384" s="11"/>
      <c r="AF384" s="11"/>
      <c r="AG384" s="6"/>
      <c r="AH384" s="6"/>
      <c r="AI384" s="6"/>
      <c r="AJ384" s="6"/>
      <c r="AK384" s="6"/>
      <c r="AL384" s="6"/>
      <c r="AM384" s="6"/>
      <c r="AN384" s="6"/>
      <c r="AO384" s="6"/>
      <c r="AP384" s="6"/>
      <c r="AQ384" s="6"/>
      <c r="AR384" s="6"/>
      <c r="AS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11"/>
      <c r="X385" s="11"/>
      <c r="Y385" s="11"/>
      <c r="Z385" s="11"/>
      <c r="AA385" s="11"/>
      <c r="AB385" s="11"/>
      <c r="AC385" s="11"/>
      <c r="AD385" s="11"/>
      <c r="AE385" s="11"/>
      <c r="AF385" s="11"/>
      <c r="AG385" s="6"/>
      <c r="AH385" s="6"/>
      <c r="AI385" s="6"/>
      <c r="AJ385" s="6"/>
      <c r="AK385" s="6"/>
      <c r="AL385" s="6"/>
      <c r="AM385" s="6"/>
      <c r="AN385" s="6"/>
      <c r="AO385" s="6"/>
      <c r="AP385" s="6"/>
      <c r="AQ385" s="6"/>
      <c r="AR385" s="6"/>
      <c r="AS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11"/>
      <c r="X386" s="11"/>
      <c r="Y386" s="11"/>
      <c r="Z386" s="11"/>
      <c r="AA386" s="11"/>
      <c r="AB386" s="11"/>
      <c r="AC386" s="11"/>
      <c r="AD386" s="11"/>
      <c r="AE386" s="11"/>
      <c r="AF386" s="11"/>
      <c r="AG386" s="6"/>
      <c r="AH386" s="6"/>
      <c r="AI386" s="6"/>
      <c r="AJ386" s="6"/>
      <c r="AK386" s="6"/>
      <c r="AL386" s="6"/>
      <c r="AM386" s="6"/>
      <c r="AN386" s="6"/>
      <c r="AO386" s="6"/>
      <c r="AP386" s="6"/>
      <c r="AQ386" s="6"/>
      <c r="AR386" s="6"/>
      <c r="AS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11"/>
      <c r="X387" s="11"/>
      <c r="Y387" s="11"/>
      <c r="Z387" s="11"/>
      <c r="AA387" s="11"/>
      <c r="AB387" s="11"/>
      <c r="AC387" s="11"/>
      <c r="AD387" s="11"/>
      <c r="AE387" s="11"/>
      <c r="AF387" s="11"/>
      <c r="AG387" s="6"/>
      <c r="AH387" s="6"/>
      <c r="AI387" s="6"/>
      <c r="AJ387" s="6"/>
      <c r="AK387" s="6"/>
      <c r="AL387" s="6"/>
      <c r="AM387" s="6"/>
      <c r="AN387" s="6"/>
      <c r="AO387" s="6"/>
      <c r="AP387" s="6"/>
      <c r="AQ387" s="6"/>
      <c r="AR387" s="6"/>
      <c r="AS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11"/>
      <c r="X388" s="11"/>
      <c r="Y388" s="11"/>
      <c r="Z388" s="11"/>
      <c r="AA388" s="11"/>
      <c r="AB388" s="11"/>
      <c r="AC388" s="11"/>
      <c r="AD388" s="11"/>
      <c r="AE388" s="11"/>
      <c r="AF388" s="11"/>
      <c r="AG388" s="6"/>
      <c r="AH388" s="6"/>
      <c r="AI388" s="6"/>
      <c r="AJ388" s="6"/>
      <c r="AK388" s="6"/>
      <c r="AL388" s="6"/>
      <c r="AM388" s="6"/>
      <c r="AN388" s="6"/>
      <c r="AO388" s="6"/>
      <c r="AP388" s="6"/>
      <c r="AQ388" s="6"/>
      <c r="AR388" s="6"/>
      <c r="AS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11"/>
      <c r="X389" s="11"/>
      <c r="Y389" s="11"/>
      <c r="Z389" s="11"/>
      <c r="AA389" s="11"/>
      <c r="AB389" s="11"/>
      <c r="AC389" s="11"/>
      <c r="AD389" s="11"/>
      <c r="AE389" s="11"/>
      <c r="AF389" s="11"/>
      <c r="AG389" s="6"/>
      <c r="AH389" s="6"/>
      <c r="AI389" s="6"/>
      <c r="AJ389" s="6"/>
      <c r="AK389" s="6"/>
      <c r="AL389" s="6"/>
      <c r="AM389" s="6"/>
      <c r="AN389" s="6"/>
      <c r="AO389" s="6"/>
      <c r="AP389" s="6"/>
      <c r="AQ389" s="6"/>
      <c r="AR389" s="6"/>
      <c r="AS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11"/>
      <c r="X390" s="11"/>
      <c r="Y390" s="11"/>
      <c r="Z390" s="11"/>
      <c r="AA390" s="11"/>
      <c r="AB390" s="11"/>
      <c r="AC390" s="11"/>
      <c r="AD390" s="11"/>
      <c r="AE390" s="11"/>
      <c r="AF390" s="11"/>
      <c r="AG390" s="6"/>
      <c r="AH390" s="6"/>
      <c r="AI390" s="6"/>
      <c r="AJ390" s="6"/>
      <c r="AK390" s="6"/>
      <c r="AL390" s="6"/>
      <c r="AM390" s="6"/>
      <c r="AN390" s="6"/>
      <c r="AO390" s="6"/>
      <c r="AP390" s="6"/>
      <c r="AQ390" s="6"/>
      <c r="AR390" s="6"/>
      <c r="AS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11"/>
      <c r="X391" s="11"/>
      <c r="Y391" s="11"/>
      <c r="Z391" s="11"/>
      <c r="AA391" s="11"/>
      <c r="AB391" s="11"/>
      <c r="AC391" s="11"/>
      <c r="AD391" s="11"/>
      <c r="AE391" s="11"/>
      <c r="AF391" s="11"/>
      <c r="AG391" s="6"/>
      <c r="AH391" s="6"/>
      <c r="AI391" s="6"/>
      <c r="AJ391" s="6"/>
      <c r="AK391" s="6"/>
      <c r="AL391" s="6"/>
      <c r="AM391" s="6"/>
      <c r="AN391" s="6"/>
      <c r="AO391" s="6"/>
      <c r="AP391" s="6"/>
      <c r="AQ391" s="6"/>
      <c r="AR391" s="6"/>
      <c r="AS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11"/>
      <c r="X392" s="11"/>
      <c r="Y392" s="11"/>
      <c r="Z392" s="11"/>
      <c r="AA392" s="11"/>
      <c r="AB392" s="11"/>
      <c r="AC392" s="11"/>
      <c r="AD392" s="11"/>
      <c r="AE392" s="11"/>
      <c r="AF392" s="11"/>
      <c r="AG392" s="6"/>
      <c r="AH392" s="6"/>
      <c r="AI392" s="6"/>
      <c r="AJ392" s="6"/>
      <c r="AK392" s="6"/>
      <c r="AL392" s="6"/>
      <c r="AM392" s="6"/>
      <c r="AN392" s="6"/>
      <c r="AO392" s="6"/>
      <c r="AP392" s="6"/>
      <c r="AQ392" s="6"/>
      <c r="AR392" s="6"/>
      <c r="AS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11"/>
      <c r="X393" s="11"/>
      <c r="Y393" s="11"/>
      <c r="Z393" s="11"/>
      <c r="AA393" s="11"/>
      <c r="AB393" s="11"/>
      <c r="AC393" s="11"/>
      <c r="AD393" s="11"/>
      <c r="AE393" s="11"/>
      <c r="AF393" s="11"/>
      <c r="AG393" s="6"/>
      <c r="AH393" s="6"/>
      <c r="AI393" s="6"/>
      <c r="AJ393" s="6"/>
      <c r="AK393" s="6"/>
      <c r="AL393" s="6"/>
      <c r="AM393" s="6"/>
      <c r="AN393" s="6"/>
      <c r="AO393" s="6"/>
      <c r="AP393" s="6"/>
      <c r="AQ393" s="6"/>
      <c r="AR393" s="6"/>
      <c r="AS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11"/>
      <c r="X394" s="11"/>
      <c r="Y394" s="11"/>
      <c r="Z394" s="11"/>
      <c r="AA394" s="11"/>
      <c r="AB394" s="11"/>
      <c r="AC394" s="11"/>
      <c r="AD394" s="11"/>
      <c r="AE394" s="11"/>
      <c r="AF394" s="11"/>
      <c r="AG394" s="6"/>
      <c r="AH394" s="6"/>
      <c r="AI394" s="6"/>
      <c r="AJ394" s="6"/>
      <c r="AK394" s="6"/>
      <c r="AL394" s="6"/>
      <c r="AM394" s="6"/>
      <c r="AN394" s="6"/>
      <c r="AO394" s="6"/>
      <c r="AP394" s="6"/>
      <c r="AQ394" s="6"/>
      <c r="AR394" s="6"/>
      <c r="AS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11"/>
      <c r="X395" s="11"/>
      <c r="Y395" s="11"/>
      <c r="Z395" s="11"/>
      <c r="AA395" s="11"/>
      <c r="AB395" s="11"/>
      <c r="AC395" s="11"/>
      <c r="AD395" s="11"/>
      <c r="AE395" s="11"/>
      <c r="AF395" s="11"/>
      <c r="AG395" s="6"/>
      <c r="AH395" s="6"/>
      <c r="AI395" s="6"/>
      <c r="AJ395" s="6"/>
      <c r="AK395" s="6"/>
      <c r="AL395" s="6"/>
      <c r="AM395" s="6"/>
      <c r="AN395" s="6"/>
      <c r="AO395" s="6"/>
      <c r="AP395" s="6"/>
      <c r="AQ395" s="6"/>
      <c r="AR395" s="6"/>
      <c r="AS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11"/>
      <c r="X396" s="11"/>
      <c r="Y396" s="11"/>
      <c r="Z396" s="11"/>
      <c r="AA396" s="11"/>
      <c r="AB396" s="11"/>
      <c r="AC396" s="11"/>
      <c r="AD396" s="11"/>
      <c r="AE396" s="11"/>
      <c r="AF396" s="11"/>
      <c r="AG396" s="6"/>
      <c r="AH396" s="6"/>
      <c r="AI396" s="6"/>
      <c r="AJ396" s="6"/>
      <c r="AK396" s="6"/>
      <c r="AL396" s="6"/>
      <c r="AM396" s="6"/>
      <c r="AN396" s="6"/>
      <c r="AO396" s="6"/>
      <c r="AP396" s="6"/>
      <c r="AQ396" s="6"/>
      <c r="AR396" s="6"/>
      <c r="AS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11"/>
      <c r="X397" s="11"/>
      <c r="Y397" s="11"/>
      <c r="Z397" s="11"/>
      <c r="AA397" s="11"/>
      <c r="AB397" s="11"/>
      <c r="AC397" s="11"/>
      <c r="AD397" s="11"/>
      <c r="AE397" s="11"/>
      <c r="AF397" s="11"/>
      <c r="AG397" s="6"/>
      <c r="AH397" s="6"/>
      <c r="AI397" s="6"/>
      <c r="AJ397" s="6"/>
      <c r="AK397" s="6"/>
      <c r="AL397" s="6"/>
      <c r="AM397" s="6"/>
      <c r="AN397" s="6"/>
      <c r="AO397" s="6"/>
      <c r="AP397" s="6"/>
      <c r="AQ397" s="6"/>
      <c r="AR397" s="6"/>
      <c r="AS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11"/>
      <c r="X398" s="11"/>
      <c r="Y398" s="11"/>
      <c r="Z398" s="11"/>
      <c r="AA398" s="11"/>
      <c r="AB398" s="11"/>
      <c r="AC398" s="11"/>
      <c r="AD398" s="11"/>
      <c r="AE398" s="11"/>
      <c r="AF398" s="11"/>
      <c r="AG398" s="6"/>
      <c r="AH398" s="6"/>
      <c r="AI398" s="6"/>
      <c r="AJ398" s="6"/>
      <c r="AK398" s="6"/>
      <c r="AL398" s="6"/>
      <c r="AM398" s="6"/>
      <c r="AN398" s="6"/>
      <c r="AO398" s="6"/>
      <c r="AP398" s="6"/>
      <c r="AQ398" s="6"/>
      <c r="AR398" s="6"/>
      <c r="AS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11"/>
      <c r="X399" s="11"/>
      <c r="Y399" s="11"/>
      <c r="Z399" s="11"/>
      <c r="AA399" s="11"/>
      <c r="AB399" s="11"/>
      <c r="AC399" s="11"/>
      <c r="AD399" s="11"/>
      <c r="AE399" s="11"/>
      <c r="AF399" s="11"/>
      <c r="AG399" s="6"/>
      <c r="AH399" s="6"/>
      <c r="AI399" s="6"/>
      <c r="AJ399" s="6"/>
      <c r="AK399" s="6"/>
      <c r="AL399" s="6"/>
      <c r="AM399" s="6"/>
      <c r="AN399" s="6"/>
      <c r="AO399" s="6"/>
      <c r="AP399" s="6"/>
      <c r="AQ399" s="6"/>
      <c r="AR399" s="6"/>
      <c r="AS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11"/>
      <c r="X400" s="11"/>
      <c r="Y400" s="11"/>
      <c r="Z400" s="11"/>
      <c r="AA400" s="11"/>
      <c r="AB400" s="11"/>
      <c r="AC400" s="11"/>
      <c r="AD400" s="11"/>
      <c r="AE400" s="11"/>
      <c r="AF400" s="11"/>
      <c r="AG400" s="6"/>
      <c r="AH400" s="6"/>
      <c r="AI400" s="6"/>
      <c r="AJ400" s="6"/>
      <c r="AK400" s="6"/>
      <c r="AL400" s="6"/>
      <c r="AM400" s="6"/>
      <c r="AN400" s="6"/>
      <c r="AO400" s="6"/>
      <c r="AP400" s="6"/>
      <c r="AQ400" s="6"/>
      <c r="AR400" s="6"/>
      <c r="AS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11"/>
      <c r="X401" s="11"/>
      <c r="Y401" s="11"/>
      <c r="Z401" s="11"/>
      <c r="AA401" s="11"/>
      <c r="AB401" s="11"/>
      <c r="AC401" s="11"/>
      <c r="AD401" s="11"/>
      <c r="AE401" s="11"/>
      <c r="AF401" s="11"/>
      <c r="AG401" s="6"/>
      <c r="AH401" s="6"/>
      <c r="AI401" s="6"/>
      <c r="AJ401" s="6"/>
      <c r="AK401" s="6"/>
      <c r="AL401" s="6"/>
      <c r="AM401" s="6"/>
      <c r="AN401" s="6"/>
      <c r="AO401" s="6"/>
      <c r="AP401" s="6"/>
      <c r="AQ401" s="6"/>
      <c r="AR401" s="6"/>
      <c r="AS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11"/>
      <c r="X402" s="11"/>
      <c r="Y402" s="11"/>
      <c r="Z402" s="11"/>
      <c r="AA402" s="11"/>
      <c r="AB402" s="11"/>
      <c r="AC402" s="11"/>
      <c r="AD402" s="11"/>
      <c r="AE402" s="11"/>
      <c r="AF402" s="11"/>
      <c r="AG402" s="6"/>
      <c r="AH402" s="6"/>
      <c r="AI402" s="6"/>
      <c r="AJ402" s="6"/>
      <c r="AK402" s="6"/>
      <c r="AL402" s="6"/>
      <c r="AM402" s="6"/>
      <c r="AN402" s="6"/>
      <c r="AO402" s="6"/>
      <c r="AP402" s="6"/>
      <c r="AQ402" s="6"/>
      <c r="AR402" s="6"/>
      <c r="AS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11"/>
      <c r="X403" s="11"/>
      <c r="Y403" s="11"/>
      <c r="Z403" s="11"/>
      <c r="AA403" s="11"/>
      <c r="AB403" s="11"/>
      <c r="AC403" s="11"/>
      <c r="AD403" s="11"/>
      <c r="AE403" s="11"/>
      <c r="AF403" s="11"/>
      <c r="AG403" s="6"/>
      <c r="AH403" s="6"/>
      <c r="AI403" s="6"/>
      <c r="AJ403" s="6"/>
      <c r="AK403" s="6"/>
      <c r="AL403" s="6"/>
      <c r="AM403" s="6"/>
      <c r="AN403" s="6"/>
      <c r="AO403" s="6"/>
      <c r="AP403" s="6"/>
      <c r="AQ403" s="6"/>
      <c r="AR403" s="6"/>
      <c r="AS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11"/>
      <c r="X404" s="11"/>
      <c r="Y404" s="11"/>
      <c r="Z404" s="11"/>
      <c r="AA404" s="11"/>
      <c r="AB404" s="11"/>
      <c r="AC404" s="11"/>
      <c r="AD404" s="11"/>
      <c r="AE404" s="11"/>
      <c r="AF404" s="11"/>
      <c r="AG404" s="6"/>
      <c r="AH404" s="6"/>
      <c r="AI404" s="6"/>
      <c r="AJ404" s="6"/>
      <c r="AK404" s="6"/>
      <c r="AL404" s="6"/>
      <c r="AM404" s="6"/>
      <c r="AN404" s="6"/>
      <c r="AO404" s="6"/>
      <c r="AP404" s="6"/>
      <c r="AQ404" s="6"/>
      <c r="AR404" s="6"/>
      <c r="AS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11"/>
      <c r="X405" s="11"/>
      <c r="Y405" s="11"/>
      <c r="Z405" s="11"/>
      <c r="AA405" s="11"/>
      <c r="AB405" s="11"/>
      <c r="AC405" s="11"/>
      <c r="AD405" s="11"/>
      <c r="AE405" s="11"/>
      <c r="AF405" s="11"/>
      <c r="AG405" s="6"/>
      <c r="AH405" s="6"/>
      <c r="AI405" s="6"/>
      <c r="AJ405" s="6"/>
      <c r="AK405" s="6"/>
      <c r="AL405" s="6"/>
      <c r="AM405" s="6"/>
      <c r="AN405" s="6"/>
      <c r="AO405" s="6"/>
      <c r="AP405" s="6"/>
      <c r="AQ405" s="6"/>
      <c r="AR405" s="6"/>
      <c r="AS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11"/>
      <c r="X406" s="11"/>
      <c r="Y406" s="11"/>
      <c r="Z406" s="11"/>
      <c r="AA406" s="11"/>
      <c r="AB406" s="11"/>
      <c r="AC406" s="11"/>
      <c r="AD406" s="11"/>
      <c r="AE406" s="11"/>
      <c r="AF406" s="11"/>
      <c r="AG406" s="6"/>
      <c r="AH406" s="6"/>
      <c r="AI406" s="6"/>
      <c r="AJ406" s="6"/>
      <c r="AK406" s="6"/>
      <c r="AL406" s="6"/>
      <c r="AM406" s="6"/>
      <c r="AN406" s="6"/>
      <c r="AO406" s="6"/>
      <c r="AP406" s="6"/>
      <c r="AQ406" s="6"/>
      <c r="AR406" s="6"/>
      <c r="AS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11"/>
      <c r="X407" s="11"/>
      <c r="Y407" s="11"/>
      <c r="Z407" s="11"/>
      <c r="AA407" s="11"/>
      <c r="AB407" s="11"/>
      <c r="AC407" s="11"/>
      <c r="AD407" s="11"/>
      <c r="AE407" s="11"/>
      <c r="AF407" s="11"/>
      <c r="AG407" s="6"/>
      <c r="AH407" s="6"/>
      <c r="AI407" s="6"/>
      <c r="AJ407" s="6"/>
      <c r="AK407" s="6"/>
      <c r="AL407" s="6"/>
      <c r="AM407" s="6"/>
      <c r="AN407" s="6"/>
      <c r="AO407" s="6"/>
      <c r="AP407" s="6"/>
      <c r="AQ407" s="6"/>
      <c r="AR407" s="6"/>
      <c r="AS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11"/>
      <c r="X408" s="11"/>
      <c r="Y408" s="11"/>
      <c r="Z408" s="11"/>
      <c r="AA408" s="11"/>
      <c r="AB408" s="11"/>
      <c r="AC408" s="11"/>
      <c r="AD408" s="11"/>
      <c r="AE408" s="11"/>
      <c r="AF408" s="11"/>
      <c r="AG408" s="6"/>
      <c r="AH408" s="6"/>
      <c r="AI408" s="6"/>
      <c r="AJ408" s="6"/>
      <c r="AK408" s="6"/>
      <c r="AL408" s="6"/>
      <c r="AM408" s="6"/>
      <c r="AN408" s="6"/>
      <c r="AO408" s="6"/>
      <c r="AP408" s="6"/>
      <c r="AQ408" s="6"/>
      <c r="AR408" s="6"/>
      <c r="AS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11"/>
      <c r="X409" s="11"/>
      <c r="Y409" s="11"/>
      <c r="Z409" s="11"/>
      <c r="AA409" s="11"/>
      <c r="AB409" s="11"/>
      <c r="AC409" s="11"/>
      <c r="AD409" s="11"/>
      <c r="AE409" s="11"/>
      <c r="AF409" s="11"/>
      <c r="AG409" s="6"/>
      <c r="AH409" s="6"/>
      <c r="AI409" s="6"/>
      <c r="AJ409" s="6"/>
      <c r="AK409" s="6"/>
      <c r="AL409" s="6"/>
      <c r="AM409" s="6"/>
      <c r="AN409" s="6"/>
      <c r="AO409" s="6"/>
      <c r="AP409" s="6"/>
      <c r="AQ409" s="6"/>
      <c r="AR409" s="6"/>
      <c r="AS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11"/>
      <c r="X410" s="11"/>
      <c r="Y410" s="11"/>
      <c r="Z410" s="11"/>
      <c r="AA410" s="11"/>
      <c r="AB410" s="11"/>
      <c r="AC410" s="11"/>
      <c r="AD410" s="11"/>
      <c r="AE410" s="11"/>
      <c r="AF410" s="11"/>
      <c r="AG410" s="6"/>
      <c r="AH410" s="6"/>
      <c r="AI410" s="6"/>
      <c r="AJ410" s="6"/>
      <c r="AK410" s="6"/>
      <c r="AL410" s="6"/>
      <c r="AM410" s="6"/>
      <c r="AN410" s="6"/>
      <c r="AO410" s="6"/>
      <c r="AP410" s="6"/>
      <c r="AQ410" s="6"/>
      <c r="AR410" s="6"/>
      <c r="AS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11"/>
      <c r="X411" s="11"/>
      <c r="Y411" s="11"/>
      <c r="Z411" s="11"/>
      <c r="AA411" s="11"/>
      <c r="AB411" s="11"/>
      <c r="AC411" s="11"/>
      <c r="AD411" s="11"/>
      <c r="AE411" s="11"/>
      <c r="AF411" s="11"/>
      <c r="AG411" s="6"/>
      <c r="AH411" s="6"/>
      <c r="AI411" s="6"/>
      <c r="AJ411" s="6"/>
      <c r="AK411" s="6"/>
      <c r="AL411" s="6"/>
      <c r="AM411" s="6"/>
      <c r="AN411" s="6"/>
      <c r="AO411" s="6"/>
      <c r="AP411" s="6"/>
      <c r="AQ411" s="6"/>
      <c r="AR411" s="6"/>
      <c r="AS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11"/>
      <c r="X412" s="11"/>
      <c r="Y412" s="11"/>
      <c r="Z412" s="11"/>
      <c r="AA412" s="11"/>
      <c r="AB412" s="11"/>
      <c r="AC412" s="11"/>
      <c r="AD412" s="11"/>
      <c r="AE412" s="11"/>
      <c r="AF412" s="11"/>
      <c r="AG412" s="6"/>
      <c r="AH412" s="6"/>
      <c r="AI412" s="6"/>
      <c r="AJ412" s="6"/>
      <c r="AK412" s="6"/>
      <c r="AL412" s="6"/>
      <c r="AM412" s="6"/>
      <c r="AN412" s="6"/>
      <c r="AO412" s="6"/>
      <c r="AP412" s="6"/>
      <c r="AQ412" s="6"/>
      <c r="AR412" s="6"/>
      <c r="AS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11"/>
      <c r="X413" s="11"/>
      <c r="Y413" s="11"/>
      <c r="Z413" s="11"/>
      <c r="AA413" s="11"/>
      <c r="AB413" s="11"/>
      <c r="AC413" s="11"/>
      <c r="AD413" s="11"/>
      <c r="AE413" s="11"/>
      <c r="AF413" s="11"/>
      <c r="AG413" s="6"/>
      <c r="AH413" s="6"/>
      <c r="AI413" s="6"/>
      <c r="AJ413" s="6"/>
      <c r="AK413" s="6"/>
      <c r="AL413" s="6"/>
      <c r="AM413" s="6"/>
      <c r="AN413" s="6"/>
      <c r="AO413" s="6"/>
      <c r="AP413" s="6"/>
      <c r="AQ413" s="6"/>
      <c r="AR413" s="6"/>
      <c r="AS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11"/>
      <c r="X414" s="11"/>
      <c r="Y414" s="11"/>
      <c r="Z414" s="11"/>
      <c r="AA414" s="11"/>
      <c r="AB414" s="11"/>
      <c r="AC414" s="11"/>
      <c r="AD414" s="11"/>
      <c r="AE414" s="11"/>
      <c r="AF414" s="11"/>
      <c r="AG414" s="6"/>
      <c r="AH414" s="6"/>
      <c r="AI414" s="6"/>
      <c r="AJ414" s="6"/>
      <c r="AK414" s="6"/>
      <c r="AL414" s="6"/>
      <c r="AM414" s="6"/>
      <c r="AN414" s="6"/>
      <c r="AO414" s="6"/>
      <c r="AP414" s="6"/>
      <c r="AQ414" s="6"/>
      <c r="AR414" s="6"/>
      <c r="AS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11"/>
      <c r="X415" s="11"/>
      <c r="Y415" s="11"/>
      <c r="Z415" s="11"/>
      <c r="AA415" s="11"/>
      <c r="AB415" s="11"/>
      <c r="AC415" s="11"/>
      <c r="AD415" s="11"/>
      <c r="AE415" s="11"/>
      <c r="AF415" s="11"/>
      <c r="AG415" s="6"/>
      <c r="AH415" s="6"/>
      <c r="AI415" s="6"/>
      <c r="AJ415" s="6"/>
      <c r="AK415" s="6"/>
      <c r="AL415" s="6"/>
      <c r="AM415" s="6"/>
      <c r="AN415" s="6"/>
      <c r="AO415" s="6"/>
      <c r="AP415" s="6"/>
      <c r="AQ415" s="6"/>
      <c r="AR415" s="6"/>
      <c r="AS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11"/>
      <c r="X416" s="11"/>
      <c r="Y416" s="11"/>
      <c r="Z416" s="11"/>
      <c r="AA416" s="11"/>
      <c r="AB416" s="11"/>
      <c r="AC416" s="11"/>
      <c r="AD416" s="11"/>
      <c r="AE416" s="11"/>
      <c r="AF416" s="11"/>
      <c r="AG416" s="6"/>
      <c r="AH416" s="6"/>
      <c r="AI416" s="6"/>
      <c r="AJ416" s="6"/>
      <c r="AK416" s="6"/>
      <c r="AL416" s="6"/>
      <c r="AM416" s="6"/>
      <c r="AN416" s="6"/>
      <c r="AO416" s="6"/>
      <c r="AP416" s="6"/>
      <c r="AQ416" s="6"/>
      <c r="AR416" s="6"/>
      <c r="AS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11"/>
      <c r="X417" s="11"/>
      <c r="Y417" s="11"/>
      <c r="Z417" s="11"/>
      <c r="AA417" s="11"/>
      <c r="AB417" s="11"/>
      <c r="AC417" s="11"/>
      <c r="AD417" s="11"/>
      <c r="AE417" s="11"/>
      <c r="AF417" s="11"/>
      <c r="AG417" s="6"/>
      <c r="AH417" s="6"/>
      <c r="AI417" s="6"/>
      <c r="AJ417" s="6"/>
      <c r="AK417" s="6"/>
      <c r="AL417" s="6"/>
      <c r="AM417" s="6"/>
      <c r="AN417" s="6"/>
      <c r="AO417" s="6"/>
      <c r="AP417" s="6"/>
      <c r="AQ417" s="6"/>
      <c r="AR417" s="6"/>
      <c r="AS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11"/>
      <c r="X418" s="11"/>
      <c r="Y418" s="11"/>
      <c r="Z418" s="11"/>
      <c r="AA418" s="11"/>
      <c r="AB418" s="11"/>
      <c r="AC418" s="11"/>
      <c r="AD418" s="11"/>
      <c r="AE418" s="11"/>
      <c r="AF418" s="11"/>
      <c r="AG418" s="6"/>
      <c r="AH418" s="6"/>
      <c r="AI418" s="6"/>
      <c r="AJ418" s="6"/>
      <c r="AK418" s="6"/>
      <c r="AL418" s="6"/>
      <c r="AM418" s="6"/>
      <c r="AN418" s="6"/>
      <c r="AO418" s="6"/>
      <c r="AP418" s="6"/>
      <c r="AQ418" s="6"/>
      <c r="AR418" s="6"/>
      <c r="AS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11"/>
      <c r="X419" s="11"/>
      <c r="Y419" s="11"/>
      <c r="Z419" s="11"/>
      <c r="AA419" s="11"/>
      <c r="AB419" s="11"/>
      <c r="AC419" s="11"/>
      <c r="AD419" s="11"/>
      <c r="AE419" s="11"/>
      <c r="AF419" s="11"/>
      <c r="AG419" s="6"/>
      <c r="AH419" s="6"/>
      <c r="AI419" s="6"/>
      <c r="AJ419" s="6"/>
      <c r="AK419" s="6"/>
      <c r="AL419" s="6"/>
      <c r="AM419" s="6"/>
      <c r="AN419" s="6"/>
      <c r="AO419" s="6"/>
      <c r="AP419" s="6"/>
      <c r="AQ419" s="6"/>
      <c r="AR419" s="6"/>
      <c r="AS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11"/>
      <c r="X420" s="11"/>
      <c r="Y420" s="11"/>
      <c r="Z420" s="11"/>
      <c r="AA420" s="11"/>
      <c r="AB420" s="11"/>
      <c r="AC420" s="11"/>
      <c r="AD420" s="11"/>
      <c r="AE420" s="11"/>
      <c r="AF420" s="11"/>
      <c r="AG420" s="6"/>
      <c r="AH420" s="6"/>
      <c r="AI420" s="6"/>
      <c r="AJ420" s="6"/>
      <c r="AK420" s="6"/>
      <c r="AL420" s="6"/>
      <c r="AM420" s="6"/>
      <c r="AN420" s="6"/>
      <c r="AO420" s="6"/>
      <c r="AP420" s="6"/>
      <c r="AQ420" s="6"/>
      <c r="AR420" s="6"/>
      <c r="AS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11"/>
      <c r="X421" s="11"/>
      <c r="Y421" s="11"/>
      <c r="Z421" s="11"/>
      <c r="AA421" s="11"/>
      <c r="AB421" s="11"/>
      <c r="AC421" s="11"/>
      <c r="AD421" s="11"/>
      <c r="AE421" s="11"/>
      <c r="AF421" s="11"/>
      <c r="AG421" s="6"/>
      <c r="AH421" s="6"/>
      <c r="AI421" s="6"/>
      <c r="AJ421" s="6"/>
      <c r="AK421" s="6"/>
      <c r="AL421" s="6"/>
      <c r="AM421" s="6"/>
      <c r="AN421" s="6"/>
      <c r="AO421" s="6"/>
      <c r="AP421" s="6"/>
      <c r="AQ421" s="6"/>
      <c r="AR421" s="6"/>
      <c r="AS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11"/>
      <c r="X422" s="11"/>
      <c r="Y422" s="11"/>
      <c r="Z422" s="11"/>
      <c r="AA422" s="11"/>
      <c r="AB422" s="11"/>
      <c r="AC422" s="11"/>
      <c r="AD422" s="11"/>
      <c r="AE422" s="11"/>
      <c r="AF422" s="11"/>
      <c r="AG422" s="6"/>
      <c r="AH422" s="6"/>
      <c r="AI422" s="6"/>
      <c r="AJ422" s="6"/>
      <c r="AK422" s="6"/>
      <c r="AL422" s="6"/>
      <c r="AM422" s="6"/>
      <c r="AN422" s="6"/>
      <c r="AO422" s="6"/>
      <c r="AP422" s="6"/>
      <c r="AQ422" s="6"/>
      <c r="AR422" s="6"/>
      <c r="AS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11"/>
      <c r="X423" s="11"/>
      <c r="Y423" s="11"/>
      <c r="Z423" s="11"/>
      <c r="AA423" s="11"/>
      <c r="AB423" s="11"/>
      <c r="AC423" s="11"/>
      <c r="AD423" s="11"/>
      <c r="AE423" s="11"/>
      <c r="AF423" s="11"/>
      <c r="AG423" s="6"/>
      <c r="AH423" s="6"/>
      <c r="AI423" s="6"/>
      <c r="AJ423" s="6"/>
      <c r="AK423" s="6"/>
      <c r="AL423" s="6"/>
      <c r="AM423" s="6"/>
      <c r="AN423" s="6"/>
      <c r="AO423" s="6"/>
      <c r="AP423" s="6"/>
      <c r="AQ423" s="6"/>
      <c r="AR423" s="6"/>
      <c r="AS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11"/>
      <c r="X424" s="11"/>
      <c r="Y424" s="11"/>
      <c r="Z424" s="11"/>
      <c r="AA424" s="11"/>
      <c r="AB424" s="11"/>
      <c r="AC424" s="11"/>
      <c r="AD424" s="11"/>
      <c r="AE424" s="11"/>
      <c r="AF424" s="11"/>
      <c r="AG424" s="6"/>
      <c r="AH424" s="6"/>
      <c r="AI424" s="6"/>
      <c r="AJ424" s="6"/>
      <c r="AK424" s="6"/>
      <c r="AL424" s="6"/>
      <c r="AM424" s="6"/>
      <c r="AN424" s="6"/>
      <c r="AO424" s="6"/>
      <c r="AP424" s="6"/>
      <c r="AQ424" s="6"/>
      <c r="AR424" s="6"/>
      <c r="AS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11"/>
      <c r="X425" s="11"/>
      <c r="Y425" s="11"/>
      <c r="Z425" s="11"/>
      <c r="AA425" s="11"/>
      <c r="AB425" s="11"/>
      <c r="AC425" s="11"/>
      <c r="AD425" s="11"/>
      <c r="AE425" s="11"/>
      <c r="AF425" s="11"/>
      <c r="AG425" s="6"/>
      <c r="AH425" s="6"/>
      <c r="AI425" s="6"/>
      <c r="AJ425" s="6"/>
      <c r="AK425" s="6"/>
      <c r="AL425" s="6"/>
      <c r="AM425" s="6"/>
      <c r="AN425" s="6"/>
      <c r="AO425" s="6"/>
      <c r="AP425" s="6"/>
      <c r="AQ425" s="6"/>
      <c r="AR425" s="6"/>
      <c r="AS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11"/>
      <c r="X426" s="11"/>
      <c r="Y426" s="11"/>
      <c r="Z426" s="11"/>
      <c r="AA426" s="11"/>
      <c r="AB426" s="11"/>
      <c r="AC426" s="11"/>
      <c r="AD426" s="11"/>
      <c r="AE426" s="11"/>
      <c r="AF426" s="11"/>
      <c r="AG426" s="6"/>
      <c r="AH426" s="6"/>
      <c r="AI426" s="6"/>
      <c r="AJ426" s="6"/>
      <c r="AK426" s="6"/>
      <c r="AL426" s="6"/>
      <c r="AM426" s="6"/>
      <c r="AN426" s="6"/>
      <c r="AO426" s="6"/>
      <c r="AP426" s="6"/>
      <c r="AQ426" s="6"/>
      <c r="AR426" s="6"/>
      <c r="AS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11"/>
      <c r="X427" s="11"/>
      <c r="Y427" s="11"/>
      <c r="Z427" s="11"/>
      <c r="AA427" s="11"/>
      <c r="AB427" s="11"/>
      <c r="AC427" s="11"/>
      <c r="AD427" s="11"/>
      <c r="AE427" s="11"/>
      <c r="AF427" s="11"/>
      <c r="AG427" s="6"/>
      <c r="AH427" s="6"/>
      <c r="AI427" s="6"/>
      <c r="AJ427" s="6"/>
      <c r="AK427" s="6"/>
      <c r="AL427" s="6"/>
      <c r="AM427" s="6"/>
      <c r="AN427" s="6"/>
      <c r="AO427" s="6"/>
      <c r="AP427" s="6"/>
      <c r="AQ427" s="6"/>
      <c r="AR427" s="6"/>
      <c r="AS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11"/>
      <c r="X428" s="11"/>
      <c r="Y428" s="11"/>
      <c r="Z428" s="11"/>
      <c r="AA428" s="11"/>
      <c r="AB428" s="11"/>
      <c r="AC428" s="11"/>
      <c r="AD428" s="11"/>
      <c r="AE428" s="11"/>
      <c r="AF428" s="11"/>
      <c r="AG428" s="6"/>
      <c r="AH428" s="6"/>
      <c r="AI428" s="6"/>
      <c r="AJ428" s="6"/>
      <c r="AK428" s="6"/>
      <c r="AL428" s="6"/>
      <c r="AM428" s="6"/>
      <c r="AN428" s="6"/>
      <c r="AO428" s="6"/>
      <c r="AP428" s="6"/>
      <c r="AQ428" s="6"/>
      <c r="AR428" s="6"/>
      <c r="AS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11"/>
      <c r="X429" s="11"/>
      <c r="Y429" s="11"/>
      <c r="Z429" s="11"/>
      <c r="AA429" s="11"/>
      <c r="AB429" s="11"/>
      <c r="AC429" s="11"/>
      <c r="AD429" s="11"/>
      <c r="AE429" s="11"/>
      <c r="AF429" s="11"/>
      <c r="AG429" s="6"/>
      <c r="AH429" s="6"/>
      <c r="AI429" s="6"/>
      <c r="AJ429" s="6"/>
      <c r="AK429" s="6"/>
      <c r="AL429" s="6"/>
      <c r="AM429" s="6"/>
      <c r="AN429" s="6"/>
      <c r="AO429" s="6"/>
      <c r="AP429" s="6"/>
      <c r="AQ429" s="6"/>
      <c r="AR429" s="6"/>
      <c r="AS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11"/>
      <c r="X430" s="11"/>
      <c r="Y430" s="11"/>
      <c r="Z430" s="11"/>
      <c r="AA430" s="11"/>
      <c r="AB430" s="11"/>
      <c r="AC430" s="11"/>
      <c r="AD430" s="11"/>
      <c r="AE430" s="11"/>
      <c r="AF430" s="11"/>
      <c r="AG430" s="6"/>
      <c r="AH430" s="6"/>
      <c r="AI430" s="6"/>
      <c r="AJ430" s="6"/>
      <c r="AK430" s="6"/>
      <c r="AL430" s="6"/>
      <c r="AM430" s="6"/>
      <c r="AN430" s="6"/>
      <c r="AO430" s="6"/>
      <c r="AP430" s="6"/>
      <c r="AQ430" s="6"/>
      <c r="AR430" s="6"/>
      <c r="AS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11"/>
      <c r="X431" s="11"/>
      <c r="Y431" s="11"/>
      <c r="Z431" s="11"/>
      <c r="AA431" s="11"/>
      <c r="AB431" s="11"/>
      <c r="AC431" s="11"/>
      <c r="AD431" s="11"/>
      <c r="AE431" s="11"/>
      <c r="AF431" s="11"/>
      <c r="AG431" s="6"/>
      <c r="AH431" s="6"/>
      <c r="AI431" s="6"/>
      <c r="AJ431" s="6"/>
      <c r="AK431" s="6"/>
      <c r="AL431" s="6"/>
      <c r="AM431" s="6"/>
      <c r="AN431" s="6"/>
      <c r="AO431" s="6"/>
      <c r="AP431" s="6"/>
      <c r="AQ431" s="6"/>
      <c r="AR431" s="6"/>
      <c r="AS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11"/>
      <c r="X432" s="11"/>
      <c r="Y432" s="11"/>
      <c r="Z432" s="11"/>
      <c r="AA432" s="11"/>
      <c r="AB432" s="11"/>
      <c r="AC432" s="11"/>
      <c r="AD432" s="11"/>
      <c r="AE432" s="11"/>
      <c r="AF432" s="11"/>
      <c r="AG432" s="6"/>
      <c r="AH432" s="6"/>
      <c r="AI432" s="6"/>
      <c r="AJ432" s="6"/>
      <c r="AK432" s="6"/>
      <c r="AL432" s="6"/>
      <c r="AM432" s="6"/>
      <c r="AN432" s="6"/>
      <c r="AO432" s="6"/>
      <c r="AP432" s="6"/>
      <c r="AQ432" s="6"/>
      <c r="AR432" s="6"/>
      <c r="AS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11"/>
      <c r="X433" s="11"/>
      <c r="Y433" s="11"/>
      <c r="Z433" s="11"/>
      <c r="AA433" s="11"/>
      <c r="AB433" s="11"/>
      <c r="AC433" s="11"/>
      <c r="AD433" s="11"/>
      <c r="AE433" s="11"/>
      <c r="AF433" s="11"/>
      <c r="AG433" s="6"/>
      <c r="AH433" s="6"/>
      <c r="AI433" s="6"/>
      <c r="AJ433" s="6"/>
      <c r="AK433" s="6"/>
      <c r="AL433" s="6"/>
      <c r="AM433" s="6"/>
      <c r="AN433" s="6"/>
      <c r="AO433" s="6"/>
      <c r="AP433" s="6"/>
      <c r="AQ433" s="6"/>
      <c r="AR433" s="6"/>
      <c r="AS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11"/>
      <c r="X434" s="11"/>
      <c r="Y434" s="11"/>
      <c r="Z434" s="11"/>
      <c r="AA434" s="11"/>
      <c r="AB434" s="11"/>
      <c r="AC434" s="11"/>
      <c r="AD434" s="11"/>
      <c r="AE434" s="11"/>
      <c r="AF434" s="11"/>
      <c r="AG434" s="6"/>
      <c r="AH434" s="6"/>
      <c r="AI434" s="6"/>
      <c r="AJ434" s="6"/>
      <c r="AK434" s="6"/>
      <c r="AL434" s="6"/>
      <c r="AM434" s="6"/>
      <c r="AN434" s="6"/>
      <c r="AO434" s="6"/>
      <c r="AP434" s="6"/>
      <c r="AQ434" s="6"/>
      <c r="AR434" s="6"/>
      <c r="AS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11"/>
      <c r="X435" s="11"/>
      <c r="Y435" s="11"/>
      <c r="Z435" s="11"/>
      <c r="AA435" s="11"/>
      <c r="AB435" s="11"/>
      <c r="AC435" s="11"/>
      <c r="AD435" s="11"/>
      <c r="AE435" s="11"/>
      <c r="AF435" s="11"/>
      <c r="AG435" s="6"/>
      <c r="AH435" s="6"/>
      <c r="AI435" s="6"/>
      <c r="AJ435" s="6"/>
      <c r="AK435" s="6"/>
      <c r="AL435" s="6"/>
      <c r="AM435" s="6"/>
      <c r="AN435" s="6"/>
      <c r="AO435" s="6"/>
      <c r="AP435" s="6"/>
      <c r="AQ435" s="6"/>
      <c r="AR435" s="6"/>
      <c r="AS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11"/>
      <c r="X436" s="11"/>
      <c r="Y436" s="11"/>
      <c r="Z436" s="11"/>
      <c r="AA436" s="11"/>
      <c r="AB436" s="11"/>
      <c r="AC436" s="11"/>
      <c r="AD436" s="11"/>
      <c r="AE436" s="11"/>
      <c r="AF436" s="11"/>
      <c r="AG436" s="6"/>
      <c r="AH436" s="6"/>
      <c r="AI436" s="6"/>
      <c r="AJ436" s="6"/>
      <c r="AK436" s="6"/>
      <c r="AL436" s="6"/>
      <c r="AM436" s="6"/>
      <c r="AN436" s="6"/>
      <c r="AO436" s="6"/>
      <c r="AP436" s="6"/>
      <c r="AQ436" s="6"/>
      <c r="AR436" s="6"/>
      <c r="AS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11"/>
      <c r="X437" s="11"/>
      <c r="Y437" s="11"/>
      <c r="Z437" s="11"/>
      <c r="AA437" s="11"/>
      <c r="AB437" s="11"/>
      <c r="AC437" s="11"/>
      <c r="AD437" s="11"/>
      <c r="AE437" s="11"/>
      <c r="AF437" s="11"/>
      <c r="AG437" s="6"/>
      <c r="AH437" s="6"/>
      <c r="AI437" s="6"/>
      <c r="AJ437" s="6"/>
      <c r="AK437" s="6"/>
      <c r="AL437" s="6"/>
      <c r="AM437" s="6"/>
      <c r="AN437" s="6"/>
      <c r="AO437" s="6"/>
      <c r="AP437" s="6"/>
      <c r="AQ437" s="6"/>
      <c r="AR437" s="6"/>
      <c r="AS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11"/>
      <c r="X438" s="11"/>
      <c r="Y438" s="11"/>
      <c r="Z438" s="11"/>
      <c r="AA438" s="11"/>
      <c r="AB438" s="11"/>
      <c r="AC438" s="11"/>
      <c r="AD438" s="11"/>
      <c r="AE438" s="11"/>
      <c r="AF438" s="11"/>
      <c r="AG438" s="6"/>
      <c r="AH438" s="6"/>
      <c r="AI438" s="6"/>
      <c r="AJ438" s="6"/>
      <c r="AK438" s="6"/>
      <c r="AL438" s="6"/>
      <c r="AM438" s="6"/>
      <c r="AN438" s="6"/>
      <c r="AO438" s="6"/>
      <c r="AP438" s="6"/>
      <c r="AQ438" s="6"/>
      <c r="AR438" s="6"/>
      <c r="AS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11"/>
      <c r="X439" s="11"/>
      <c r="Y439" s="11"/>
      <c r="Z439" s="11"/>
      <c r="AA439" s="11"/>
      <c r="AB439" s="11"/>
      <c r="AC439" s="11"/>
      <c r="AD439" s="11"/>
      <c r="AE439" s="11"/>
      <c r="AF439" s="11"/>
      <c r="AG439" s="6"/>
      <c r="AH439" s="6"/>
      <c r="AI439" s="6"/>
      <c r="AJ439" s="6"/>
      <c r="AK439" s="6"/>
      <c r="AL439" s="6"/>
      <c r="AM439" s="6"/>
      <c r="AN439" s="6"/>
      <c r="AO439" s="6"/>
      <c r="AP439" s="6"/>
      <c r="AQ439" s="6"/>
      <c r="AR439" s="6"/>
      <c r="AS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11"/>
      <c r="X440" s="11"/>
      <c r="Y440" s="11"/>
      <c r="Z440" s="11"/>
      <c r="AA440" s="11"/>
      <c r="AB440" s="11"/>
      <c r="AC440" s="11"/>
      <c r="AD440" s="11"/>
      <c r="AE440" s="11"/>
      <c r="AF440" s="11"/>
      <c r="AG440" s="6"/>
      <c r="AH440" s="6"/>
      <c r="AI440" s="6"/>
      <c r="AJ440" s="6"/>
      <c r="AK440" s="6"/>
      <c r="AL440" s="6"/>
      <c r="AM440" s="6"/>
      <c r="AN440" s="6"/>
      <c r="AO440" s="6"/>
      <c r="AP440" s="6"/>
      <c r="AQ440" s="6"/>
      <c r="AR440" s="6"/>
      <c r="AS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11"/>
      <c r="X441" s="11"/>
      <c r="Y441" s="11"/>
      <c r="Z441" s="11"/>
      <c r="AA441" s="11"/>
      <c r="AB441" s="11"/>
      <c r="AC441" s="11"/>
      <c r="AD441" s="11"/>
      <c r="AE441" s="11"/>
      <c r="AF441" s="11"/>
      <c r="AG441" s="6"/>
      <c r="AH441" s="6"/>
      <c r="AI441" s="6"/>
      <c r="AJ441" s="6"/>
      <c r="AK441" s="6"/>
      <c r="AL441" s="6"/>
      <c r="AM441" s="6"/>
      <c r="AN441" s="6"/>
      <c r="AO441" s="6"/>
      <c r="AP441" s="6"/>
      <c r="AQ441" s="6"/>
      <c r="AR441" s="6"/>
      <c r="AS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11"/>
      <c r="X442" s="11"/>
      <c r="Y442" s="11"/>
      <c r="Z442" s="11"/>
      <c r="AA442" s="11"/>
      <c r="AB442" s="11"/>
      <c r="AC442" s="11"/>
      <c r="AD442" s="11"/>
      <c r="AE442" s="11"/>
      <c r="AF442" s="11"/>
      <c r="AG442" s="6"/>
      <c r="AH442" s="6"/>
      <c r="AI442" s="6"/>
      <c r="AJ442" s="6"/>
      <c r="AK442" s="6"/>
      <c r="AL442" s="6"/>
      <c r="AM442" s="6"/>
      <c r="AN442" s="6"/>
      <c r="AO442" s="6"/>
      <c r="AP442" s="6"/>
      <c r="AQ442" s="6"/>
      <c r="AR442" s="6"/>
      <c r="AS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11"/>
      <c r="X443" s="11"/>
      <c r="Y443" s="11"/>
      <c r="Z443" s="11"/>
      <c r="AA443" s="11"/>
      <c r="AB443" s="11"/>
      <c r="AC443" s="11"/>
      <c r="AD443" s="11"/>
      <c r="AE443" s="11"/>
      <c r="AF443" s="11"/>
      <c r="AG443" s="6"/>
      <c r="AH443" s="6"/>
      <c r="AI443" s="6"/>
      <c r="AJ443" s="6"/>
      <c r="AK443" s="6"/>
      <c r="AL443" s="6"/>
      <c r="AM443" s="6"/>
      <c r="AN443" s="6"/>
      <c r="AO443" s="6"/>
      <c r="AP443" s="6"/>
      <c r="AQ443" s="6"/>
      <c r="AR443" s="6"/>
      <c r="AS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11"/>
      <c r="X444" s="11"/>
      <c r="Y444" s="11"/>
      <c r="Z444" s="11"/>
      <c r="AA444" s="11"/>
      <c r="AB444" s="11"/>
      <c r="AC444" s="11"/>
      <c r="AD444" s="11"/>
      <c r="AE444" s="11"/>
      <c r="AF444" s="11"/>
      <c r="AG444" s="6"/>
      <c r="AH444" s="6"/>
      <c r="AI444" s="6"/>
      <c r="AJ444" s="6"/>
      <c r="AK444" s="6"/>
      <c r="AL444" s="6"/>
      <c r="AM444" s="6"/>
      <c r="AN444" s="6"/>
      <c r="AO444" s="6"/>
      <c r="AP444" s="6"/>
      <c r="AQ444" s="6"/>
      <c r="AR444" s="6"/>
      <c r="AS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11"/>
      <c r="X445" s="11"/>
      <c r="Y445" s="11"/>
      <c r="Z445" s="11"/>
      <c r="AA445" s="11"/>
      <c r="AB445" s="11"/>
      <c r="AC445" s="11"/>
      <c r="AD445" s="11"/>
      <c r="AE445" s="11"/>
      <c r="AF445" s="11"/>
      <c r="AG445" s="6"/>
      <c r="AH445" s="6"/>
      <c r="AI445" s="6"/>
      <c r="AJ445" s="6"/>
      <c r="AK445" s="6"/>
      <c r="AL445" s="6"/>
      <c r="AM445" s="6"/>
      <c r="AN445" s="6"/>
      <c r="AO445" s="6"/>
      <c r="AP445" s="6"/>
      <c r="AQ445" s="6"/>
      <c r="AR445" s="6"/>
      <c r="AS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11"/>
      <c r="X446" s="11"/>
      <c r="Y446" s="11"/>
      <c r="Z446" s="11"/>
      <c r="AA446" s="11"/>
      <c r="AB446" s="11"/>
      <c r="AC446" s="11"/>
      <c r="AD446" s="11"/>
      <c r="AE446" s="11"/>
      <c r="AF446" s="11"/>
      <c r="AG446" s="6"/>
      <c r="AH446" s="6"/>
      <c r="AI446" s="6"/>
      <c r="AJ446" s="6"/>
      <c r="AK446" s="6"/>
      <c r="AL446" s="6"/>
      <c r="AM446" s="6"/>
      <c r="AN446" s="6"/>
      <c r="AO446" s="6"/>
      <c r="AP446" s="6"/>
      <c r="AQ446" s="6"/>
      <c r="AR446" s="6"/>
      <c r="AS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11"/>
      <c r="X447" s="11"/>
      <c r="Y447" s="11"/>
      <c r="Z447" s="11"/>
      <c r="AA447" s="11"/>
      <c r="AB447" s="11"/>
      <c r="AC447" s="11"/>
      <c r="AD447" s="11"/>
      <c r="AE447" s="11"/>
      <c r="AF447" s="11"/>
      <c r="AG447" s="6"/>
      <c r="AH447" s="6"/>
      <c r="AI447" s="6"/>
      <c r="AJ447" s="6"/>
      <c r="AK447" s="6"/>
      <c r="AL447" s="6"/>
      <c r="AM447" s="6"/>
      <c r="AN447" s="6"/>
      <c r="AO447" s="6"/>
      <c r="AP447" s="6"/>
      <c r="AQ447" s="6"/>
      <c r="AR447" s="6"/>
      <c r="AS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11"/>
      <c r="X448" s="11"/>
      <c r="Y448" s="11"/>
      <c r="Z448" s="11"/>
      <c r="AA448" s="11"/>
      <c r="AB448" s="11"/>
      <c r="AC448" s="11"/>
      <c r="AD448" s="11"/>
      <c r="AE448" s="11"/>
      <c r="AF448" s="11"/>
      <c r="AG448" s="6"/>
      <c r="AH448" s="6"/>
      <c r="AI448" s="6"/>
      <c r="AJ448" s="6"/>
      <c r="AK448" s="6"/>
      <c r="AL448" s="6"/>
      <c r="AM448" s="6"/>
      <c r="AN448" s="6"/>
      <c r="AO448" s="6"/>
      <c r="AP448" s="6"/>
      <c r="AQ448" s="6"/>
      <c r="AR448" s="6"/>
      <c r="AS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11"/>
      <c r="X449" s="11"/>
      <c r="Y449" s="11"/>
      <c r="Z449" s="11"/>
      <c r="AA449" s="11"/>
      <c r="AB449" s="11"/>
      <c r="AC449" s="11"/>
      <c r="AD449" s="11"/>
      <c r="AE449" s="11"/>
      <c r="AF449" s="11"/>
      <c r="AG449" s="6"/>
      <c r="AH449" s="6"/>
      <c r="AI449" s="6"/>
      <c r="AJ449" s="6"/>
      <c r="AK449" s="6"/>
      <c r="AL449" s="6"/>
      <c r="AM449" s="6"/>
      <c r="AN449" s="6"/>
      <c r="AO449" s="6"/>
      <c r="AP449" s="6"/>
      <c r="AQ449" s="6"/>
      <c r="AR449" s="6"/>
      <c r="AS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11"/>
      <c r="X450" s="11"/>
      <c r="Y450" s="11"/>
      <c r="Z450" s="11"/>
      <c r="AA450" s="11"/>
      <c r="AB450" s="11"/>
      <c r="AC450" s="11"/>
      <c r="AD450" s="11"/>
      <c r="AE450" s="11"/>
      <c r="AF450" s="11"/>
      <c r="AG450" s="6"/>
      <c r="AH450" s="6"/>
      <c r="AI450" s="6"/>
      <c r="AJ450" s="6"/>
      <c r="AK450" s="6"/>
      <c r="AL450" s="6"/>
      <c r="AM450" s="6"/>
      <c r="AN450" s="6"/>
      <c r="AO450" s="6"/>
      <c r="AP450" s="6"/>
      <c r="AQ450" s="6"/>
      <c r="AR450" s="6"/>
      <c r="AS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11"/>
      <c r="X451" s="11"/>
      <c r="Y451" s="11"/>
      <c r="Z451" s="11"/>
      <c r="AA451" s="11"/>
      <c r="AB451" s="11"/>
      <c r="AC451" s="11"/>
      <c r="AD451" s="11"/>
      <c r="AE451" s="11"/>
      <c r="AF451" s="11"/>
      <c r="AG451" s="6"/>
      <c r="AH451" s="6"/>
      <c r="AI451" s="6"/>
      <c r="AJ451" s="6"/>
      <c r="AK451" s="6"/>
      <c r="AL451" s="6"/>
      <c r="AM451" s="6"/>
      <c r="AN451" s="6"/>
      <c r="AO451" s="6"/>
      <c r="AP451" s="6"/>
      <c r="AQ451" s="6"/>
      <c r="AR451" s="6"/>
      <c r="AS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11"/>
      <c r="X452" s="11"/>
      <c r="Y452" s="11"/>
      <c r="Z452" s="11"/>
      <c r="AA452" s="11"/>
      <c r="AB452" s="11"/>
      <c r="AC452" s="11"/>
      <c r="AD452" s="11"/>
      <c r="AE452" s="11"/>
      <c r="AF452" s="11"/>
      <c r="AG452" s="6"/>
      <c r="AH452" s="6"/>
      <c r="AI452" s="6"/>
      <c r="AJ452" s="6"/>
      <c r="AK452" s="6"/>
      <c r="AL452" s="6"/>
      <c r="AM452" s="6"/>
      <c r="AN452" s="6"/>
      <c r="AO452" s="6"/>
      <c r="AP452" s="6"/>
      <c r="AQ452" s="6"/>
      <c r="AR452" s="6"/>
      <c r="AS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11"/>
      <c r="X453" s="11"/>
      <c r="Y453" s="11"/>
      <c r="Z453" s="11"/>
      <c r="AA453" s="11"/>
      <c r="AB453" s="11"/>
      <c r="AC453" s="11"/>
      <c r="AD453" s="11"/>
      <c r="AE453" s="11"/>
      <c r="AF453" s="11"/>
      <c r="AG453" s="6"/>
      <c r="AH453" s="6"/>
      <c r="AI453" s="6"/>
      <c r="AJ453" s="6"/>
      <c r="AK453" s="6"/>
      <c r="AL453" s="6"/>
      <c r="AM453" s="6"/>
      <c r="AN453" s="6"/>
      <c r="AO453" s="6"/>
      <c r="AP453" s="6"/>
      <c r="AQ453" s="6"/>
      <c r="AR453" s="6"/>
      <c r="AS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11"/>
      <c r="X454" s="11"/>
      <c r="Y454" s="11"/>
      <c r="Z454" s="11"/>
      <c r="AA454" s="11"/>
      <c r="AB454" s="11"/>
      <c r="AC454" s="11"/>
      <c r="AD454" s="11"/>
      <c r="AE454" s="11"/>
      <c r="AF454" s="11"/>
      <c r="AG454" s="6"/>
      <c r="AH454" s="6"/>
      <c r="AI454" s="6"/>
      <c r="AJ454" s="6"/>
      <c r="AK454" s="6"/>
      <c r="AL454" s="6"/>
      <c r="AM454" s="6"/>
      <c r="AN454" s="6"/>
      <c r="AO454" s="6"/>
      <c r="AP454" s="6"/>
      <c r="AQ454" s="6"/>
      <c r="AR454" s="6"/>
      <c r="AS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11"/>
      <c r="X455" s="11"/>
      <c r="Y455" s="11"/>
      <c r="Z455" s="11"/>
      <c r="AA455" s="11"/>
      <c r="AB455" s="11"/>
      <c r="AC455" s="11"/>
      <c r="AD455" s="11"/>
      <c r="AE455" s="11"/>
      <c r="AF455" s="11"/>
      <c r="AG455" s="6"/>
      <c r="AH455" s="6"/>
      <c r="AI455" s="6"/>
      <c r="AJ455" s="6"/>
      <c r="AK455" s="6"/>
      <c r="AL455" s="6"/>
      <c r="AM455" s="6"/>
      <c r="AN455" s="6"/>
      <c r="AO455" s="6"/>
      <c r="AP455" s="6"/>
      <c r="AQ455" s="6"/>
      <c r="AR455" s="6"/>
      <c r="AS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11"/>
      <c r="X456" s="11"/>
      <c r="Y456" s="11"/>
      <c r="Z456" s="11"/>
      <c r="AA456" s="11"/>
      <c r="AB456" s="11"/>
      <c r="AC456" s="11"/>
      <c r="AD456" s="11"/>
      <c r="AE456" s="11"/>
      <c r="AF456" s="11"/>
      <c r="AG456" s="6"/>
      <c r="AH456" s="6"/>
      <c r="AI456" s="6"/>
      <c r="AJ456" s="6"/>
      <c r="AK456" s="6"/>
      <c r="AL456" s="6"/>
      <c r="AM456" s="6"/>
      <c r="AN456" s="6"/>
      <c r="AO456" s="6"/>
      <c r="AP456" s="6"/>
      <c r="AQ456" s="6"/>
      <c r="AR456" s="6"/>
      <c r="AS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11"/>
      <c r="X457" s="11"/>
      <c r="Y457" s="11"/>
      <c r="Z457" s="11"/>
      <c r="AA457" s="11"/>
      <c r="AB457" s="11"/>
      <c r="AC457" s="11"/>
      <c r="AD457" s="11"/>
      <c r="AE457" s="11"/>
      <c r="AF457" s="11"/>
      <c r="AG457" s="6"/>
      <c r="AH457" s="6"/>
      <c r="AI457" s="6"/>
      <c r="AJ457" s="6"/>
      <c r="AK457" s="6"/>
      <c r="AL457" s="6"/>
      <c r="AM457" s="6"/>
      <c r="AN457" s="6"/>
      <c r="AO457" s="6"/>
      <c r="AP457" s="6"/>
      <c r="AQ457" s="6"/>
      <c r="AR457" s="6"/>
      <c r="AS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11"/>
      <c r="X458" s="11"/>
      <c r="Y458" s="11"/>
      <c r="Z458" s="11"/>
      <c r="AA458" s="11"/>
      <c r="AB458" s="11"/>
      <c r="AC458" s="11"/>
      <c r="AD458" s="11"/>
      <c r="AE458" s="11"/>
      <c r="AF458" s="11"/>
      <c r="AG458" s="6"/>
      <c r="AH458" s="6"/>
      <c r="AI458" s="6"/>
      <c r="AJ458" s="6"/>
      <c r="AK458" s="6"/>
      <c r="AL458" s="6"/>
      <c r="AM458" s="6"/>
      <c r="AN458" s="6"/>
      <c r="AO458" s="6"/>
      <c r="AP458" s="6"/>
      <c r="AQ458" s="6"/>
      <c r="AR458" s="6"/>
      <c r="AS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11"/>
      <c r="X459" s="11"/>
      <c r="Y459" s="11"/>
      <c r="Z459" s="11"/>
      <c r="AA459" s="11"/>
      <c r="AB459" s="11"/>
      <c r="AC459" s="11"/>
      <c r="AD459" s="11"/>
      <c r="AE459" s="11"/>
      <c r="AF459" s="11"/>
      <c r="AG459" s="6"/>
      <c r="AH459" s="6"/>
      <c r="AI459" s="6"/>
      <c r="AJ459" s="6"/>
      <c r="AK459" s="6"/>
      <c r="AL459" s="6"/>
      <c r="AM459" s="6"/>
      <c r="AN459" s="6"/>
      <c r="AO459" s="6"/>
      <c r="AP459" s="6"/>
      <c r="AQ459" s="6"/>
      <c r="AR459" s="6"/>
      <c r="AS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11"/>
      <c r="X460" s="11"/>
      <c r="Y460" s="11"/>
      <c r="Z460" s="11"/>
      <c r="AA460" s="11"/>
      <c r="AB460" s="11"/>
      <c r="AC460" s="11"/>
      <c r="AD460" s="11"/>
      <c r="AE460" s="11"/>
      <c r="AF460" s="11"/>
      <c r="AG460" s="6"/>
      <c r="AH460" s="6"/>
      <c r="AI460" s="6"/>
      <c r="AJ460" s="6"/>
      <c r="AK460" s="6"/>
      <c r="AL460" s="6"/>
      <c r="AM460" s="6"/>
      <c r="AN460" s="6"/>
      <c r="AO460" s="6"/>
      <c r="AP460" s="6"/>
      <c r="AQ460" s="6"/>
      <c r="AR460" s="6"/>
      <c r="AS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11"/>
      <c r="X461" s="11"/>
      <c r="Y461" s="11"/>
      <c r="Z461" s="11"/>
      <c r="AA461" s="11"/>
      <c r="AB461" s="11"/>
      <c r="AC461" s="11"/>
      <c r="AD461" s="11"/>
      <c r="AE461" s="11"/>
      <c r="AF461" s="11"/>
      <c r="AG461" s="6"/>
      <c r="AH461" s="6"/>
      <c r="AI461" s="6"/>
      <c r="AJ461" s="6"/>
      <c r="AK461" s="6"/>
      <c r="AL461" s="6"/>
      <c r="AM461" s="6"/>
      <c r="AN461" s="6"/>
      <c r="AO461" s="6"/>
      <c r="AP461" s="6"/>
      <c r="AQ461" s="6"/>
      <c r="AR461" s="6"/>
      <c r="AS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11"/>
      <c r="X462" s="11"/>
      <c r="Y462" s="11"/>
      <c r="Z462" s="11"/>
      <c r="AA462" s="11"/>
      <c r="AB462" s="11"/>
      <c r="AC462" s="11"/>
      <c r="AD462" s="11"/>
      <c r="AE462" s="11"/>
      <c r="AF462" s="11"/>
      <c r="AG462" s="6"/>
      <c r="AH462" s="6"/>
      <c r="AI462" s="6"/>
      <c r="AJ462" s="6"/>
      <c r="AK462" s="6"/>
      <c r="AL462" s="6"/>
      <c r="AM462" s="6"/>
      <c r="AN462" s="6"/>
      <c r="AO462" s="6"/>
      <c r="AP462" s="6"/>
      <c r="AQ462" s="6"/>
      <c r="AR462" s="6"/>
      <c r="AS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11"/>
      <c r="X463" s="11"/>
      <c r="Y463" s="11"/>
      <c r="Z463" s="11"/>
      <c r="AA463" s="11"/>
      <c r="AB463" s="11"/>
      <c r="AC463" s="11"/>
      <c r="AD463" s="11"/>
      <c r="AE463" s="11"/>
      <c r="AF463" s="11"/>
      <c r="AG463" s="6"/>
      <c r="AH463" s="6"/>
      <c r="AI463" s="6"/>
      <c r="AJ463" s="6"/>
      <c r="AK463" s="6"/>
      <c r="AL463" s="6"/>
      <c r="AM463" s="6"/>
      <c r="AN463" s="6"/>
      <c r="AO463" s="6"/>
      <c r="AP463" s="6"/>
      <c r="AQ463" s="6"/>
      <c r="AR463" s="6"/>
      <c r="AS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11"/>
      <c r="X464" s="11"/>
      <c r="Y464" s="11"/>
      <c r="Z464" s="11"/>
      <c r="AA464" s="11"/>
      <c r="AB464" s="11"/>
      <c r="AC464" s="11"/>
      <c r="AD464" s="11"/>
      <c r="AE464" s="11"/>
      <c r="AF464" s="11"/>
      <c r="AG464" s="6"/>
      <c r="AH464" s="6"/>
      <c r="AI464" s="6"/>
      <c r="AJ464" s="6"/>
      <c r="AK464" s="6"/>
      <c r="AL464" s="6"/>
      <c r="AM464" s="6"/>
      <c r="AN464" s="6"/>
      <c r="AO464" s="6"/>
      <c r="AP464" s="6"/>
      <c r="AQ464" s="6"/>
      <c r="AR464" s="6"/>
      <c r="AS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11"/>
      <c r="X465" s="11"/>
      <c r="Y465" s="11"/>
      <c r="Z465" s="11"/>
      <c r="AA465" s="11"/>
      <c r="AB465" s="11"/>
      <c r="AC465" s="11"/>
      <c r="AD465" s="11"/>
      <c r="AE465" s="11"/>
      <c r="AF465" s="11"/>
      <c r="AG465" s="6"/>
      <c r="AH465" s="6"/>
      <c r="AI465" s="6"/>
      <c r="AJ465" s="6"/>
      <c r="AK465" s="6"/>
      <c r="AL465" s="6"/>
      <c r="AM465" s="6"/>
      <c r="AN465" s="6"/>
      <c r="AO465" s="6"/>
      <c r="AP465" s="6"/>
      <c r="AQ465" s="6"/>
      <c r="AR465" s="6"/>
      <c r="AS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11"/>
      <c r="X466" s="11"/>
      <c r="Y466" s="11"/>
      <c r="Z466" s="11"/>
      <c r="AA466" s="11"/>
      <c r="AB466" s="11"/>
      <c r="AC466" s="11"/>
      <c r="AD466" s="11"/>
      <c r="AE466" s="11"/>
      <c r="AF466" s="11"/>
      <c r="AG466" s="6"/>
      <c r="AH466" s="6"/>
      <c r="AI466" s="6"/>
      <c r="AJ466" s="6"/>
      <c r="AK466" s="6"/>
      <c r="AL466" s="6"/>
      <c r="AM466" s="6"/>
      <c r="AN466" s="6"/>
      <c r="AO466" s="6"/>
      <c r="AP466" s="6"/>
      <c r="AQ466" s="6"/>
      <c r="AR466" s="6"/>
      <c r="AS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11"/>
      <c r="X467" s="11"/>
      <c r="Y467" s="11"/>
      <c r="Z467" s="11"/>
      <c r="AA467" s="11"/>
      <c r="AB467" s="11"/>
      <c r="AC467" s="11"/>
      <c r="AD467" s="11"/>
      <c r="AE467" s="11"/>
      <c r="AF467" s="11"/>
      <c r="AG467" s="6"/>
      <c r="AH467" s="6"/>
      <c r="AI467" s="6"/>
      <c r="AJ467" s="6"/>
      <c r="AK467" s="6"/>
      <c r="AL467" s="6"/>
      <c r="AM467" s="6"/>
      <c r="AN467" s="6"/>
      <c r="AO467" s="6"/>
      <c r="AP467" s="6"/>
      <c r="AQ467" s="6"/>
      <c r="AR467" s="6"/>
      <c r="AS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11"/>
      <c r="X468" s="11"/>
      <c r="Y468" s="11"/>
      <c r="Z468" s="11"/>
      <c r="AA468" s="11"/>
      <c r="AB468" s="11"/>
      <c r="AC468" s="11"/>
      <c r="AD468" s="11"/>
      <c r="AE468" s="11"/>
      <c r="AF468" s="11"/>
      <c r="AG468" s="6"/>
      <c r="AH468" s="6"/>
      <c r="AI468" s="6"/>
      <c r="AJ468" s="6"/>
      <c r="AK468" s="6"/>
      <c r="AL468" s="6"/>
      <c r="AM468" s="6"/>
      <c r="AN468" s="6"/>
      <c r="AO468" s="6"/>
      <c r="AP468" s="6"/>
      <c r="AQ468" s="6"/>
      <c r="AR468" s="6"/>
      <c r="AS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11"/>
      <c r="X469" s="11"/>
      <c r="Y469" s="11"/>
      <c r="Z469" s="11"/>
      <c r="AA469" s="11"/>
      <c r="AB469" s="11"/>
      <c r="AC469" s="11"/>
      <c r="AD469" s="11"/>
      <c r="AE469" s="11"/>
      <c r="AF469" s="11"/>
      <c r="AG469" s="6"/>
      <c r="AH469" s="6"/>
      <c r="AI469" s="6"/>
      <c r="AJ469" s="6"/>
      <c r="AK469" s="6"/>
      <c r="AL469" s="6"/>
      <c r="AM469" s="6"/>
      <c r="AN469" s="6"/>
      <c r="AO469" s="6"/>
      <c r="AP469" s="6"/>
      <c r="AQ469" s="6"/>
      <c r="AR469" s="6"/>
      <c r="AS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11"/>
      <c r="X470" s="11"/>
      <c r="Y470" s="11"/>
      <c r="Z470" s="11"/>
      <c r="AA470" s="11"/>
      <c r="AB470" s="11"/>
      <c r="AC470" s="11"/>
      <c r="AD470" s="11"/>
      <c r="AE470" s="11"/>
      <c r="AF470" s="11"/>
      <c r="AG470" s="6"/>
      <c r="AH470" s="6"/>
      <c r="AI470" s="6"/>
      <c r="AJ470" s="6"/>
      <c r="AK470" s="6"/>
      <c r="AL470" s="6"/>
      <c r="AM470" s="6"/>
      <c r="AN470" s="6"/>
      <c r="AO470" s="6"/>
      <c r="AP470" s="6"/>
      <c r="AQ470" s="6"/>
      <c r="AR470" s="6"/>
      <c r="AS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11"/>
      <c r="X471" s="11"/>
      <c r="Y471" s="11"/>
      <c r="Z471" s="11"/>
      <c r="AA471" s="11"/>
      <c r="AB471" s="11"/>
      <c r="AC471" s="11"/>
      <c r="AD471" s="11"/>
      <c r="AE471" s="11"/>
      <c r="AF471" s="11"/>
      <c r="AG471" s="6"/>
      <c r="AH471" s="6"/>
      <c r="AI471" s="6"/>
      <c r="AJ471" s="6"/>
      <c r="AK471" s="6"/>
      <c r="AL471" s="6"/>
      <c r="AM471" s="6"/>
      <c r="AN471" s="6"/>
      <c r="AO471" s="6"/>
      <c r="AP471" s="6"/>
      <c r="AQ471" s="6"/>
      <c r="AR471" s="6"/>
      <c r="AS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11"/>
      <c r="X472" s="11"/>
      <c r="Y472" s="11"/>
      <c r="Z472" s="11"/>
      <c r="AA472" s="11"/>
      <c r="AB472" s="11"/>
      <c r="AC472" s="11"/>
      <c r="AD472" s="11"/>
      <c r="AE472" s="11"/>
      <c r="AF472" s="11"/>
      <c r="AG472" s="6"/>
      <c r="AH472" s="6"/>
      <c r="AI472" s="6"/>
      <c r="AJ472" s="6"/>
      <c r="AK472" s="6"/>
      <c r="AL472" s="6"/>
      <c r="AM472" s="6"/>
      <c r="AN472" s="6"/>
      <c r="AO472" s="6"/>
      <c r="AP472" s="6"/>
      <c r="AQ472" s="6"/>
      <c r="AR472" s="6"/>
      <c r="AS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11"/>
      <c r="X473" s="11"/>
      <c r="Y473" s="11"/>
      <c r="Z473" s="11"/>
      <c r="AA473" s="11"/>
      <c r="AB473" s="11"/>
      <c r="AC473" s="11"/>
      <c r="AD473" s="11"/>
      <c r="AE473" s="11"/>
      <c r="AF473" s="11"/>
      <c r="AG473" s="6"/>
      <c r="AH473" s="6"/>
      <c r="AI473" s="6"/>
      <c r="AJ473" s="6"/>
      <c r="AK473" s="6"/>
      <c r="AL473" s="6"/>
      <c r="AM473" s="6"/>
      <c r="AN473" s="6"/>
      <c r="AO473" s="6"/>
      <c r="AP473" s="6"/>
      <c r="AQ473" s="6"/>
      <c r="AR473" s="6"/>
      <c r="AS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11"/>
      <c r="X474" s="11"/>
      <c r="Y474" s="11"/>
      <c r="Z474" s="11"/>
      <c r="AA474" s="11"/>
      <c r="AB474" s="11"/>
      <c r="AC474" s="11"/>
      <c r="AD474" s="11"/>
      <c r="AE474" s="11"/>
      <c r="AF474" s="11"/>
      <c r="AG474" s="6"/>
      <c r="AH474" s="6"/>
      <c r="AI474" s="6"/>
      <c r="AJ474" s="6"/>
      <c r="AK474" s="6"/>
      <c r="AL474" s="6"/>
      <c r="AM474" s="6"/>
      <c r="AN474" s="6"/>
      <c r="AO474" s="6"/>
      <c r="AP474" s="6"/>
      <c r="AQ474" s="6"/>
      <c r="AR474" s="6"/>
      <c r="AS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11"/>
      <c r="X475" s="11"/>
      <c r="Y475" s="11"/>
      <c r="Z475" s="11"/>
      <c r="AA475" s="11"/>
      <c r="AB475" s="11"/>
      <c r="AC475" s="11"/>
      <c r="AD475" s="11"/>
      <c r="AE475" s="11"/>
      <c r="AF475" s="11"/>
      <c r="AG475" s="6"/>
      <c r="AH475" s="6"/>
      <c r="AI475" s="6"/>
      <c r="AJ475" s="6"/>
      <c r="AK475" s="6"/>
      <c r="AL475" s="6"/>
      <c r="AM475" s="6"/>
      <c r="AN475" s="6"/>
      <c r="AO475" s="6"/>
      <c r="AP475" s="6"/>
      <c r="AQ475" s="6"/>
      <c r="AR475" s="6"/>
      <c r="AS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11"/>
      <c r="X476" s="11"/>
      <c r="Y476" s="11"/>
      <c r="Z476" s="11"/>
      <c r="AA476" s="11"/>
      <c r="AB476" s="11"/>
      <c r="AC476" s="11"/>
      <c r="AD476" s="11"/>
      <c r="AE476" s="11"/>
      <c r="AF476" s="11"/>
      <c r="AG476" s="6"/>
      <c r="AH476" s="6"/>
      <c r="AI476" s="6"/>
      <c r="AJ476" s="6"/>
      <c r="AK476" s="6"/>
      <c r="AL476" s="6"/>
      <c r="AM476" s="6"/>
      <c r="AN476" s="6"/>
      <c r="AO476" s="6"/>
      <c r="AP476" s="6"/>
      <c r="AQ476" s="6"/>
      <c r="AR476" s="6"/>
      <c r="AS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11"/>
      <c r="X477" s="11"/>
      <c r="Y477" s="11"/>
      <c r="Z477" s="11"/>
      <c r="AA477" s="11"/>
      <c r="AB477" s="11"/>
      <c r="AC477" s="11"/>
      <c r="AD477" s="11"/>
      <c r="AE477" s="11"/>
      <c r="AF477" s="11"/>
      <c r="AG477" s="6"/>
      <c r="AH477" s="6"/>
      <c r="AI477" s="6"/>
      <c r="AJ477" s="6"/>
      <c r="AK477" s="6"/>
      <c r="AL477" s="6"/>
      <c r="AM477" s="6"/>
      <c r="AN477" s="6"/>
      <c r="AO477" s="6"/>
      <c r="AP477" s="6"/>
      <c r="AQ477" s="6"/>
      <c r="AR477" s="6"/>
      <c r="AS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11"/>
      <c r="X478" s="11"/>
      <c r="Y478" s="11"/>
      <c r="Z478" s="11"/>
      <c r="AA478" s="11"/>
      <c r="AB478" s="11"/>
      <c r="AC478" s="11"/>
      <c r="AD478" s="11"/>
      <c r="AE478" s="11"/>
      <c r="AF478" s="11"/>
      <c r="AG478" s="6"/>
      <c r="AH478" s="6"/>
      <c r="AI478" s="6"/>
      <c r="AJ478" s="6"/>
      <c r="AK478" s="6"/>
      <c r="AL478" s="6"/>
      <c r="AM478" s="6"/>
      <c r="AN478" s="6"/>
      <c r="AO478" s="6"/>
      <c r="AP478" s="6"/>
      <c r="AQ478" s="6"/>
      <c r="AR478" s="6"/>
      <c r="AS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11"/>
      <c r="X479" s="11"/>
      <c r="Y479" s="11"/>
      <c r="Z479" s="11"/>
      <c r="AA479" s="11"/>
      <c r="AB479" s="11"/>
      <c r="AC479" s="11"/>
      <c r="AD479" s="11"/>
      <c r="AE479" s="11"/>
      <c r="AF479" s="11"/>
      <c r="AG479" s="6"/>
      <c r="AH479" s="6"/>
      <c r="AI479" s="6"/>
      <c r="AJ479" s="6"/>
      <c r="AK479" s="6"/>
      <c r="AL479" s="6"/>
      <c r="AM479" s="6"/>
      <c r="AN479" s="6"/>
      <c r="AO479" s="6"/>
      <c r="AP479" s="6"/>
      <c r="AQ479" s="6"/>
      <c r="AR479" s="6"/>
      <c r="AS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11"/>
      <c r="X480" s="11"/>
      <c r="Y480" s="11"/>
      <c r="Z480" s="11"/>
      <c r="AA480" s="11"/>
      <c r="AB480" s="11"/>
      <c r="AC480" s="11"/>
      <c r="AD480" s="11"/>
      <c r="AE480" s="11"/>
      <c r="AF480" s="11"/>
      <c r="AG480" s="6"/>
      <c r="AH480" s="6"/>
      <c r="AI480" s="6"/>
      <c r="AJ480" s="6"/>
      <c r="AK480" s="6"/>
      <c r="AL480" s="6"/>
      <c r="AM480" s="6"/>
      <c r="AN480" s="6"/>
      <c r="AO480" s="6"/>
      <c r="AP480" s="6"/>
      <c r="AQ480" s="6"/>
      <c r="AR480" s="6"/>
      <c r="AS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11"/>
      <c r="X481" s="11"/>
      <c r="Y481" s="11"/>
      <c r="Z481" s="11"/>
      <c r="AA481" s="11"/>
      <c r="AB481" s="11"/>
      <c r="AC481" s="11"/>
      <c r="AD481" s="11"/>
      <c r="AE481" s="11"/>
      <c r="AF481" s="11"/>
      <c r="AG481" s="6"/>
      <c r="AH481" s="6"/>
      <c r="AI481" s="6"/>
      <c r="AJ481" s="6"/>
      <c r="AK481" s="6"/>
      <c r="AL481" s="6"/>
      <c r="AM481" s="6"/>
      <c r="AN481" s="6"/>
      <c r="AO481" s="6"/>
      <c r="AP481" s="6"/>
      <c r="AQ481" s="6"/>
      <c r="AR481" s="6"/>
      <c r="AS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11"/>
      <c r="X482" s="11"/>
      <c r="Y482" s="11"/>
      <c r="Z482" s="11"/>
      <c r="AA482" s="11"/>
      <c r="AB482" s="11"/>
      <c r="AC482" s="11"/>
      <c r="AD482" s="11"/>
      <c r="AE482" s="11"/>
      <c r="AF482" s="11"/>
      <c r="AG482" s="6"/>
      <c r="AH482" s="6"/>
      <c r="AI482" s="6"/>
      <c r="AJ482" s="6"/>
      <c r="AK482" s="6"/>
      <c r="AL482" s="6"/>
      <c r="AM482" s="6"/>
      <c r="AN482" s="6"/>
      <c r="AO482" s="6"/>
      <c r="AP482" s="6"/>
      <c r="AQ482" s="6"/>
      <c r="AR482" s="6"/>
      <c r="AS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11"/>
      <c r="X483" s="11"/>
      <c r="Y483" s="11"/>
      <c r="Z483" s="11"/>
      <c r="AA483" s="11"/>
      <c r="AB483" s="11"/>
      <c r="AC483" s="11"/>
      <c r="AD483" s="11"/>
      <c r="AE483" s="11"/>
      <c r="AF483" s="11"/>
      <c r="AG483" s="6"/>
      <c r="AH483" s="6"/>
      <c r="AI483" s="6"/>
      <c r="AJ483" s="6"/>
      <c r="AK483" s="6"/>
      <c r="AL483" s="6"/>
      <c r="AM483" s="6"/>
      <c r="AN483" s="6"/>
      <c r="AO483" s="6"/>
      <c r="AP483" s="6"/>
      <c r="AQ483" s="6"/>
      <c r="AR483" s="6"/>
      <c r="AS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11"/>
      <c r="X484" s="11"/>
      <c r="Y484" s="11"/>
      <c r="Z484" s="11"/>
      <c r="AA484" s="11"/>
      <c r="AB484" s="11"/>
      <c r="AC484" s="11"/>
      <c r="AD484" s="11"/>
      <c r="AE484" s="11"/>
      <c r="AF484" s="11"/>
      <c r="AG484" s="6"/>
      <c r="AH484" s="6"/>
      <c r="AI484" s="6"/>
      <c r="AJ484" s="6"/>
      <c r="AK484" s="6"/>
      <c r="AL484" s="6"/>
      <c r="AM484" s="6"/>
      <c r="AN484" s="6"/>
      <c r="AO484" s="6"/>
      <c r="AP484" s="6"/>
      <c r="AQ484" s="6"/>
      <c r="AR484" s="6"/>
      <c r="AS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11"/>
      <c r="X485" s="11"/>
      <c r="Y485" s="11"/>
      <c r="Z485" s="11"/>
      <c r="AA485" s="11"/>
      <c r="AB485" s="11"/>
      <c r="AC485" s="11"/>
      <c r="AD485" s="11"/>
      <c r="AE485" s="11"/>
      <c r="AF485" s="11"/>
      <c r="AG485" s="6"/>
      <c r="AH485" s="6"/>
      <c r="AI485" s="6"/>
      <c r="AJ485" s="6"/>
      <c r="AK485" s="6"/>
      <c r="AL485" s="6"/>
      <c r="AM485" s="6"/>
      <c r="AN485" s="6"/>
      <c r="AO485" s="6"/>
      <c r="AP485" s="6"/>
      <c r="AQ485" s="6"/>
      <c r="AR485" s="6"/>
      <c r="AS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11"/>
      <c r="X486" s="11"/>
      <c r="Y486" s="11"/>
      <c r="Z486" s="11"/>
      <c r="AA486" s="11"/>
      <c r="AB486" s="11"/>
      <c r="AC486" s="11"/>
      <c r="AD486" s="11"/>
      <c r="AE486" s="11"/>
      <c r="AF486" s="11"/>
      <c r="AG486" s="6"/>
      <c r="AH486" s="6"/>
      <c r="AI486" s="6"/>
      <c r="AJ486" s="6"/>
      <c r="AK486" s="6"/>
      <c r="AL486" s="6"/>
      <c r="AM486" s="6"/>
      <c r="AN486" s="6"/>
      <c r="AO486" s="6"/>
      <c r="AP486" s="6"/>
      <c r="AQ486" s="6"/>
      <c r="AR486" s="6"/>
      <c r="AS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11"/>
      <c r="X487" s="11"/>
      <c r="Y487" s="11"/>
      <c r="Z487" s="11"/>
      <c r="AA487" s="11"/>
      <c r="AB487" s="11"/>
      <c r="AC487" s="11"/>
      <c r="AD487" s="11"/>
      <c r="AE487" s="11"/>
      <c r="AF487" s="11"/>
      <c r="AG487" s="6"/>
      <c r="AH487" s="6"/>
      <c r="AI487" s="6"/>
      <c r="AJ487" s="6"/>
      <c r="AK487" s="6"/>
      <c r="AL487" s="6"/>
      <c r="AM487" s="6"/>
      <c r="AN487" s="6"/>
      <c r="AO487" s="6"/>
      <c r="AP487" s="6"/>
      <c r="AQ487" s="6"/>
      <c r="AR487" s="6"/>
      <c r="AS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11"/>
      <c r="X488" s="11"/>
      <c r="Y488" s="11"/>
      <c r="Z488" s="11"/>
      <c r="AA488" s="11"/>
      <c r="AB488" s="11"/>
      <c r="AC488" s="11"/>
      <c r="AD488" s="11"/>
      <c r="AE488" s="11"/>
      <c r="AF488" s="11"/>
      <c r="AG488" s="6"/>
      <c r="AH488" s="6"/>
      <c r="AI488" s="6"/>
      <c r="AJ488" s="6"/>
      <c r="AK488" s="6"/>
      <c r="AL488" s="6"/>
      <c r="AM488" s="6"/>
      <c r="AN488" s="6"/>
      <c r="AO488" s="6"/>
      <c r="AP488" s="6"/>
      <c r="AQ488" s="6"/>
      <c r="AR488" s="6"/>
      <c r="AS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11"/>
      <c r="X489" s="11"/>
      <c r="Y489" s="11"/>
      <c r="Z489" s="11"/>
      <c r="AA489" s="11"/>
      <c r="AB489" s="11"/>
      <c r="AC489" s="11"/>
      <c r="AD489" s="11"/>
      <c r="AE489" s="11"/>
      <c r="AF489" s="11"/>
      <c r="AG489" s="6"/>
      <c r="AH489" s="6"/>
      <c r="AI489" s="6"/>
      <c r="AJ489" s="6"/>
      <c r="AK489" s="6"/>
      <c r="AL489" s="6"/>
      <c r="AM489" s="6"/>
      <c r="AN489" s="6"/>
      <c r="AO489" s="6"/>
      <c r="AP489" s="6"/>
      <c r="AQ489" s="6"/>
      <c r="AR489" s="6"/>
      <c r="AS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11"/>
      <c r="X490" s="11"/>
      <c r="Y490" s="11"/>
      <c r="Z490" s="11"/>
      <c r="AA490" s="11"/>
      <c r="AB490" s="11"/>
      <c r="AC490" s="11"/>
      <c r="AD490" s="11"/>
      <c r="AE490" s="11"/>
      <c r="AF490" s="11"/>
      <c r="AG490" s="6"/>
      <c r="AH490" s="6"/>
      <c r="AI490" s="6"/>
      <c r="AJ490" s="6"/>
      <c r="AK490" s="6"/>
      <c r="AL490" s="6"/>
      <c r="AM490" s="6"/>
      <c r="AN490" s="6"/>
      <c r="AO490" s="6"/>
      <c r="AP490" s="6"/>
      <c r="AQ490" s="6"/>
      <c r="AR490" s="6"/>
      <c r="AS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11"/>
      <c r="X491" s="11"/>
      <c r="Y491" s="11"/>
      <c r="Z491" s="11"/>
      <c r="AA491" s="11"/>
      <c r="AB491" s="11"/>
      <c r="AC491" s="11"/>
      <c r="AD491" s="11"/>
      <c r="AE491" s="11"/>
      <c r="AF491" s="11"/>
      <c r="AG491" s="6"/>
      <c r="AH491" s="6"/>
      <c r="AI491" s="6"/>
      <c r="AJ491" s="6"/>
      <c r="AK491" s="6"/>
      <c r="AL491" s="6"/>
      <c r="AM491" s="6"/>
      <c r="AN491" s="6"/>
      <c r="AO491" s="6"/>
      <c r="AP491" s="6"/>
      <c r="AQ491" s="6"/>
      <c r="AR491" s="6"/>
      <c r="AS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11"/>
      <c r="X492" s="11"/>
      <c r="Y492" s="11"/>
      <c r="Z492" s="11"/>
      <c r="AA492" s="11"/>
      <c r="AB492" s="11"/>
      <c r="AC492" s="11"/>
      <c r="AD492" s="11"/>
      <c r="AE492" s="11"/>
      <c r="AF492" s="11"/>
      <c r="AG492" s="6"/>
      <c r="AH492" s="6"/>
      <c r="AI492" s="6"/>
      <c r="AJ492" s="6"/>
      <c r="AK492" s="6"/>
      <c r="AL492" s="6"/>
      <c r="AM492" s="6"/>
      <c r="AN492" s="6"/>
      <c r="AO492" s="6"/>
      <c r="AP492" s="6"/>
      <c r="AQ492" s="6"/>
      <c r="AR492" s="6"/>
      <c r="AS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11"/>
      <c r="X493" s="11"/>
      <c r="Y493" s="11"/>
      <c r="Z493" s="11"/>
      <c r="AA493" s="11"/>
      <c r="AB493" s="11"/>
      <c r="AC493" s="11"/>
      <c r="AD493" s="11"/>
      <c r="AE493" s="11"/>
      <c r="AF493" s="11"/>
      <c r="AG493" s="6"/>
      <c r="AH493" s="6"/>
      <c r="AI493" s="6"/>
      <c r="AJ493" s="6"/>
      <c r="AK493" s="6"/>
      <c r="AL493" s="6"/>
      <c r="AM493" s="6"/>
      <c r="AN493" s="6"/>
      <c r="AO493" s="6"/>
      <c r="AP493" s="6"/>
      <c r="AQ493" s="6"/>
      <c r="AR493" s="6"/>
      <c r="AS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11"/>
      <c r="X494" s="11"/>
      <c r="Y494" s="11"/>
      <c r="Z494" s="11"/>
      <c r="AA494" s="11"/>
      <c r="AB494" s="11"/>
      <c r="AC494" s="11"/>
      <c r="AD494" s="11"/>
      <c r="AE494" s="11"/>
      <c r="AF494" s="11"/>
      <c r="AG494" s="6"/>
      <c r="AH494" s="6"/>
      <c r="AI494" s="6"/>
      <c r="AJ494" s="6"/>
      <c r="AK494" s="6"/>
      <c r="AL494" s="6"/>
      <c r="AM494" s="6"/>
      <c r="AN494" s="6"/>
      <c r="AO494" s="6"/>
      <c r="AP494" s="6"/>
      <c r="AQ494" s="6"/>
      <c r="AR494" s="6"/>
      <c r="AS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11"/>
      <c r="X495" s="11"/>
      <c r="Y495" s="11"/>
      <c r="Z495" s="11"/>
      <c r="AA495" s="11"/>
      <c r="AB495" s="11"/>
      <c r="AC495" s="11"/>
      <c r="AD495" s="11"/>
      <c r="AE495" s="11"/>
      <c r="AF495" s="11"/>
      <c r="AG495" s="6"/>
      <c r="AH495" s="6"/>
      <c r="AI495" s="6"/>
      <c r="AJ495" s="6"/>
      <c r="AK495" s="6"/>
      <c r="AL495" s="6"/>
      <c r="AM495" s="6"/>
      <c r="AN495" s="6"/>
      <c r="AO495" s="6"/>
      <c r="AP495" s="6"/>
      <c r="AQ495" s="6"/>
      <c r="AR495" s="6"/>
      <c r="AS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11"/>
      <c r="X496" s="11"/>
      <c r="Y496" s="11"/>
      <c r="Z496" s="11"/>
      <c r="AA496" s="11"/>
      <c r="AB496" s="11"/>
      <c r="AC496" s="11"/>
      <c r="AD496" s="11"/>
      <c r="AE496" s="11"/>
      <c r="AF496" s="11"/>
      <c r="AG496" s="6"/>
      <c r="AH496" s="6"/>
      <c r="AI496" s="6"/>
      <c r="AJ496" s="6"/>
      <c r="AK496" s="6"/>
      <c r="AL496" s="6"/>
      <c r="AM496" s="6"/>
      <c r="AN496" s="6"/>
      <c r="AO496" s="6"/>
      <c r="AP496" s="6"/>
      <c r="AQ496" s="6"/>
      <c r="AR496" s="6"/>
      <c r="AS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11"/>
      <c r="X497" s="11"/>
      <c r="Y497" s="11"/>
      <c r="Z497" s="11"/>
      <c r="AA497" s="11"/>
      <c r="AB497" s="11"/>
      <c r="AC497" s="11"/>
      <c r="AD497" s="11"/>
      <c r="AE497" s="11"/>
      <c r="AF497" s="11"/>
      <c r="AG497" s="6"/>
      <c r="AH497" s="6"/>
      <c r="AI497" s="6"/>
      <c r="AJ497" s="6"/>
      <c r="AK497" s="6"/>
      <c r="AL497" s="6"/>
      <c r="AM497" s="6"/>
      <c r="AN497" s="6"/>
      <c r="AO497" s="6"/>
      <c r="AP497" s="6"/>
      <c r="AQ497" s="6"/>
      <c r="AR497" s="6"/>
      <c r="AS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11"/>
      <c r="X498" s="11"/>
      <c r="Y498" s="11"/>
      <c r="Z498" s="11"/>
      <c r="AA498" s="11"/>
      <c r="AB498" s="11"/>
      <c r="AC498" s="11"/>
      <c r="AD498" s="11"/>
      <c r="AE498" s="11"/>
      <c r="AF498" s="11"/>
      <c r="AG498" s="6"/>
      <c r="AH498" s="6"/>
      <c r="AI498" s="6"/>
      <c r="AJ498" s="6"/>
      <c r="AK498" s="6"/>
      <c r="AL498" s="6"/>
      <c r="AM498" s="6"/>
      <c r="AN498" s="6"/>
      <c r="AO498" s="6"/>
      <c r="AP498" s="6"/>
      <c r="AQ498" s="6"/>
      <c r="AR498" s="6"/>
      <c r="AS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11"/>
      <c r="X499" s="11"/>
      <c r="Y499" s="11"/>
      <c r="Z499" s="11"/>
      <c r="AA499" s="11"/>
      <c r="AB499" s="11"/>
      <c r="AC499" s="11"/>
      <c r="AD499" s="11"/>
      <c r="AE499" s="11"/>
      <c r="AF499" s="11"/>
      <c r="AG499" s="6"/>
      <c r="AH499" s="6"/>
      <c r="AI499" s="6"/>
      <c r="AJ499" s="6"/>
      <c r="AK499" s="6"/>
      <c r="AL499" s="6"/>
      <c r="AM499" s="6"/>
      <c r="AN499" s="6"/>
      <c r="AO499" s="6"/>
      <c r="AP499" s="6"/>
      <c r="AQ499" s="6"/>
      <c r="AR499" s="6"/>
      <c r="AS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11"/>
      <c r="X500" s="11"/>
      <c r="Y500" s="11"/>
      <c r="Z500" s="11"/>
      <c r="AA500" s="11"/>
      <c r="AB500" s="11"/>
      <c r="AC500" s="11"/>
      <c r="AD500" s="11"/>
      <c r="AE500" s="11"/>
      <c r="AF500" s="11"/>
      <c r="AG500" s="6"/>
      <c r="AH500" s="6"/>
      <c r="AI500" s="6"/>
      <c r="AJ500" s="6"/>
      <c r="AK500" s="6"/>
      <c r="AL500" s="6"/>
      <c r="AM500" s="6"/>
      <c r="AN500" s="6"/>
      <c r="AO500" s="6"/>
      <c r="AP500" s="6"/>
      <c r="AQ500" s="6"/>
      <c r="AR500" s="6"/>
      <c r="AS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11"/>
      <c r="X501" s="11"/>
      <c r="Y501" s="11"/>
      <c r="Z501" s="11"/>
      <c r="AA501" s="11"/>
      <c r="AB501" s="11"/>
      <c r="AC501" s="11"/>
      <c r="AD501" s="11"/>
      <c r="AE501" s="11"/>
      <c r="AF501" s="11"/>
      <c r="AG501" s="6"/>
      <c r="AH501" s="6"/>
      <c r="AI501" s="6"/>
      <c r="AJ501" s="6"/>
      <c r="AK501" s="6"/>
      <c r="AL501" s="6"/>
      <c r="AM501" s="6"/>
      <c r="AN501" s="6"/>
      <c r="AO501" s="6"/>
      <c r="AP501" s="6"/>
      <c r="AQ501" s="6"/>
      <c r="AR501" s="6"/>
      <c r="AS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11"/>
      <c r="X502" s="11"/>
      <c r="Y502" s="11"/>
      <c r="Z502" s="11"/>
      <c r="AA502" s="11"/>
      <c r="AB502" s="11"/>
      <c r="AC502" s="11"/>
      <c r="AD502" s="11"/>
      <c r="AE502" s="11"/>
      <c r="AF502" s="11"/>
      <c r="AG502" s="6"/>
      <c r="AH502" s="6"/>
      <c r="AI502" s="6"/>
      <c r="AJ502" s="6"/>
      <c r="AK502" s="6"/>
      <c r="AL502" s="6"/>
      <c r="AM502" s="6"/>
      <c r="AN502" s="6"/>
      <c r="AO502" s="6"/>
      <c r="AP502" s="6"/>
      <c r="AQ502" s="6"/>
      <c r="AR502" s="6"/>
      <c r="AS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11"/>
      <c r="X503" s="11"/>
      <c r="Y503" s="11"/>
      <c r="Z503" s="11"/>
      <c r="AA503" s="11"/>
      <c r="AB503" s="11"/>
      <c r="AC503" s="11"/>
      <c r="AD503" s="11"/>
      <c r="AE503" s="11"/>
      <c r="AF503" s="11"/>
      <c r="AG503" s="6"/>
      <c r="AH503" s="6"/>
      <c r="AI503" s="6"/>
      <c r="AJ503" s="6"/>
      <c r="AK503" s="6"/>
      <c r="AL503" s="6"/>
      <c r="AM503" s="6"/>
      <c r="AN503" s="6"/>
      <c r="AO503" s="6"/>
      <c r="AP503" s="6"/>
      <c r="AQ503" s="6"/>
      <c r="AR503" s="6"/>
      <c r="AS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11"/>
      <c r="X504" s="11"/>
      <c r="Y504" s="11"/>
      <c r="Z504" s="11"/>
      <c r="AA504" s="11"/>
      <c r="AB504" s="11"/>
      <c r="AC504" s="11"/>
      <c r="AD504" s="11"/>
      <c r="AE504" s="11"/>
      <c r="AF504" s="11"/>
      <c r="AG504" s="6"/>
      <c r="AH504" s="6"/>
      <c r="AI504" s="6"/>
      <c r="AJ504" s="6"/>
      <c r="AK504" s="6"/>
      <c r="AL504" s="6"/>
      <c r="AM504" s="6"/>
      <c r="AN504" s="6"/>
      <c r="AO504" s="6"/>
      <c r="AP504" s="6"/>
      <c r="AQ504" s="6"/>
      <c r="AR504" s="6"/>
      <c r="AS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11"/>
      <c r="X505" s="11"/>
      <c r="Y505" s="11"/>
      <c r="Z505" s="11"/>
      <c r="AA505" s="11"/>
      <c r="AB505" s="11"/>
      <c r="AC505" s="11"/>
      <c r="AD505" s="11"/>
      <c r="AE505" s="11"/>
      <c r="AF505" s="11"/>
      <c r="AG505" s="6"/>
      <c r="AH505" s="6"/>
      <c r="AI505" s="6"/>
      <c r="AJ505" s="6"/>
      <c r="AK505" s="6"/>
      <c r="AL505" s="6"/>
      <c r="AM505" s="6"/>
      <c r="AN505" s="6"/>
      <c r="AO505" s="6"/>
      <c r="AP505" s="6"/>
      <c r="AQ505" s="6"/>
      <c r="AR505" s="6"/>
      <c r="AS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11"/>
      <c r="X506" s="11"/>
      <c r="Y506" s="11"/>
      <c r="Z506" s="11"/>
      <c r="AA506" s="11"/>
      <c r="AB506" s="11"/>
      <c r="AC506" s="11"/>
      <c r="AD506" s="11"/>
      <c r="AE506" s="11"/>
      <c r="AF506" s="11"/>
      <c r="AG506" s="6"/>
      <c r="AH506" s="6"/>
      <c r="AI506" s="6"/>
      <c r="AJ506" s="6"/>
      <c r="AK506" s="6"/>
      <c r="AL506" s="6"/>
      <c r="AM506" s="6"/>
      <c r="AN506" s="6"/>
      <c r="AO506" s="6"/>
      <c r="AP506" s="6"/>
      <c r="AQ506" s="6"/>
      <c r="AR506" s="6"/>
      <c r="AS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11"/>
      <c r="X507" s="11"/>
      <c r="Y507" s="11"/>
      <c r="Z507" s="11"/>
      <c r="AA507" s="11"/>
      <c r="AB507" s="11"/>
      <c r="AC507" s="11"/>
      <c r="AD507" s="11"/>
      <c r="AE507" s="11"/>
      <c r="AF507" s="11"/>
      <c r="AG507" s="6"/>
      <c r="AH507" s="6"/>
      <c r="AI507" s="6"/>
      <c r="AJ507" s="6"/>
      <c r="AK507" s="6"/>
      <c r="AL507" s="6"/>
      <c r="AM507" s="6"/>
      <c r="AN507" s="6"/>
      <c r="AO507" s="6"/>
      <c r="AP507" s="6"/>
      <c r="AQ507" s="6"/>
      <c r="AR507" s="6"/>
      <c r="AS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11"/>
      <c r="X508" s="11"/>
      <c r="Y508" s="11"/>
      <c r="Z508" s="11"/>
      <c r="AA508" s="11"/>
      <c r="AB508" s="11"/>
      <c r="AC508" s="11"/>
      <c r="AD508" s="11"/>
      <c r="AE508" s="11"/>
      <c r="AF508" s="11"/>
      <c r="AG508" s="6"/>
      <c r="AH508" s="6"/>
      <c r="AI508" s="6"/>
      <c r="AJ508" s="6"/>
      <c r="AK508" s="6"/>
      <c r="AL508" s="6"/>
      <c r="AM508" s="6"/>
      <c r="AN508" s="6"/>
      <c r="AO508" s="6"/>
      <c r="AP508" s="6"/>
      <c r="AQ508" s="6"/>
      <c r="AR508" s="6"/>
      <c r="AS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11"/>
      <c r="X509" s="11"/>
      <c r="Y509" s="11"/>
      <c r="Z509" s="11"/>
      <c r="AA509" s="11"/>
      <c r="AB509" s="11"/>
      <c r="AC509" s="11"/>
      <c r="AD509" s="11"/>
      <c r="AE509" s="11"/>
      <c r="AF509" s="11"/>
      <c r="AG509" s="6"/>
      <c r="AH509" s="6"/>
      <c r="AI509" s="6"/>
      <c r="AJ509" s="6"/>
      <c r="AK509" s="6"/>
      <c r="AL509" s="6"/>
      <c r="AM509" s="6"/>
      <c r="AN509" s="6"/>
      <c r="AO509" s="6"/>
      <c r="AP509" s="6"/>
      <c r="AQ509" s="6"/>
      <c r="AR509" s="6"/>
      <c r="AS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11"/>
      <c r="X510" s="11"/>
      <c r="Y510" s="11"/>
      <c r="Z510" s="11"/>
      <c r="AA510" s="11"/>
      <c r="AB510" s="11"/>
      <c r="AC510" s="11"/>
      <c r="AD510" s="11"/>
      <c r="AE510" s="11"/>
      <c r="AF510" s="11"/>
      <c r="AG510" s="6"/>
      <c r="AH510" s="6"/>
      <c r="AI510" s="6"/>
      <c r="AJ510" s="6"/>
      <c r="AK510" s="6"/>
      <c r="AL510" s="6"/>
      <c r="AM510" s="6"/>
      <c r="AN510" s="6"/>
      <c r="AO510" s="6"/>
      <c r="AP510" s="6"/>
      <c r="AQ510" s="6"/>
      <c r="AR510" s="6"/>
      <c r="AS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11"/>
      <c r="X511" s="11"/>
      <c r="Y511" s="11"/>
      <c r="Z511" s="11"/>
      <c r="AA511" s="11"/>
      <c r="AB511" s="11"/>
      <c r="AC511" s="11"/>
      <c r="AD511" s="11"/>
      <c r="AE511" s="11"/>
      <c r="AF511" s="11"/>
      <c r="AG511" s="6"/>
      <c r="AH511" s="6"/>
      <c r="AI511" s="6"/>
      <c r="AJ511" s="6"/>
      <c r="AK511" s="6"/>
      <c r="AL511" s="6"/>
      <c r="AM511" s="6"/>
      <c r="AN511" s="6"/>
      <c r="AO511" s="6"/>
      <c r="AP511" s="6"/>
      <c r="AQ511" s="6"/>
      <c r="AR511" s="6"/>
      <c r="AS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11"/>
      <c r="X512" s="11"/>
      <c r="Y512" s="11"/>
      <c r="Z512" s="11"/>
      <c r="AA512" s="11"/>
      <c r="AB512" s="11"/>
      <c r="AC512" s="11"/>
      <c r="AD512" s="11"/>
      <c r="AE512" s="11"/>
      <c r="AF512" s="11"/>
      <c r="AG512" s="6"/>
      <c r="AH512" s="6"/>
      <c r="AI512" s="6"/>
      <c r="AJ512" s="6"/>
      <c r="AK512" s="6"/>
      <c r="AL512" s="6"/>
      <c r="AM512" s="6"/>
      <c r="AN512" s="6"/>
      <c r="AO512" s="6"/>
      <c r="AP512" s="6"/>
      <c r="AQ512" s="6"/>
      <c r="AR512" s="6"/>
      <c r="AS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11"/>
      <c r="X513" s="11"/>
      <c r="Y513" s="11"/>
      <c r="Z513" s="11"/>
      <c r="AA513" s="11"/>
      <c r="AB513" s="11"/>
      <c r="AC513" s="11"/>
      <c r="AD513" s="11"/>
      <c r="AE513" s="11"/>
      <c r="AF513" s="11"/>
      <c r="AG513" s="6"/>
      <c r="AH513" s="6"/>
      <c r="AI513" s="6"/>
      <c r="AJ513" s="6"/>
      <c r="AK513" s="6"/>
      <c r="AL513" s="6"/>
      <c r="AM513" s="6"/>
      <c r="AN513" s="6"/>
      <c r="AO513" s="6"/>
      <c r="AP513" s="6"/>
      <c r="AQ513" s="6"/>
      <c r="AR513" s="6"/>
      <c r="AS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11"/>
      <c r="X514" s="11"/>
      <c r="Y514" s="11"/>
      <c r="Z514" s="11"/>
      <c r="AA514" s="11"/>
      <c r="AB514" s="11"/>
      <c r="AC514" s="11"/>
      <c r="AD514" s="11"/>
      <c r="AE514" s="11"/>
      <c r="AF514" s="11"/>
      <c r="AG514" s="6"/>
      <c r="AH514" s="6"/>
      <c r="AI514" s="6"/>
      <c r="AJ514" s="6"/>
      <c r="AK514" s="6"/>
      <c r="AL514" s="6"/>
      <c r="AM514" s="6"/>
      <c r="AN514" s="6"/>
      <c r="AO514" s="6"/>
      <c r="AP514" s="6"/>
      <c r="AQ514" s="6"/>
      <c r="AR514" s="6"/>
      <c r="AS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11"/>
      <c r="X515" s="11"/>
      <c r="Y515" s="11"/>
      <c r="Z515" s="11"/>
      <c r="AA515" s="11"/>
      <c r="AB515" s="11"/>
      <c r="AC515" s="11"/>
      <c r="AD515" s="11"/>
      <c r="AE515" s="11"/>
      <c r="AF515" s="11"/>
      <c r="AG515" s="6"/>
      <c r="AH515" s="6"/>
      <c r="AI515" s="6"/>
      <c r="AJ515" s="6"/>
      <c r="AK515" s="6"/>
      <c r="AL515" s="6"/>
      <c r="AM515" s="6"/>
      <c r="AN515" s="6"/>
      <c r="AO515" s="6"/>
      <c r="AP515" s="6"/>
      <c r="AQ515" s="6"/>
      <c r="AR515" s="6"/>
      <c r="AS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11"/>
      <c r="X516" s="11"/>
      <c r="Y516" s="11"/>
      <c r="Z516" s="11"/>
      <c r="AA516" s="11"/>
      <c r="AB516" s="11"/>
      <c r="AC516" s="11"/>
      <c r="AD516" s="11"/>
      <c r="AE516" s="11"/>
      <c r="AF516" s="11"/>
      <c r="AG516" s="6"/>
      <c r="AH516" s="6"/>
      <c r="AI516" s="6"/>
      <c r="AJ516" s="6"/>
      <c r="AK516" s="6"/>
      <c r="AL516" s="6"/>
      <c r="AM516" s="6"/>
      <c r="AN516" s="6"/>
      <c r="AO516" s="6"/>
      <c r="AP516" s="6"/>
      <c r="AQ516" s="6"/>
      <c r="AR516" s="6"/>
      <c r="AS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11"/>
      <c r="X517" s="11"/>
      <c r="Y517" s="11"/>
      <c r="Z517" s="11"/>
      <c r="AA517" s="11"/>
      <c r="AB517" s="11"/>
      <c r="AC517" s="11"/>
      <c r="AD517" s="11"/>
      <c r="AE517" s="11"/>
      <c r="AF517" s="11"/>
      <c r="AG517" s="6"/>
      <c r="AH517" s="6"/>
      <c r="AI517" s="6"/>
      <c r="AJ517" s="6"/>
      <c r="AK517" s="6"/>
      <c r="AL517" s="6"/>
      <c r="AM517" s="6"/>
      <c r="AN517" s="6"/>
      <c r="AO517" s="6"/>
      <c r="AP517" s="6"/>
      <c r="AQ517" s="6"/>
      <c r="AR517" s="6"/>
      <c r="AS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11"/>
      <c r="X518" s="11"/>
      <c r="Y518" s="11"/>
      <c r="Z518" s="11"/>
      <c r="AA518" s="11"/>
      <c r="AB518" s="11"/>
      <c r="AC518" s="11"/>
      <c r="AD518" s="11"/>
      <c r="AE518" s="11"/>
      <c r="AF518" s="11"/>
      <c r="AG518" s="6"/>
      <c r="AH518" s="6"/>
      <c r="AI518" s="6"/>
      <c r="AJ518" s="6"/>
      <c r="AK518" s="6"/>
      <c r="AL518" s="6"/>
      <c r="AM518" s="6"/>
      <c r="AN518" s="6"/>
      <c r="AO518" s="6"/>
      <c r="AP518" s="6"/>
      <c r="AQ518" s="6"/>
      <c r="AR518" s="6"/>
      <c r="AS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11"/>
      <c r="X519" s="11"/>
      <c r="Y519" s="11"/>
      <c r="Z519" s="11"/>
      <c r="AA519" s="11"/>
      <c r="AB519" s="11"/>
      <c r="AC519" s="11"/>
      <c r="AD519" s="11"/>
      <c r="AE519" s="11"/>
      <c r="AF519" s="11"/>
      <c r="AG519" s="6"/>
      <c r="AH519" s="6"/>
      <c r="AI519" s="6"/>
      <c r="AJ519" s="6"/>
      <c r="AK519" s="6"/>
      <c r="AL519" s="6"/>
      <c r="AM519" s="6"/>
      <c r="AN519" s="6"/>
      <c r="AO519" s="6"/>
      <c r="AP519" s="6"/>
      <c r="AQ519" s="6"/>
      <c r="AR519" s="6"/>
      <c r="AS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11"/>
      <c r="X520" s="11"/>
      <c r="Y520" s="11"/>
      <c r="Z520" s="11"/>
      <c r="AA520" s="11"/>
      <c r="AB520" s="11"/>
      <c r="AC520" s="11"/>
      <c r="AD520" s="11"/>
      <c r="AE520" s="11"/>
      <c r="AF520" s="11"/>
      <c r="AG520" s="6"/>
      <c r="AH520" s="6"/>
      <c r="AI520" s="6"/>
      <c r="AJ520" s="6"/>
      <c r="AK520" s="6"/>
      <c r="AL520" s="6"/>
      <c r="AM520" s="6"/>
      <c r="AN520" s="6"/>
      <c r="AO520" s="6"/>
      <c r="AP520" s="6"/>
      <c r="AQ520" s="6"/>
      <c r="AR520" s="6"/>
      <c r="AS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11"/>
      <c r="X521" s="11"/>
      <c r="Y521" s="11"/>
      <c r="Z521" s="11"/>
      <c r="AA521" s="11"/>
      <c r="AB521" s="11"/>
      <c r="AC521" s="11"/>
      <c r="AD521" s="11"/>
      <c r="AE521" s="11"/>
      <c r="AF521" s="11"/>
      <c r="AG521" s="6"/>
      <c r="AH521" s="6"/>
      <c r="AI521" s="6"/>
      <c r="AJ521" s="6"/>
      <c r="AK521" s="6"/>
      <c r="AL521" s="6"/>
      <c r="AM521" s="6"/>
      <c r="AN521" s="6"/>
      <c r="AO521" s="6"/>
      <c r="AP521" s="6"/>
      <c r="AQ521" s="6"/>
      <c r="AR521" s="6"/>
      <c r="AS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11"/>
      <c r="X522" s="11"/>
      <c r="Y522" s="11"/>
      <c r="Z522" s="11"/>
      <c r="AA522" s="11"/>
      <c r="AB522" s="11"/>
      <c r="AC522" s="11"/>
      <c r="AD522" s="11"/>
      <c r="AE522" s="11"/>
      <c r="AF522" s="11"/>
      <c r="AG522" s="6"/>
      <c r="AH522" s="6"/>
      <c r="AI522" s="6"/>
      <c r="AJ522" s="6"/>
      <c r="AK522" s="6"/>
      <c r="AL522" s="6"/>
      <c r="AM522" s="6"/>
      <c r="AN522" s="6"/>
      <c r="AO522" s="6"/>
      <c r="AP522" s="6"/>
      <c r="AQ522" s="6"/>
      <c r="AR522" s="6"/>
      <c r="AS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11"/>
      <c r="X523" s="11"/>
      <c r="Y523" s="11"/>
      <c r="Z523" s="11"/>
      <c r="AA523" s="11"/>
      <c r="AB523" s="11"/>
      <c r="AC523" s="11"/>
      <c r="AD523" s="11"/>
      <c r="AE523" s="11"/>
      <c r="AF523" s="11"/>
      <c r="AG523" s="6"/>
      <c r="AH523" s="6"/>
      <c r="AI523" s="6"/>
      <c r="AJ523" s="6"/>
      <c r="AK523" s="6"/>
      <c r="AL523" s="6"/>
      <c r="AM523" s="6"/>
      <c r="AN523" s="6"/>
      <c r="AO523" s="6"/>
      <c r="AP523" s="6"/>
      <c r="AQ523" s="6"/>
      <c r="AR523" s="6"/>
      <c r="AS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11"/>
      <c r="X524" s="11"/>
      <c r="Y524" s="11"/>
      <c r="Z524" s="11"/>
      <c r="AA524" s="11"/>
      <c r="AB524" s="11"/>
      <c r="AC524" s="11"/>
      <c r="AD524" s="11"/>
      <c r="AE524" s="11"/>
      <c r="AF524" s="11"/>
      <c r="AG524" s="6"/>
      <c r="AH524" s="6"/>
      <c r="AI524" s="6"/>
      <c r="AJ524" s="6"/>
      <c r="AK524" s="6"/>
      <c r="AL524" s="6"/>
      <c r="AM524" s="6"/>
      <c r="AN524" s="6"/>
      <c r="AO524" s="6"/>
      <c r="AP524" s="6"/>
      <c r="AQ524" s="6"/>
      <c r="AR524" s="6"/>
      <c r="AS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11"/>
      <c r="X525" s="11"/>
      <c r="Y525" s="11"/>
      <c r="Z525" s="11"/>
      <c r="AA525" s="11"/>
      <c r="AB525" s="11"/>
      <c r="AC525" s="11"/>
      <c r="AD525" s="11"/>
      <c r="AE525" s="11"/>
      <c r="AF525" s="11"/>
      <c r="AG525" s="6"/>
      <c r="AH525" s="6"/>
      <c r="AI525" s="6"/>
      <c r="AJ525" s="6"/>
      <c r="AK525" s="6"/>
      <c r="AL525" s="6"/>
      <c r="AM525" s="6"/>
      <c r="AN525" s="6"/>
      <c r="AO525" s="6"/>
      <c r="AP525" s="6"/>
      <c r="AQ525" s="6"/>
      <c r="AR525" s="6"/>
      <c r="AS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11"/>
      <c r="X526" s="11"/>
      <c r="Y526" s="11"/>
      <c r="Z526" s="11"/>
      <c r="AA526" s="11"/>
      <c r="AB526" s="11"/>
      <c r="AC526" s="11"/>
      <c r="AD526" s="11"/>
      <c r="AE526" s="11"/>
      <c r="AF526" s="11"/>
      <c r="AG526" s="6"/>
      <c r="AH526" s="6"/>
      <c r="AI526" s="6"/>
      <c r="AJ526" s="6"/>
      <c r="AK526" s="6"/>
      <c r="AL526" s="6"/>
      <c r="AM526" s="6"/>
      <c r="AN526" s="6"/>
      <c r="AO526" s="6"/>
      <c r="AP526" s="6"/>
      <c r="AQ526" s="6"/>
      <c r="AR526" s="6"/>
      <c r="AS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11"/>
      <c r="X527" s="11"/>
      <c r="Y527" s="11"/>
      <c r="Z527" s="11"/>
      <c r="AA527" s="11"/>
      <c r="AB527" s="11"/>
      <c r="AC527" s="11"/>
      <c r="AD527" s="11"/>
      <c r="AE527" s="11"/>
      <c r="AF527" s="11"/>
      <c r="AG527" s="6"/>
      <c r="AH527" s="6"/>
      <c r="AI527" s="6"/>
      <c r="AJ527" s="6"/>
      <c r="AK527" s="6"/>
      <c r="AL527" s="6"/>
      <c r="AM527" s="6"/>
      <c r="AN527" s="6"/>
      <c r="AO527" s="6"/>
      <c r="AP527" s="6"/>
      <c r="AQ527" s="6"/>
      <c r="AR527" s="6"/>
      <c r="AS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11"/>
      <c r="X528" s="11"/>
      <c r="Y528" s="11"/>
      <c r="Z528" s="11"/>
      <c r="AA528" s="11"/>
      <c r="AB528" s="11"/>
      <c r="AC528" s="11"/>
      <c r="AD528" s="11"/>
      <c r="AE528" s="11"/>
      <c r="AF528" s="11"/>
      <c r="AG528" s="6"/>
      <c r="AH528" s="6"/>
      <c r="AI528" s="6"/>
      <c r="AJ528" s="6"/>
      <c r="AK528" s="6"/>
      <c r="AL528" s="6"/>
      <c r="AM528" s="6"/>
      <c r="AN528" s="6"/>
      <c r="AO528" s="6"/>
      <c r="AP528" s="6"/>
      <c r="AQ528" s="6"/>
      <c r="AR528" s="6"/>
      <c r="AS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11"/>
      <c r="X529" s="11"/>
      <c r="Y529" s="11"/>
      <c r="Z529" s="11"/>
      <c r="AA529" s="11"/>
      <c r="AB529" s="11"/>
      <c r="AC529" s="11"/>
      <c r="AD529" s="11"/>
      <c r="AE529" s="11"/>
      <c r="AF529" s="11"/>
      <c r="AG529" s="6"/>
      <c r="AH529" s="6"/>
      <c r="AI529" s="6"/>
      <c r="AJ529" s="6"/>
      <c r="AK529" s="6"/>
      <c r="AL529" s="6"/>
      <c r="AM529" s="6"/>
      <c r="AN529" s="6"/>
      <c r="AO529" s="6"/>
      <c r="AP529" s="6"/>
      <c r="AQ529" s="6"/>
      <c r="AR529" s="6"/>
      <c r="AS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11"/>
      <c r="X530" s="11"/>
      <c r="Y530" s="11"/>
      <c r="Z530" s="11"/>
      <c r="AA530" s="11"/>
      <c r="AB530" s="11"/>
      <c r="AC530" s="11"/>
      <c r="AD530" s="11"/>
      <c r="AE530" s="11"/>
      <c r="AF530" s="11"/>
      <c r="AG530" s="6"/>
      <c r="AH530" s="6"/>
      <c r="AI530" s="6"/>
      <c r="AJ530" s="6"/>
      <c r="AK530" s="6"/>
      <c r="AL530" s="6"/>
      <c r="AM530" s="6"/>
      <c r="AN530" s="6"/>
      <c r="AO530" s="6"/>
      <c r="AP530" s="6"/>
      <c r="AQ530" s="6"/>
      <c r="AR530" s="6"/>
      <c r="AS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11"/>
      <c r="X531" s="11"/>
      <c r="Y531" s="11"/>
      <c r="Z531" s="11"/>
      <c r="AA531" s="11"/>
      <c r="AB531" s="11"/>
      <c r="AC531" s="11"/>
      <c r="AD531" s="11"/>
      <c r="AE531" s="11"/>
      <c r="AF531" s="11"/>
      <c r="AG531" s="6"/>
      <c r="AH531" s="6"/>
      <c r="AI531" s="6"/>
      <c r="AJ531" s="6"/>
      <c r="AK531" s="6"/>
      <c r="AL531" s="6"/>
      <c r="AM531" s="6"/>
      <c r="AN531" s="6"/>
      <c r="AO531" s="6"/>
      <c r="AP531" s="6"/>
      <c r="AQ531" s="6"/>
      <c r="AR531" s="6"/>
      <c r="AS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11"/>
      <c r="X532" s="11"/>
      <c r="Y532" s="11"/>
      <c r="Z532" s="11"/>
      <c r="AA532" s="11"/>
      <c r="AB532" s="11"/>
      <c r="AC532" s="11"/>
      <c r="AD532" s="11"/>
      <c r="AE532" s="11"/>
      <c r="AF532" s="11"/>
      <c r="AG532" s="6"/>
      <c r="AH532" s="6"/>
      <c r="AI532" s="6"/>
      <c r="AJ532" s="6"/>
      <c r="AK532" s="6"/>
      <c r="AL532" s="6"/>
      <c r="AM532" s="6"/>
      <c r="AN532" s="6"/>
      <c r="AO532" s="6"/>
      <c r="AP532" s="6"/>
      <c r="AQ532" s="6"/>
      <c r="AR532" s="6"/>
      <c r="AS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11"/>
      <c r="X533" s="11"/>
      <c r="Y533" s="11"/>
      <c r="Z533" s="11"/>
      <c r="AA533" s="11"/>
      <c r="AB533" s="11"/>
      <c r="AC533" s="11"/>
      <c r="AD533" s="11"/>
      <c r="AE533" s="11"/>
      <c r="AF533" s="11"/>
      <c r="AG533" s="6"/>
      <c r="AH533" s="6"/>
      <c r="AI533" s="6"/>
      <c r="AJ533" s="6"/>
      <c r="AK533" s="6"/>
      <c r="AL533" s="6"/>
      <c r="AM533" s="6"/>
      <c r="AN533" s="6"/>
      <c r="AO533" s="6"/>
      <c r="AP533" s="6"/>
      <c r="AQ533" s="6"/>
      <c r="AR533" s="6"/>
      <c r="AS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11"/>
      <c r="X534" s="11"/>
      <c r="Y534" s="11"/>
      <c r="Z534" s="11"/>
      <c r="AA534" s="11"/>
      <c r="AB534" s="11"/>
      <c r="AC534" s="11"/>
      <c r="AD534" s="11"/>
      <c r="AE534" s="11"/>
      <c r="AF534" s="11"/>
      <c r="AG534" s="6"/>
      <c r="AH534" s="6"/>
      <c r="AI534" s="6"/>
      <c r="AJ534" s="6"/>
      <c r="AK534" s="6"/>
      <c r="AL534" s="6"/>
      <c r="AM534" s="6"/>
      <c r="AN534" s="6"/>
      <c r="AO534" s="6"/>
      <c r="AP534" s="6"/>
      <c r="AQ534" s="6"/>
      <c r="AR534" s="6"/>
      <c r="AS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11"/>
      <c r="X535" s="11"/>
      <c r="Y535" s="11"/>
      <c r="Z535" s="11"/>
      <c r="AA535" s="11"/>
      <c r="AB535" s="11"/>
      <c r="AC535" s="11"/>
      <c r="AD535" s="11"/>
      <c r="AE535" s="11"/>
      <c r="AF535" s="11"/>
      <c r="AG535" s="6"/>
      <c r="AH535" s="6"/>
      <c r="AI535" s="6"/>
      <c r="AJ535" s="6"/>
      <c r="AK535" s="6"/>
      <c r="AL535" s="6"/>
      <c r="AM535" s="6"/>
      <c r="AN535" s="6"/>
      <c r="AO535" s="6"/>
      <c r="AP535" s="6"/>
      <c r="AQ535" s="6"/>
      <c r="AR535" s="6"/>
      <c r="AS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11"/>
      <c r="X536" s="11"/>
      <c r="Y536" s="11"/>
      <c r="Z536" s="11"/>
      <c r="AA536" s="11"/>
      <c r="AB536" s="11"/>
      <c r="AC536" s="11"/>
      <c r="AD536" s="11"/>
      <c r="AE536" s="11"/>
      <c r="AF536" s="11"/>
      <c r="AG536" s="6"/>
      <c r="AH536" s="6"/>
      <c r="AI536" s="6"/>
      <c r="AJ536" s="6"/>
      <c r="AK536" s="6"/>
      <c r="AL536" s="6"/>
      <c r="AM536" s="6"/>
      <c r="AN536" s="6"/>
      <c r="AO536" s="6"/>
      <c r="AP536" s="6"/>
      <c r="AQ536" s="6"/>
      <c r="AR536" s="6"/>
      <c r="AS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11"/>
      <c r="X537" s="11"/>
      <c r="Y537" s="11"/>
      <c r="Z537" s="11"/>
      <c r="AA537" s="11"/>
      <c r="AB537" s="11"/>
      <c r="AC537" s="11"/>
      <c r="AD537" s="11"/>
      <c r="AE537" s="11"/>
      <c r="AF537" s="11"/>
      <c r="AG537" s="6"/>
      <c r="AH537" s="6"/>
      <c r="AI537" s="6"/>
      <c r="AJ537" s="6"/>
      <c r="AK537" s="6"/>
      <c r="AL537" s="6"/>
      <c r="AM537" s="6"/>
      <c r="AN537" s="6"/>
      <c r="AO537" s="6"/>
      <c r="AP537" s="6"/>
      <c r="AQ537" s="6"/>
      <c r="AR537" s="6"/>
      <c r="AS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11"/>
      <c r="X538" s="11"/>
      <c r="Y538" s="11"/>
      <c r="Z538" s="11"/>
      <c r="AA538" s="11"/>
      <c r="AB538" s="11"/>
      <c r="AC538" s="11"/>
      <c r="AD538" s="11"/>
      <c r="AE538" s="11"/>
      <c r="AF538" s="11"/>
      <c r="AG538" s="6"/>
      <c r="AH538" s="6"/>
      <c r="AI538" s="6"/>
      <c r="AJ538" s="6"/>
      <c r="AK538" s="6"/>
      <c r="AL538" s="6"/>
      <c r="AM538" s="6"/>
      <c r="AN538" s="6"/>
      <c r="AO538" s="6"/>
      <c r="AP538" s="6"/>
      <c r="AQ538" s="6"/>
      <c r="AR538" s="6"/>
      <c r="AS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11"/>
      <c r="X539" s="11"/>
      <c r="Y539" s="11"/>
      <c r="Z539" s="11"/>
      <c r="AA539" s="11"/>
      <c r="AB539" s="11"/>
      <c r="AC539" s="11"/>
      <c r="AD539" s="11"/>
      <c r="AE539" s="11"/>
      <c r="AF539" s="11"/>
      <c r="AG539" s="6"/>
      <c r="AH539" s="6"/>
      <c r="AI539" s="6"/>
      <c r="AJ539" s="6"/>
      <c r="AK539" s="6"/>
      <c r="AL539" s="6"/>
      <c r="AM539" s="6"/>
      <c r="AN539" s="6"/>
      <c r="AO539" s="6"/>
      <c r="AP539" s="6"/>
      <c r="AQ539" s="6"/>
      <c r="AR539" s="6"/>
      <c r="AS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11"/>
      <c r="X540" s="11"/>
      <c r="Y540" s="11"/>
      <c r="Z540" s="11"/>
      <c r="AA540" s="11"/>
      <c r="AB540" s="11"/>
      <c r="AC540" s="11"/>
      <c r="AD540" s="11"/>
      <c r="AE540" s="11"/>
      <c r="AF540" s="11"/>
      <c r="AG540" s="6"/>
      <c r="AH540" s="6"/>
      <c r="AI540" s="6"/>
      <c r="AJ540" s="6"/>
      <c r="AK540" s="6"/>
      <c r="AL540" s="6"/>
      <c r="AM540" s="6"/>
      <c r="AN540" s="6"/>
      <c r="AO540" s="6"/>
      <c r="AP540" s="6"/>
      <c r="AQ540" s="6"/>
      <c r="AR540" s="6"/>
      <c r="AS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11"/>
      <c r="X541" s="11"/>
      <c r="Y541" s="11"/>
      <c r="Z541" s="11"/>
      <c r="AA541" s="11"/>
      <c r="AB541" s="11"/>
      <c r="AC541" s="11"/>
      <c r="AD541" s="11"/>
      <c r="AE541" s="11"/>
      <c r="AF541" s="11"/>
      <c r="AG541" s="6"/>
      <c r="AH541" s="6"/>
      <c r="AI541" s="6"/>
      <c r="AJ541" s="6"/>
      <c r="AK541" s="6"/>
      <c r="AL541" s="6"/>
      <c r="AM541" s="6"/>
      <c r="AN541" s="6"/>
      <c r="AO541" s="6"/>
      <c r="AP541" s="6"/>
      <c r="AQ541" s="6"/>
      <c r="AR541" s="6"/>
      <c r="AS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11"/>
      <c r="X542" s="11"/>
      <c r="Y542" s="11"/>
      <c r="Z542" s="11"/>
      <c r="AA542" s="11"/>
      <c r="AB542" s="11"/>
      <c r="AC542" s="11"/>
      <c r="AD542" s="11"/>
      <c r="AE542" s="11"/>
      <c r="AF542" s="11"/>
      <c r="AG542" s="6"/>
      <c r="AH542" s="6"/>
      <c r="AI542" s="6"/>
      <c r="AJ542" s="6"/>
      <c r="AK542" s="6"/>
      <c r="AL542" s="6"/>
      <c r="AM542" s="6"/>
      <c r="AN542" s="6"/>
      <c r="AO542" s="6"/>
      <c r="AP542" s="6"/>
      <c r="AQ542" s="6"/>
      <c r="AR542" s="6"/>
      <c r="AS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11"/>
      <c r="X543" s="11"/>
      <c r="Y543" s="11"/>
      <c r="Z543" s="11"/>
      <c r="AA543" s="11"/>
      <c r="AB543" s="11"/>
      <c r="AC543" s="11"/>
      <c r="AD543" s="11"/>
      <c r="AE543" s="11"/>
      <c r="AF543" s="11"/>
      <c r="AG543" s="6"/>
      <c r="AH543" s="6"/>
      <c r="AI543" s="6"/>
      <c r="AJ543" s="6"/>
      <c r="AK543" s="6"/>
      <c r="AL543" s="6"/>
      <c r="AM543" s="6"/>
      <c r="AN543" s="6"/>
      <c r="AO543" s="6"/>
      <c r="AP543" s="6"/>
      <c r="AQ543" s="6"/>
      <c r="AR543" s="6"/>
      <c r="AS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11"/>
      <c r="X544" s="11"/>
      <c r="Y544" s="11"/>
      <c r="Z544" s="11"/>
      <c r="AA544" s="11"/>
      <c r="AB544" s="11"/>
      <c r="AC544" s="11"/>
      <c r="AD544" s="11"/>
      <c r="AE544" s="11"/>
      <c r="AF544" s="11"/>
      <c r="AG544" s="6"/>
      <c r="AH544" s="6"/>
      <c r="AI544" s="6"/>
      <c r="AJ544" s="6"/>
      <c r="AK544" s="6"/>
      <c r="AL544" s="6"/>
      <c r="AM544" s="6"/>
      <c r="AN544" s="6"/>
      <c r="AO544" s="6"/>
      <c r="AP544" s="6"/>
      <c r="AQ544" s="6"/>
      <c r="AR544" s="6"/>
      <c r="AS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11"/>
      <c r="X545" s="11"/>
      <c r="Y545" s="11"/>
      <c r="Z545" s="11"/>
      <c r="AA545" s="11"/>
      <c r="AB545" s="11"/>
      <c r="AC545" s="11"/>
      <c r="AD545" s="11"/>
      <c r="AE545" s="11"/>
      <c r="AF545" s="11"/>
      <c r="AG545" s="6"/>
      <c r="AH545" s="6"/>
      <c r="AI545" s="6"/>
      <c r="AJ545" s="6"/>
      <c r="AK545" s="6"/>
      <c r="AL545" s="6"/>
      <c r="AM545" s="6"/>
      <c r="AN545" s="6"/>
      <c r="AO545" s="6"/>
      <c r="AP545" s="6"/>
      <c r="AQ545" s="6"/>
      <c r="AR545" s="6"/>
      <c r="AS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11"/>
      <c r="X546" s="11"/>
      <c r="Y546" s="11"/>
      <c r="Z546" s="11"/>
      <c r="AA546" s="11"/>
      <c r="AB546" s="11"/>
      <c r="AC546" s="11"/>
      <c r="AD546" s="11"/>
      <c r="AE546" s="11"/>
      <c r="AF546" s="11"/>
      <c r="AG546" s="6"/>
      <c r="AH546" s="6"/>
      <c r="AI546" s="6"/>
      <c r="AJ546" s="6"/>
      <c r="AK546" s="6"/>
      <c r="AL546" s="6"/>
      <c r="AM546" s="6"/>
      <c r="AN546" s="6"/>
      <c r="AO546" s="6"/>
      <c r="AP546" s="6"/>
      <c r="AQ546" s="6"/>
      <c r="AR546" s="6"/>
      <c r="AS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11"/>
      <c r="X547" s="11"/>
      <c r="Y547" s="11"/>
      <c r="Z547" s="11"/>
      <c r="AA547" s="11"/>
      <c r="AB547" s="11"/>
      <c r="AC547" s="11"/>
      <c r="AD547" s="11"/>
      <c r="AE547" s="11"/>
      <c r="AF547" s="11"/>
      <c r="AG547" s="6"/>
      <c r="AH547" s="6"/>
      <c r="AI547" s="6"/>
      <c r="AJ547" s="6"/>
      <c r="AK547" s="6"/>
      <c r="AL547" s="6"/>
      <c r="AM547" s="6"/>
      <c r="AN547" s="6"/>
      <c r="AO547" s="6"/>
      <c r="AP547" s="6"/>
      <c r="AQ547" s="6"/>
      <c r="AR547" s="6"/>
      <c r="AS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11"/>
      <c r="X548" s="11"/>
      <c r="Y548" s="11"/>
      <c r="Z548" s="11"/>
      <c r="AA548" s="11"/>
      <c r="AB548" s="11"/>
      <c r="AC548" s="11"/>
      <c r="AD548" s="11"/>
      <c r="AE548" s="11"/>
      <c r="AF548" s="11"/>
      <c r="AG548" s="6"/>
      <c r="AH548" s="6"/>
      <c r="AI548" s="6"/>
      <c r="AJ548" s="6"/>
      <c r="AK548" s="6"/>
      <c r="AL548" s="6"/>
      <c r="AM548" s="6"/>
      <c r="AN548" s="6"/>
      <c r="AO548" s="6"/>
      <c r="AP548" s="6"/>
      <c r="AQ548" s="6"/>
      <c r="AR548" s="6"/>
      <c r="AS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11"/>
      <c r="X549" s="11"/>
      <c r="Y549" s="11"/>
      <c r="Z549" s="11"/>
      <c r="AA549" s="11"/>
      <c r="AB549" s="11"/>
      <c r="AC549" s="11"/>
      <c r="AD549" s="11"/>
      <c r="AE549" s="11"/>
      <c r="AF549" s="11"/>
      <c r="AG549" s="6"/>
      <c r="AH549" s="6"/>
      <c r="AI549" s="6"/>
      <c r="AJ549" s="6"/>
      <c r="AK549" s="6"/>
      <c r="AL549" s="6"/>
      <c r="AM549" s="6"/>
      <c r="AN549" s="6"/>
      <c r="AO549" s="6"/>
      <c r="AP549" s="6"/>
      <c r="AQ549" s="6"/>
      <c r="AR549" s="6"/>
      <c r="AS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11"/>
      <c r="X550" s="11"/>
      <c r="Y550" s="11"/>
      <c r="Z550" s="11"/>
      <c r="AA550" s="11"/>
      <c r="AB550" s="11"/>
      <c r="AC550" s="11"/>
      <c r="AD550" s="11"/>
      <c r="AE550" s="11"/>
      <c r="AF550" s="11"/>
      <c r="AG550" s="6"/>
      <c r="AH550" s="6"/>
      <c r="AI550" s="6"/>
      <c r="AJ550" s="6"/>
      <c r="AK550" s="6"/>
      <c r="AL550" s="6"/>
      <c r="AM550" s="6"/>
      <c r="AN550" s="6"/>
      <c r="AO550" s="6"/>
      <c r="AP550" s="6"/>
      <c r="AQ550" s="6"/>
      <c r="AR550" s="6"/>
      <c r="AS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11"/>
      <c r="X551" s="11"/>
      <c r="Y551" s="11"/>
      <c r="Z551" s="11"/>
      <c r="AA551" s="11"/>
      <c r="AB551" s="11"/>
      <c r="AC551" s="11"/>
      <c r="AD551" s="11"/>
      <c r="AE551" s="11"/>
      <c r="AF551" s="11"/>
      <c r="AG551" s="6"/>
      <c r="AH551" s="6"/>
      <c r="AI551" s="6"/>
      <c r="AJ551" s="6"/>
      <c r="AK551" s="6"/>
      <c r="AL551" s="6"/>
      <c r="AM551" s="6"/>
      <c r="AN551" s="6"/>
      <c r="AO551" s="6"/>
      <c r="AP551" s="6"/>
      <c r="AQ551" s="6"/>
      <c r="AR551" s="6"/>
      <c r="AS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11"/>
      <c r="X552" s="11"/>
      <c r="Y552" s="11"/>
      <c r="Z552" s="11"/>
      <c r="AA552" s="11"/>
      <c r="AB552" s="11"/>
      <c r="AC552" s="11"/>
      <c r="AD552" s="11"/>
      <c r="AE552" s="11"/>
      <c r="AF552" s="11"/>
      <c r="AG552" s="6"/>
      <c r="AH552" s="6"/>
      <c r="AI552" s="6"/>
      <c r="AJ552" s="6"/>
      <c r="AK552" s="6"/>
      <c r="AL552" s="6"/>
      <c r="AM552" s="6"/>
      <c r="AN552" s="6"/>
      <c r="AO552" s="6"/>
      <c r="AP552" s="6"/>
      <c r="AQ552" s="6"/>
      <c r="AR552" s="6"/>
      <c r="AS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11"/>
      <c r="X553" s="11"/>
      <c r="Y553" s="11"/>
      <c r="Z553" s="11"/>
      <c r="AA553" s="11"/>
      <c r="AB553" s="11"/>
      <c r="AC553" s="11"/>
      <c r="AD553" s="11"/>
      <c r="AE553" s="11"/>
      <c r="AF553" s="11"/>
      <c r="AG553" s="6"/>
      <c r="AH553" s="6"/>
      <c r="AI553" s="6"/>
      <c r="AJ553" s="6"/>
      <c r="AK553" s="6"/>
      <c r="AL553" s="6"/>
      <c r="AM553" s="6"/>
      <c r="AN553" s="6"/>
      <c r="AO553" s="6"/>
      <c r="AP553" s="6"/>
      <c r="AQ553" s="6"/>
      <c r="AR553" s="6"/>
      <c r="AS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11"/>
      <c r="X554" s="11"/>
      <c r="Y554" s="11"/>
      <c r="Z554" s="11"/>
      <c r="AA554" s="11"/>
      <c r="AB554" s="11"/>
      <c r="AC554" s="11"/>
      <c r="AD554" s="11"/>
      <c r="AE554" s="11"/>
      <c r="AF554" s="11"/>
      <c r="AG554" s="6"/>
      <c r="AH554" s="6"/>
      <c r="AI554" s="6"/>
      <c r="AJ554" s="6"/>
      <c r="AK554" s="6"/>
      <c r="AL554" s="6"/>
      <c r="AM554" s="6"/>
      <c r="AN554" s="6"/>
      <c r="AO554" s="6"/>
      <c r="AP554" s="6"/>
      <c r="AQ554" s="6"/>
      <c r="AR554" s="6"/>
      <c r="AS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11"/>
      <c r="X555" s="11"/>
      <c r="Y555" s="11"/>
      <c r="Z555" s="11"/>
      <c r="AA555" s="11"/>
      <c r="AB555" s="11"/>
      <c r="AC555" s="11"/>
      <c r="AD555" s="11"/>
      <c r="AE555" s="11"/>
      <c r="AF555" s="11"/>
      <c r="AG555" s="6"/>
      <c r="AH555" s="6"/>
      <c r="AI555" s="6"/>
      <c r="AJ555" s="6"/>
      <c r="AK555" s="6"/>
      <c r="AL555" s="6"/>
      <c r="AM555" s="6"/>
      <c r="AN555" s="6"/>
      <c r="AO555" s="6"/>
      <c r="AP555" s="6"/>
      <c r="AQ555" s="6"/>
      <c r="AR555" s="6"/>
      <c r="AS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11"/>
      <c r="X556" s="11"/>
      <c r="Y556" s="11"/>
      <c r="Z556" s="11"/>
      <c r="AA556" s="11"/>
      <c r="AB556" s="11"/>
      <c r="AC556" s="11"/>
      <c r="AD556" s="11"/>
      <c r="AE556" s="11"/>
      <c r="AF556" s="11"/>
      <c r="AG556" s="6"/>
      <c r="AH556" s="6"/>
      <c r="AI556" s="6"/>
      <c r="AJ556" s="6"/>
      <c r="AK556" s="6"/>
      <c r="AL556" s="6"/>
      <c r="AM556" s="6"/>
      <c r="AN556" s="6"/>
      <c r="AO556" s="6"/>
      <c r="AP556" s="6"/>
      <c r="AQ556" s="6"/>
      <c r="AR556" s="6"/>
      <c r="AS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11"/>
      <c r="X557" s="11"/>
      <c r="Y557" s="11"/>
      <c r="Z557" s="11"/>
      <c r="AA557" s="11"/>
      <c r="AB557" s="11"/>
      <c r="AC557" s="11"/>
      <c r="AD557" s="11"/>
      <c r="AE557" s="11"/>
      <c r="AF557" s="11"/>
      <c r="AG557" s="6"/>
      <c r="AH557" s="6"/>
      <c r="AI557" s="6"/>
      <c r="AJ557" s="6"/>
      <c r="AK557" s="6"/>
      <c r="AL557" s="6"/>
      <c r="AM557" s="6"/>
      <c r="AN557" s="6"/>
      <c r="AO557" s="6"/>
      <c r="AP557" s="6"/>
      <c r="AQ557" s="6"/>
      <c r="AR557" s="6"/>
      <c r="AS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11"/>
      <c r="X558" s="11"/>
      <c r="Y558" s="11"/>
      <c r="Z558" s="11"/>
      <c r="AA558" s="11"/>
      <c r="AB558" s="11"/>
      <c r="AC558" s="11"/>
      <c r="AD558" s="11"/>
      <c r="AE558" s="11"/>
      <c r="AF558" s="11"/>
      <c r="AG558" s="6"/>
      <c r="AH558" s="6"/>
      <c r="AI558" s="6"/>
      <c r="AJ558" s="6"/>
      <c r="AK558" s="6"/>
      <c r="AL558" s="6"/>
      <c r="AM558" s="6"/>
      <c r="AN558" s="6"/>
      <c r="AO558" s="6"/>
      <c r="AP558" s="6"/>
      <c r="AQ558" s="6"/>
      <c r="AR558" s="6"/>
      <c r="AS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11"/>
      <c r="X559" s="11"/>
      <c r="Y559" s="11"/>
      <c r="Z559" s="11"/>
      <c r="AA559" s="11"/>
      <c r="AB559" s="11"/>
      <c r="AC559" s="11"/>
      <c r="AD559" s="11"/>
      <c r="AE559" s="11"/>
      <c r="AF559" s="11"/>
      <c r="AG559" s="6"/>
      <c r="AH559" s="6"/>
      <c r="AI559" s="6"/>
      <c r="AJ559" s="6"/>
      <c r="AK559" s="6"/>
      <c r="AL559" s="6"/>
      <c r="AM559" s="6"/>
      <c r="AN559" s="6"/>
      <c r="AO559" s="6"/>
      <c r="AP559" s="6"/>
      <c r="AQ559" s="6"/>
      <c r="AR559" s="6"/>
      <c r="AS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11"/>
      <c r="X560" s="11"/>
      <c r="Y560" s="11"/>
      <c r="Z560" s="11"/>
      <c r="AA560" s="11"/>
      <c r="AB560" s="11"/>
      <c r="AC560" s="11"/>
      <c r="AD560" s="11"/>
      <c r="AE560" s="11"/>
      <c r="AF560" s="11"/>
      <c r="AG560" s="6"/>
      <c r="AH560" s="6"/>
      <c r="AI560" s="6"/>
      <c r="AJ560" s="6"/>
      <c r="AK560" s="6"/>
      <c r="AL560" s="6"/>
      <c r="AM560" s="6"/>
      <c r="AN560" s="6"/>
      <c r="AO560" s="6"/>
      <c r="AP560" s="6"/>
      <c r="AQ560" s="6"/>
      <c r="AR560" s="6"/>
      <c r="AS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11"/>
      <c r="X561" s="11"/>
      <c r="Y561" s="11"/>
      <c r="Z561" s="11"/>
      <c r="AA561" s="11"/>
      <c r="AB561" s="11"/>
      <c r="AC561" s="11"/>
      <c r="AD561" s="11"/>
      <c r="AE561" s="11"/>
      <c r="AF561" s="11"/>
      <c r="AG561" s="6"/>
      <c r="AH561" s="6"/>
      <c r="AI561" s="6"/>
      <c r="AJ561" s="6"/>
      <c r="AK561" s="6"/>
      <c r="AL561" s="6"/>
      <c r="AM561" s="6"/>
      <c r="AN561" s="6"/>
      <c r="AO561" s="6"/>
      <c r="AP561" s="6"/>
      <c r="AQ561" s="6"/>
      <c r="AR561" s="6"/>
      <c r="AS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11"/>
      <c r="X562" s="11"/>
      <c r="Y562" s="11"/>
      <c r="Z562" s="11"/>
      <c r="AA562" s="11"/>
      <c r="AB562" s="11"/>
      <c r="AC562" s="11"/>
      <c r="AD562" s="11"/>
      <c r="AE562" s="11"/>
      <c r="AF562" s="11"/>
      <c r="AG562" s="6"/>
      <c r="AH562" s="6"/>
      <c r="AI562" s="6"/>
      <c r="AJ562" s="6"/>
      <c r="AK562" s="6"/>
      <c r="AL562" s="6"/>
      <c r="AM562" s="6"/>
      <c r="AN562" s="6"/>
      <c r="AO562" s="6"/>
      <c r="AP562" s="6"/>
      <c r="AQ562" s="6"/>
      <c r="AR562" s="6"/>
      <c r="AS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11"/>
      <c r="X563" s="11"/>
      <c r="Y563" s="11"/>
      <c r="Z563" s="11"/>
      <c r="AA563" s="11"/>
      <c r="AB563" s="11"/>
      <c r="AC563" s="11"/>
      <c r="AD563" s="11"/>
      <c r="AE563" s="11"/>
      <c r="AF563" s="11"/>
      <c r="AG563" s="6"/>
      <c r="AH563" s="6"/>
      <c r="AI563" s="6"/>
      <c r="AJ563" s="6"/>
      <c r="AK563" s="6"/>
      <c r="AL563" s="6"/>
      <c r="AM563" s="6"/>
      <c r="AN563" s="6"/>
      <c r="AO563" s="6"/>
      <c r="AP563" s="6"/>
      <c r="AQ563" s="6"/>
      <c r="AR563" s="6"/>
      <c r="AS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11"/>
      <c r="X564" s="11"/>
      <c r="Y564" s="11"/>
      <c r="Z564" s="11"/>
      <c r="AA564" s="11"/>
      <c r="AB564" s="11"/>
      <c r="AC564" s="11"/>
      <c r="AD564" s="11"/>
      <c r="AE564" s="11"/>
      <c r="AF564" s="11"/>
      <c r="AG564" s="6"/>
      <c r="AH564" s="6"/>
      <c r="AI564" s="6"/>
      <c r="AJ564" s="6"/>
      <c r="AK564" s="6"/>
      <c r="AL564" s="6"/>
      <c r="AM564" s="6"/>
      <c r="AN564" s="6"/>
      <c r="AO564" s="6"/>
      <c r="AP564" s="6"/>
      <c r="AQ564" s="6"/>
      <c r="AR564" s="6"/>
      <c r="AS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11"/>
      <c r="X565" s="11"/>
      <c r="Y565" s="11"/>
      <c r="Z565" s="11"/>
      <c r="AA565" s="11"/>
      <c r="AB565" s="11"/>
      <c r="AC565" s="11"/>
      <c r="AD565" s="11"/>
      <c r="AE565" s="11"/>
      <c r="AF565" s="11"/>
      <c r="AG565" s="6"/>
      <c r="AH565" s="6"/>
      <c r="AI565" s="6"/>
      <c r="AJ565" s="6"/>
      <c r="AK565" s="6"/>
      <c r="AL565" s="6"/>
      <c r="AM565" s="6"/>
      <c r="AN565" s="6"/>
      <c r="AO565" s="6"/>
      <c r="AP565" s="6"/>
      <c r="AQ565" s="6"/>
      <c r="AR565" s="6"/>
      <c r="AS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11"/>
      <c r="X566" s="11"/>
      <c r="Y566" s="11"/>
      <c r="Z566" s="11"/>
      <c r="AA566" s="11"/>
      <c r="AB566" s="11"/>
      <c r="AC566" s="11"/>
      <c r="AD566" s="11"/>
      <c r="AE566" s="11"/>
      <c r="AF566" s="11"/>
      <c r="AG566" s="6"/>
      <c r="AH566" s="6"/>
      <c r="AI566" s="6"/>
      <c r="AJ566" s="6"/>
      <c r="AK566" s="6"/>
      <c r="AL566" s="6"/>
      <c r="AM566" s="6"/>
      <c r="AN566" s="6"/>
      <c r="AO566" s="6"/>
      <c r="AP566" s="6"/>
      <c r="AQ566" s="6"/>
      <c r="AR566" s="6"/>
      <c r="AS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11"/>
      <c r="X567" s="11"/>
      <c r="Y567" s="11"/>
      <c r="Z567" s="11"/>
      <c r="AA567" s="11"/>
      <c r="AB567" s="11"/>
      <c r="AC567" s="11"/>
      <c r="AD567" s="11"/>
      <c r="AE567" s="11"/>
      <c r="AF567" s="11"/>
      <c r="AG567" s="6"/>
      <c r="AH567" s="6"/>
      <c r="AI567" s="6"/>
      <c r="AJ567" s="6"/>
      <c r="AK567" s="6"/>
      <c r="AL567" s="6"/>
      <c r="AM567" s="6"/>
      <c r="AN567" s="6"/>
      <c r="AO567" s="6"/>
      <c r="AP567" s="6"/>
      <c r="AQ567" s="6"/>
      <c r="AR567" s="6"/>
      <c r="AS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11"/>
      <c r="X568" s="11"/>
      <c r="Y568" s="11"/>
      <c r="Z568" s="11"/>
      <c r="AA568" s="11"/>
      <c r="AB568" s="11"/>
      <c r="AC568" s="11"/>
      <c r="AD568" s="11"/>
      <c r="AE568" s="11"/>
      <c r="AF568" s="11"/>
      <c r="AG568" s="6"/>
      <c r="AH568" s="6"/>
      <c r="AI568" s="6"/>
      <c r="AJ568" s="6"/>
      <c r="AK568" s="6"/>
      <c r="AL568" s="6"/>
      <c r="AM568" s="6"/>
      <c r="AN568" s="6"/>
      <c r="AO568" s="6"/>
      <c r="AP568" s="6"/>
      <c r="AQ568" s="6"/>
      <c r="AR568" s="6"/>
      <c r="AS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11"/>
      <c r="X569" s="11"/>
      <c r="Y569" s="11"/>
      <c r="Z569" s="11"/>
      <c r="AA569" s="11"/>
      <c r="AB569" s="11"/>
      <c r="AC569" s="11"/>
      <c r="AD569" s="11"/>
      <c r="AE569" s="11"/>
      <c r="AF569" s="11"/>
      <c r="AG569" s="6"/>
      <c r="AH569" s="6"/>
      <c r="AI569" s="6"/>
      <c r="AJ569" s="6"/>
      <c r="AK569" s="6"/>
      <c r="AL569" s="6"/>
      <c r="AM569" s="6"/>
      <c r="AN569" s="6"/>
      <c r="AO569" s="6"/>
      <c r="AP569" s="6"/>
      <c r="AQ569" s="6"/>
      <c r="AR569" s="6"/>
      <c r="AS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11"/>
      <c r="X570" s="11"/>
      <c r="Y570" s="11"/>
      <c r="Z570" s="11"/>
      <c r="AA570" s="11"/>
      <c r="AB570" s="11"/>
      <c r="AC570" s="11"/>
      <c r="AD570" s="11"/>
      <c r="AE570" s="11"/>
      <c r="AF570" s="11"/>
      <c r="AG570" s="6"/>
      <c r="AH570" s="6"/>
      <c r="AI570" s="6"/>
      <c r="AJ570" s="6"/>
      <c r="AK570" s="6"/>
      <c r="AL570" s="6"/>
      <c r="AM570" s="6"/>
      <c r="AN570" s="6"/>
      <c r="AO570" s="6"/>
      <c r="AP570" s="6"/>
      <c r="AQ570" s="6"/>
      <c r="AR570" s="6"/>
      <c r="AS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11"/>
      <c r="X571" s="11"/>
      <c r="Y571" s="11"/>
      <c r="Z571" s="11"/>
      <c r="AA571" s="11"/>
      <c r="AB571" s="11"/>
      <c r="AC571" s="11"/>
      <c r="AD571" s="11"/>
      <c r="AE571" s="11"/>
      <c r="AF571" s="11"/>
      <c r="AG571" s="6"/>
      <c r="AH571" s="6"/>
      <c r="AI571" s="6"/>
      <c r="AJ571" s="6"/>
      <c r="AK571" s="6"/>
      <c r="AL571" s="6"/>
      <c r="AM571" s="6"/>
      <c r="AN571" s="6"/>
      <c r="AO571" s="6"/>
      <c r="AP571" s="6"/>
      <c r="AQ571" s="6"/>
      <c r="AR571" s="6"/>
      <c r="AS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11"/>
      <c r="X572" s="11"/>
      <c r="Y572" s="11"/>
      <c r="Z572" s="11"/>
      <c r="AA572" s="11"/>
      <c r="AB572" s="11"/>
      <c r="AC572" s="11"/>
      <c r="AD572" s="11"/>
      <c r="AE572" s="11"/>
      <c r="AF572" s="11"/>
      <c r="AG572" s="6"/>
      <c r="AH572" s="6"/>
      <c r="AI572" s="6"/>
      <c r="AJ572" s="6"/>
      <c r="AK572" s="6"/>
      <c r="AL572" s="6"/>
      <c r="AM572" s="6"/>
      <c r="AN572" s="6"/>
      <c r="AO572" s="6"/>
      <c r="AP572" s="6"/>
      <c r="AQ572" s="6"/>
      <c r="AR572" s="6"/>
      <c r="AS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11"/>
      <c r="X573" s="11"/>
      <c r="Y573" s="11"/>
      <c r="Z573" s="11"/>
      <c r="AA573" s="11"/>
      <c r="AB573" s="11"/>
      <c r="AC573" s="11"/>
      <c r="AD573" s="11"/>
      <c r="AE573" s="11"/>
      <c r="AF573" s="11"/>
      <c r="AG573" s="6"/>
      <c r="AH573" s="6"/>
      <c r="AI573" s="6"/>
      <c r="AJ573" s="6"/>
      <c r="AK573" s="6"/>
      <c r="AL573" s="6"/>
      <c r="AM573" s="6"/>
      <c r="AN573" s="6"/>
      <c r="AO573" s="6"/>
      <c r="AP573" s="6"/>
      <c r="AQ573" s="6"/>
      <c r="AR573" s="6"/>
      <c r="AS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11"/>
      <c r="X574" s="11"/>
      <c r="Y574" s="11"/>
      <c r="Z574" s="11"/>
      <c r="AA574" s="11"/>
      <c r="AB574" s="11"/>
      <c r="AC574" s="11"/>
      <c r="AD574" s="11"/>
      <c r="AE574" s="11"/>
      <c r="AF574" s="11"/>
      <c r="AG574" s="6"/>
      <c r="AH574" s="6"/>
      <c r="AI574" s="6"/>
      <c r="AJ574" s="6"/>
      <c r="AK574" s="6"/>
      <c r="AL574" s="6"/>
      <c r="AM574" s="6"/>
      <c r="AN574" s="6"/>
      <c r="AO574" s="6"/>
      <c r="AP574" s="6"/>
      <c r="AQ574" s="6"/>
      <c r="AR574" s="6"/>
      <c r="AS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11"/>
      <c r="X575" s="11"/>
      <c r="Y575" s="11"/>
      <c r="Z575" s="11"/>
      <c r="AA575" s="11"/>
      <c r="AB575" s="11"/>
      <c r="AC575" s="11"/>
      <c r="AD575" s="11"/>
      <c r="AE575" s="11"/>
      <c r="AF575" s="11"/>
      <c r="AG575" s="6"/>
      <c r="AH575" s="6"/>
      <c r="AI575" s="6"/>
      <c r="AJ575" s="6"/>
      <c r="AK575" s="6"/>
      <c r="AL575" s="6"/>
      <c r="AM575" s="6"/>
      <c r="AN575" s="6"/>
      <c r="AO575" s="6"/>
      <c r="AP575" s="6"/>
      <c r="AQ575" s="6"/>
      <c r="AR575" s="6"/>
      <c r="AS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11"/>
      <c r="X576" s="11"/>
      <c r="Y576" s="11"/>
      <c r="Z576" s="11"/>
      <c r="AA576" s="11"/>
      <c r="AB576" s="11"/>
      <c r="AC576" s="11"/>
      <c r="AD576" s="11"/>
      <c r="AE576" s="11"/>
      <c r="AF576" s="11"/>
      <c r="AG576" s="6"/>
      <c r="AH576" s="6"/>
      <c r="AI576" s="6"/>
      <c r="AJ576" s="6"/>
      <c r="AK576" s="6"/>
      <c r="AL576" s="6"/>
      <c r="AM576" s="6"/>
      <c r="AN576" s="6"/>
      <c r="AO576" s="6"/>
      <c r="AP576" s="6"/>
      <c r="AQ576" s="6"/>
      <c r="AR576" s="6"/>
      <c r="AS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11"/>
      <c r="X577" s="11"/>
      <c r="Y577" s="11"/>
      <c r="Z577" s="11"/>
      <c r="AA577" s="11"/>
      <c r="AB577" s="11"/>
      <c r="AC577" s="11"/>
      <c r="AD577" s="11"/>
      <c r="AE577" s="11"/>
      <c r="AF577" s="11"/>
      <c r="AG577" s="6"/>
      <c r="AH577" s="6"/>
      <c r="AI577" s="6"/>
      <c r="AJ577" s="6"/>
      <c r="AK577" s="6"/>
      <c r="AL577" s="6"/>
      <c r="AM577" s="6"/>
      <c r="AN577" s="6"/>
      <c r="AO577" s="6"/>
      <c r="AP577" s="6"/>
      <c r="AQ577" s="6"/>
      <c r="AR577" s="6"/>
      <c r="AS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11"/>
      <c r="X578" s="11"/>
      <c r="Y578" s="11"/>
      <c r="Z578" s="11"/>
      <c r="AA578" s="11"/>
      <c r="AB578" s="11"/>
      <c r="AC578" s="11"/>
      <c r="AD578" s="11"/>
      <c r="AE578" s="11"/>
      <c r="AF578" s="11"/>
      <c r="AG578" s="6"/>
      <c r="AH578" s="6"/>
      <c r="AI578" s="6"/>
      <c r="AJ578" s="6"/>
      <c r="AK578" s="6"/>
      <c r="AL578" s="6"/>
      <c r="AM578" s="6"/>
      <c r="AN578" s="6"/>
      <c r="AO578" s="6"/>
      <c r="AP578" s="6"/>
      <c r="AQ578" s="6"/>
      <c r="AR578" s="6"/>
      <c r="AS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11"/>
      <c r="X579" s="11"/>
      <c r="Y579" s="11"/>
      <c r="Z579" s="11"/>
      <c r="AA579" s="11"/>
      <c r="AB579" s="11"/>
      <c r="AC579" s="11"/>
      <c r="AD579" s="11"/>
      <c r="AE579" s="11"/>
      <c r="AF579" s="11"/>
      <c r="AG579" s="6"/>
      <c r="AH579" s="6"/>
      <c r="AI579" s="6"/>
      <c r="AJ579" s="6"/>
      <c r="AK579" s="6"/>
      <c r="AL579" s="6"/>
      <c r="AM579" s="6"/>
      <c r="AN579" s="6"/>
      <c r="AO579" s="6"/>
      <c r="AP579" s="6"/>
      <c r="AQ579" s="6"/>
      <c r="AR579" s="6"/>
      <c r="AS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11"/>
      <c r="X580" s="11"/>
      <c r="Y580" s="11"/>
      <c r="Z580" s="11"/>
      <c r="AA580" s="11"/>
      <c r="AB580" s="11"/>
      <c r="AC580" s="11"/>
      <c r="AD580" s="11"/>
      <c r="AE580" s="11"/>
      <c r="AF580" s="11"/>
      <c r="AG580" s="6"/>
      <c r="AH580" s="6"/>
      <c r="AI580" s="6"/>
      <c r="AJ580" s="6"/>
      <c r="AK580" s="6"/>
      <c r="AL580" s="6"/>
      <c r="AM580" s="6"/>
      <c r="AN580" s="6"/>
      <c r="AO580" s="6"/>
      <c r="AP580" s="6"/>
      <c r="AQ580" s="6"/>
      <c r="AR580" s="6"/>
      <c r="AS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11"/>
      <c r="X581" s="11"/>
      <c r="Y581" s="11"/>
      <c r="Z581" s="11"/>
      <c r="AA581" s="11"/>
      <c r="AB581" s="11"/>
      <c r="AC581" s="11"/>
      <c r="AD581" s="11"/>
      <c r="AE581" s="11"/>
      <c r="AF581" s="11"/>
      <c r="AG581" s="6"/>
      <c r="AH581" s="6"/>
      <c r="AI581" s="6"/>
      <c r="AJ581" s="6"/>
      <c r="AK581" s="6"/>
      <c r="AL581" s="6"/>
      <c r="AM581" s="6"/>
      <c r="AN581" s="6"/>
      <c r="AO581" s="6"/>
      <c r="AP581" s="6"/>
      <c r="AQ581" s="6"/>
      <c r="AR581" s="6"/>
      <c r="AS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11"/>
      <c r="X582" s="11"/>
      <c r="Y582" s="11"/>
      <c r="Z582" s="11"/>
      <c r="AA582" s="11"/>
      <c r="AB582" s="11"/>
      <c r="AC582" s="11"/>
      <c r="AD582" s="11"/>
      <c r="AE582" s="11"/>
      <c r="AF582" s="11"/>
      <c r="AG582" s="6"/>
      <c r="AH582" s="6"/>
      <c r="AI582" s="6"/>
      <c r="AJ582" s="6"/>
      <c r="AK582" s="6"/>
      <c r="AL582" s="6"/>
      <c r="AM582" s="6"/>
      <c r="AN582" s="6"/>
      <c r="AO582" s="6"/>
      <c r="AP582" s="6"/>
      <c r="AQ582" s="6"/>
      <c r="AR582" s="6"/>
      <c r="AS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11"/>
      <c r="X583" s="11"/>
      <c r="Y583" s="11"/>
      <c r="Z583" s="11"/>
      <c r="AA583" s="11"/>
      <c r="AB583" s="11"/>
      <c r="AC583" s="11"/>
      <c r="AD583" s="11"/>
      <c r="AE583" s="11"/>
      <c r="AF583" s="11"/>
      <c r="AG583" s="6"/>
      <c r="AH583" s="6"/>
      <c r="AI583" s="6"/>
      <c r="AJ583" s="6"/>
      <c r="AK583" s="6"/>
      <c r="AL583" s="6"/>
      <c r="AM583" s="6"/>
      <c r="AN583" s="6"/>
      <c r="AO583" s="6"/>
      <c r="AP583" s="6"/>
      <c r="AQ583" s="6"/>
      <c r="AR583" s="6"/>
      <c r="AS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11"/>
      <c r="X584" s="11"/>
      <c r="Y584" s="11"/>
      <c r="Z584" s="11"/>
      <c r="AA584" s="11"/>
      <c r="AB584" s="11"/>
      <c r="AC584" s="11"/>
      <c r="AD584" s="11"/>
      <c r="AE584" s="11"/>
      <c r="AF584" s="11"/>
      <c r="AG584" s="6"/>
      <c r="AH584" s="6"/>
      <c r="AI584" s="6"/>
      <c r="AJ584" s="6"/>
      <c r="AK584" s="6"/>
      <c r="AL584" s="6"/>
      <c r="AM584" s="6"/>
      <c r="AN584" s="6"/>
      <c r="AO584" s="6"/>
      <c r="AP584" s="6"/>
      <c r="AQ584" s="6"/>
      <c r="AR584" s="6"/>
      <c r="AS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11"/>
      <c r="X585" s="11"/>
      <c r="Y585" s="11"/>
      <c r="Z585" s="11"/>
      <c r="AA585" s="11"/>
      <c r="AB585" s="11"/>
      <c r="AC585" s="11"/>
      <c r="AD585" s="11"/>
      <c r="AE585" s="11"/>
      <c r="AF585" s="11"/>
      <c r="AG585" s="6"/>
      <c r="AH585" s="6"/>
      <c r="AI585" s="6"/>
      <c r="AJ585" s="6"/>
      <c r="AK585" s="6"/>
      <c r="AL585" s="6"/>
      <c r="AM585" s="6"/>
      <c r="AN585" s="6"/>
      <c r="AO585" s="6"/>
      <c r="AP585" s="6"/>
      <c r="AQ585" s="6"/>
      <c r="AR585" s="6"/>
      <c r="AS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11"/>
      <c r="X586" s="11"/>
      <c r="Y586" s="11"/>
      <c r="Z586" s="11"/>
      <c r="AA586" s="11"/>
      <c r="AB586" s="11"/>
      <c r="AC586" s="11"/>
      <c r="AD586" s="11"/>
      <c r="AE586" s="11"/>
      <c r="AF586" s="11"/>
      <c r="AG586" s="6"/>
      <c r="AH586" s="6"/>
      <c r="AI586" s="6"/>
      <c r="AJ586" s="6"/>
      <c r="AK586" s="6"/>
      <c r="AL586" s="6"/>
      <c r="AM586" s="6"/>
      <c r="AN586" s="6"/>
      <c r="AO586" s="6"/>
      <c r="AP586" s="6"/>
      <c r="AQ586" s="6"/>
      <c r="AR586" s="6"/>
      <c r="AS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11"/>
      <c r="X587" s="11"/>
      <c r="Y587" s="11"/>
      <c r="Z587" s="11"/>
      <c r="AA587" s="11"/>
      <c r="AB587" s="11"/>
      <c r="AC587" s="11"/>
      <c r="AD587" s="11"/>
      <c r="AE587" s="11"/>
      <c r="AF587" s="11"/>
      <c r="AG587" s="6"/>
      <c r="AH587" s="6"/>
      <c r="AI587" s="6"/>
      <c r="AJ587" s="6"/>
      <c r="AK587" s="6"/>
      <c r="AL587" s="6"/>
      <c r="AM587" s="6"/>
      <c r="AN587" s="6"/>
      <c r="AO587" s="6"/>
      <c r="AP587" s="6"/>
      <c r="AQ587" s="6"/>
      <c r="AR587" s="6"/>
      <c r="AS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11"/>
      <c r="X588" s="11"/>
      <c r="Y588" s="11"/>
      <c r="Z588" s="11"/>
      <c r="AA588" s="11"/>
      <c r="AB588" s="11"/>
      <c r="AC588" s="11"/>
      <c r="AD588" s="11"/>
      <c r="AE588" s="11"/>
      <c r="AF588" s="11"/>
      <c r="AG588" s="6"/>
      <c r="AH588" s="6"/>
      <c r="AI588" s="6"/>
      <c r="AJ588" s="6"/>
      <c r="AK588" s="6"/>
      <c r="AL588" s="6"/>
      <c r="AM588" s="6"/>
      <c r="AN588" s="6"/>
      <c r="AO588" s="6"/>
      <c r="AP588" s="6"/>
      <c r="AQ588" s="6"/>
      <c r="AR588" s="6"/>
      <c r="AS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11"/>
      <c r="X589" s="11"/>
      <c r="Y589" s="11"/>
      <c r="Z589" s="11"/>
      <c r="AA589" s="11"/>
      <c r="AB589" s="11"/>
      <c r="AC589" s="11"/>
      <c r="AD589" s="11"/>
      <c r="AE589" s="11"/>
      <c r="AF589" s="11"/>
      <c r="AG589" s="6"/>
      <c r="AH589" s="6"/>
      <c r="AI589" s="6"/>
      <c r="AJ589" s="6"/>
      <c r="AK589" s="6"/>
      <c r="AL589" s="6"/>
      <c r="AM589" s="6"/>
      <c r="AN589" s="6"/>
      <c r="AO589" s="6"/>
      <c r="AP589" s="6"/>
      <c r="AQ589" s="6"/>
      <c r="AR589" s="6"/>
      <c r="AS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11"/>
      <c r="X590" s="11"/>
      <c r="Y590" s="11"/>
      <c r="Z590" s="11"/>
      <c r="AA590" s="11"/>
      <c r="AB590" s="11"/>
      <c r="AC590" s="11"/>
      <c r="AD590" s="11"/>
      <c r="AE590" s="11"/>
      <c r="AF590" s="11"/>
      <c r="AG590" s="6"/>
      <c r="AH590" s="6"/>
      <c r="AI590" s="6"/>
      <c r="AJ590" s="6"/>
      <c r="AK590" s="6"/>
      <c r="AL590" s="6"/>
      <c r="AM590" s="6"/>
      <c r="AN590" s="6"/>
      <c r="AO590" s="6"/>
      <c r="AP590" s="6"/>
      <c r="AQ590" s="6"/>
      <c r="AR590" s="6"/>
      <c r="AS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11"/>
      <c r="X591" s="11"/>
      <c r="Y591" s="11"/>
      <c r="Z591" s="11"/>
      <c r="AA591" s="11"/>
      <c r="AB591" s="11"/>
      <c r="AC591" s="11"/>
      <c r="AD591" s="11"/>
      <c r="AE591" s="11"/>
      <c r="AF591" s="11"/>
      <c r="AG591" s="6"/>
      <c r="AH591" s="6"/>
      <c r="AI591" s="6"/>
      <c r="AJ591" s="6"/>
      <c r="AK591" s="6"/>
      <c r="AL591" s="6"/>
      <c r="AM591" s="6"/>
      <c r="AN591" s="6"/>
      <c r="AO591" s="6"/>
      <c r="AP591" s="6"/>
      <c r="AQ591" s="6"/>
      <c r="AR591" s="6"/>
      <c r="AS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11"/>
      <c r="X592" s="11"/>
      <c r="Y592" s="11"/>
      <c r="Z592" s="11"/>
      <c r="AA592" s="11"/>
      <c r="AB592" s="11"/>
      <c r="AC592" s="11"/>
      <c r="AD592" s="11"/>
      <c r="AE592" s="11"/>
      <c r="AF592" s="11"/>
      <c r="AG592" s="6"/>
      <c r="AH592" s="6"/>
      <c r="AI592" s="6"/>
      <c r="AJ592" s="6"/>
      <c r="AK592" s="6"/>
      <c r="AL592" s="6"/>
      <c r="AM592" s="6"/>
      <c r="AN592" s="6"/>
      <c r="AO592" s="6"/>
      <c r="AP592" s="6"/>
      <c r="AQ592" s="6"/>
      <c r="AR592" s="6"/>
      <c r="AS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11"/>
      <c r="X593" s="11"/>
      <c r="Y593" s="11"/>
      <c r="Z593" s="11"/>
      <c r="AA593" s="11"/>
      <c r="AB593" s="11"/>
      <c r="AC593" s="11"/>
      <c r="AD593" s="11"/>
      <c r="AE593" s="11"/>
      <c r="AF593" s="11"/>
      <c r="AG593" s="6"/>
      <c r="AH593" s="6"/>
      <c r="AI593" s="6"/>
      <c r="AJ593" s="6"/>
      <c r="AK593" s="6"/>
      <c r="AL593" s="6"/>
      <c r="AM593" s="6"/>
      <c r="AN593" s="6"/>
      <c r="AO593" s="6"/>
      <c r="AP593" s="6"/>
      <c r="AQ593" s="6"/>
      <c r="AR593" s="6"/>
      <c r="AS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11"/>
      <c r="X594" s="11"/>
      <c r="Y594" s="11"/>
      <c r="Z594" s="11"/>
      <c r="AA594" s="11"/>
      <c r="AB594" s="11"/>
      <c r="AC594" s="11"/>
      <c r="AD594" s="11"/>
      <c r="AE594" s="11"/>
      <c r="AF594" s="11"/>
      <c r="AG594" s="6"/>
      <c r="AH594" s="6"/>
      <c r="AI594" s="6"/>
      <c r="AJ594" s="6"/>
      <c r="AK594" s="6"/>
      <c r="AL594" s="6"/>
      <c r="AM594" s="6"/>
      <c r="AN594" s="6"/>
      <c r="AO594" s="6"/>
      <c r="AP594" s="6"/>
      <c r="AQ594" s="6"/>
      <c r="AR594" s="6"/>
      <c r="AS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11"/>
      <c r="X595" s="11"/>
      <c r="Y595" s="11"/>
      <c r="Z595" s="11"/>
      <c r="AA595" s="11"/>
      <c r="AB595" s="11"/>
      <c r="AC595" s="11"/>
      <c r="AD595" s="11"/>
      <c r="AE595" s="11"/>
      <c r="AF595" s="11"/>
      <c r="AG595" s="6"/>
      <c r="AH595" s="6"/>
      <c r="AI595" s="6"/>
      <c r="AJ595" s="6"/>
      <c r="AK595" s="6"/>
      <c r="AL595" s="6"/>
      <c r="AM595" s="6"/>
      <c r="AN595" s="6"/>
      <c r="AO595" s="6"/>
      <c r="AP595" s="6"/>
      <c r="AQ595" s="6"/>
      <c r="AR595" s="6"/>
      <c r="AS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11"/>
      <c r="X596" s="11"/>
      <c r="Y596" s="11"/>
      <c r="Z596" s="11"/>
      <c r="AA596" s="11"/>
      <c r="AB596" s="11"/>
      <c r="AC596" s="11"/>
      <c r="AD596" s="11"/>
      <c r="AE596" s="11"/>
      <c r="AF596" s="11"/>
      <c r="AG596" s="6"/>
      <c r="AH596" s="6"/>
      <c r="AI596" s="6"/>
      <c r="AJ596" s="6"/>
      <c r="AK596" s="6"/>
      <c r="AL596" s="6"/>
      <c r="AM596" s="6"/>
      <c r="AN596" s="6"/>
      <c r="AO596" s="6"/>
      <c r="AP596" s="6"/>
      <c r="AQ596" s="6"/>
      <c r="AR596" s="6"/>
      <c r="AS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11"/>
      <c r="X597" s="11"/>
      <c r="Y597" s="11"/>
      <c r="Z597" s="11"/>
      <c r="AA597" s="11"/>
      <c r="AB597" s="11"/>
      <c r="AC597" s="11"/>
      <c r="AD597" s="11"/>
      <c r="AE597" s="11"/>
      <c r="AF597" s="11"/>
      <c r="AG597" s="6"/>
      <c r="AH597" s="6"/>
      <c r="AI597" s="6"/>
      <c r="AJ597" s="6"/>
      <c r="AK597" s="6"/>
      <c r="AL597" s="6"/>
      <c r="AM597" s="6"/>
      <c r="AN597" s="6"/>
      <c r="AO597" s="6"/>
      <c r="AP597" s="6"/>
      <c r="AQ597" s="6"/>
      <c r="AR597" s="6"/>
      <c r="AS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11"/>
      <c r="X598" s="11"/>
      <c r="Y598" s="11"/>
      <c r="Z598" s="11"/>
      <c r="AA598" s="11"/>
      <c r="AB598" s="11"/>
      <c r="AC598" s="11"/>
      <c r="AD598" s="11"/>
      <c r="AE598" s="11"/>
      <c r="AF598" s="11"/>
      <c r="AG598" s="6"/>
      <c r="AH598" s="6"/>
      <c r="AI598" s="6"/>
      <c r="AJ598" s="6"/>
      <c r="AK598" s="6"/>
      <c r="AL598" s="6"/>
      <c r="AM598" s="6"/>
      <c r="AN598" s="6"/>
      <c r="AO598" s="6"/>
      <c r="AP598" s="6"/>
      <c r="AQ598" s="6"/>
      <c r="AR598" s="6"/>
      <c r="AS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11"/>
      <c r="X599" s="11"/>
      <c r="Y599" s="11"/>
      <c r="Z599" s="11"/>
      <c r="AA599" s="11"/>
      <c r="AB599" s="11"/>
      <c r="AC599" s="11"/>
      <c r="AD599" s="11"/>
      <c r="AE599" s="11"/>
      <c r="AF599" s="11"/>
      <c r="AG599" s="6"/>
      <c r="AH599" s="6"/>
      <c r="AI599" s="6"/>
      <c r="AJ599" s="6"/>
      <c r="AK599" s="6"/>
      <c r="AL599" s="6"/>
      <c r="AM599" s="6"/>
      <c r="AN599" s="6"/>
      <c r="AO599" s="6"/>
      <c r="AP599" s="6"/>
      <c r="AQ599" s="6"/>
      <c r="AR599" s="6"/>
      <c r="AS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11"/>
      <c r="X600" s="11"/>
      <c r="Y600" s="11"/>
      <c r="Z600" s="11"/>
      <c r="AA600" s="11"/>
      <c r="AB600" s="11"/>
      <c r="AC600" s="11"/>
      <c r="AD600" s="11"/>
      <c r="AE600" s="11"/>
      <c r="AF600" s="11"/>
      <c r="AG600" s="6"/>
      <c r="AH600" s="6"/>
      <c r="AI600" s="6"/>
      <c r="AJ600" s="6"/>
      <c r="AK600" s="6"/>
      <c r="AL600" s="6"/>
      <c r="AM600" s="6"/>
      <c r="AN600" s="6"/>
      <c r="AO600" s="6"/>
      <c r="AP600" s="6"/>
      <c r="AQ600" s="6"/>
      <c r="AR600" s="6"/>
      <c r="AS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11"/>
      <c r="X601" s="11"/>
      <c r="Y601" s="11"/>
      <c r="Z601" s="11"/>
      <c r="AA601" s="11"/>
      <c r="AB601" s="11"/>
      <c r="AC601" s="11"/>
      <c r="AD601" s="11"/>
      <c r="AE601" s="11"/>
      <c r="AF601" s="11"/>
      <c r="AG601" s="6"/>
      <c r="AH601" s="6"/>
      <c r="AI601" s="6"/>
      <c r="AJ601" s="6"/>
      <c r="AK601" s="6"/>
      <c r="AL601" s="6"/>
      <c r="AM601" s="6"/>
      <c r="AN601" s="6"/>
      <c r="AO601" s="6"/>
      <c r="AP601" s="6"/>
      <c r="AQ601" s="6"/>
      <c r="AR601" s="6"/>
      <c r="AS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11"/>
      <c r="X602" s="11"/>
      <c r="Y602" s="11"/>
      <c r="Z602" s="11"/>
      <c r="AA602" s="11"/>
      <c r="AB602" s="11"/>
      <c r="AC602" s="11"/>
      <c r="AD602" s="11"/>
      <c r="AE602" s="11"/>
      <c r="AF602" s="11"/>
      <c r="AG602" s="6"/>
      <c r="AH602" s="6"/>
      <c r="AI602" s="6"/>
      <c r="AJ602" s="6"/>
      <c r="AK602" s="6"/>
      <c r="AL602" s="6"/>
      <c r="AM602" s="6"/>
      <c r="AN602" s="6"/>
      <c r="AO602" s="6"/>
      <c r="AP602" s="6"/>
      <c r="AQ602" s="6"/>
      <c r="AR602" s="6"/>
      <c r="AS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11"/>
      <c r="X603" s="11"/>
      <c r="Y603" s="11"/>
      <c r="Z603" s="11"/>
      <c r="AA603" s="11"/>
      <c r="AB603" s="11"/>
      <c r="AC603" s="11"/>
      <c r="AD603" s="11"/>
      <c r="AE603" s="11"/>
      <c r="AF603" s="11"/>
      <c r="AG603" s="6"/>
      <c r="AH603" s="6"/>
      <c r="AI603" s="6"/>
      <c r="AJ603" s="6"/>
      <c r="AK603" s="6"/>
      <c r="AL603" s="6"/>
      <c r="AM603" s="6"/>
      <c r="AN603" s="6"/>
      <c r="AO603" s="6"/>
      <c r="AP603" s="6"/>
      <c r="AQ603" s="6"/>
      <c r="AR603" s="6"/>
      <c r="AS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11"/>
      <c r="X604" s="11"/>
      <c r="Y604" s="11"/>
      <c r="Z604" s="11"/>
      <c r="AA604" s="11"/>
      <c r="AB604" s="11"/>
      <c r="AC604" s="11"/>
      <c r="AD604" s="11"/>
      <c r="AE604" s="11"/>
      <c r="AF604" s="11"/>
      <c r="AG604" s="6"/>
      <c r="AH604" s="6"/>
      <c r="AI604" s="6"/>
      <c r="AJ604" s="6"/>
      <c r="AK604" s="6"/>
      <c r="AL604" s="6"/>
      <c r="AM604" s="6"/>
      <c r="AN604" s="6"/>
      <c r="AO604" s="6"/>
      <c r="AP604" s="6"/>
      <c r="AQ604" s="6"/>
      <c r="AR604" s="6"/>
      <c r="AS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11"/>
      <c r="X605" s="11"/>
      <c r="Y605" s="11"/>
      <c r="Z605" s="11"/>
      <c r="AA605" s="11"/>
      <c r="AB605" s="11"/>
      <c r="AC605" s="11"/>
      <c r="AD605" s="11"/>
      <c r="AE605" s="11"/>
      <c r="AF605" s="11"/>
      <c r="AG605" s="6"/>
      <c r="AH605" s="6"/>
      <c r="AI605" s="6"/>
      <c r="AJ605" s="6"/>
      <c r="AK605" s="6"/>
      <c r="AL605" s="6"/>
      <c r="AM605" s="6"/>
      <c r="AN605" s="6"/>
      <c r="AO605" s="6"/>
      <c r="AP605" s="6"/>
      <c r="AQ605" s="6"/>
      <c r="AR605" s="6"/>
      <c r="AS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11"/>
      <c r="X606" s="11"/>
      <c r="Y606" s="11"/>
      <c r="Z606" s="11"/>
      <c r="AA606" s="11"/>
      <c r="AB606" s="11"/>
      <c r="AC606" s="11"/>
      <c r="AD606" s="11"/>
      <c r="AE606" s="11"/>
      <c r="AF606" s="11"/>
      <c r="AG606" s="6"/>
      <c r="AH606" s="6"/>
      <c r="AI606" s="6"/>
      <c r="AJ606" s="6"/>
      <c r="AK606" s="6"/>
      <c r="AL606" s="6"/>
      <c r="AM606" s="6"/>
      <c r="AN606" s="6"/>
      <c r="AO606" s="6"/>
      <c r="AP606" s="6"/>
      <c r="AQ606" s="6"/>
      <c r="AR606" s="6"/>
      <c r="AS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11"/>
      <c r="X607" s="11"/>
      <c r="Y607" s="11"/>
      <c r="Z607" s="11"/>
      <c r="AA607" s="11"/>
      <c r="AB607" s="11"/>
      <c r="AC607" s="11"/>
      <c r="AD607" s="11"/>
      <c r="AE607" s="11"/>
      <c r="AF607" s="11"/>
      <c r="AG607" s="6"/>
      <c r="AH607" s="6"/>
      <c r="AI607" s="6"/>
      <c r="AJ607" s="6"/>
      <c r="AK607" s="6"/>
      <c r="AL607" s="6"/>
      <c r="AM607" s="6"/>
      <c r="AN607" s="6"/>
      <c r="AO607" s="6"/>
      <c r="AP607" s="6"/>
      <c r="AQ607" s="6"/>
      <c r="AR607" s="6"/>
      <c r="AS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11"/>
      <c r="X608" s="11"/>
      <c r="Y608" s="11"/>
      <c r="Z608" s="11"/>
      <c r="AA608" s="11"/>
      <c r="AB608" s="11"/>
      <c r="AC608" s="11"/>
      <c r="AD608" s="11"/>
      <c r="AE608" s="11"/>
      <c r="AF608" s="11"/>
      <c r="AG608" s="6"/>
      <c r="AH608" s="6"/>
      <c r="AI608" s="6"/>
      <c r="AJ608" s="6"/>
      <c r="AK608" s="6"/>
      <c r="AL608" s="6"/>
      <c r="AM608" s="6"/>
      <c r="AN608" s="6"/>
      <c r="AO608" s="6"/>
      <c r="AP608" s="6"/>
      <c r="AQ608" s="6"/>
      <c r="AR608" s="6"/>
      <c r="AS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11"/>
      <c r="X609" s="11"/>
      <c r="Y609" s="11"/>
      <c r="Z609" s="11"/>
      <c r="AA609" s="11"/>
      <c r="AB609" s="11"/>
      <c r="AC609" s="11"/>
      <c r="AD609" s="11"/>
      <c r="AE609" s="11"/>
      <c r="AF609" s="11"/>
      <c r="AG609" s="6"/>
      <c r="AH609" s="6"/>
      <c r="AI609" s="6"/>
      <c r="AJ609" s="6"/>
      <c r="AK609" s="6"/>
      <c r="AL609" s="6"/>
      <c r="AM609" s="6"/>
      <c r="AN609" s="6"/>
      <c r="AO609" s="6"/>
      <c r="AP609" s="6"/>
      <c r="AQ609" s="6"/>
      <c r="AR609" s="6"/>
      <c r="AS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11"/>
      <c r="X610" s="11"/>
      <c r="Y610" s="11"/>
      <c r="Z610" s="11"/>
      <c r="AA610" s="11"/>
      <c r="AB610" s="11"/>
      <c r="AC610" s="11"/>
      <c r="AD610" s="11"/>
      <c r="AE610" s="11"/>
      <c r="AF610" s="11"/>
      <c r="AG610" s="6"/>
      <c r="AH610" s="6"/>
      <c r="AI610" s="6"/>
      <c r="AJ610" s="6"/>
      <c r="AK610" s="6"/>
      <c r="AL610" s="6"/>
      <c r="AM610" s="6"/>
      <c r="AN610" s="6"/>
      <c r="AO610" s="6"/>
      <c r="AP610" s="6"/>
      <c r="AQ610" s="6"/>
      <c r="AR610" s="6"/>
      <c r="AS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11"/>
      <c r="X611" s="11"/>
      <c r="Y611" s="11"/>
      <c r="Z611" s="11"/>
      <c r="AA611" s="11"/>
      <c r="AB611" s="11"/>
      <c r="AC611" s="11"/>
      <c r="AD611" s="11"/>
      <c r="AE611" s="11"/>
      <c r="AF611" s="11"/>
      <c r="AG611" s="6"/>
      <c r="AH611" s="6"/>
      <c r="AI611" s="6"/>
      <c r="AJ611" s="6"/>
      <c r="AK611" s="6"/>
      <c r="AL611" s="6"/>
      <c r="AM611" s="6"/>
      <c r="AN611" s="6"/>
      <c r="AO611" s="6"/>
      <c r="AP611" s="6"/>
      <c r="AQ611" s="6"/>
      <c r="AR611" s="6"/>
      <c r="AS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11"/>
      <c r="X612" s="11"/>
      <c r="Y612" s="11"/>
      <c r="Z612" s="11"/>
      <c r="AA612" s="11"/>
      <c r="AB612" s="11"/>
      <c r="AC612" s="11"/>
      <c r="AD612" s="11"/>
      <c r="AE612" s="11"/>
      <c r="AF612" s="11"/>
      <c r="AG612" s="6"/>
      <c r="AH612" s="6"/>
      <c r="AI612" s="6"/>
      <c r="AJ612" s="6"/>
      <c r="AK612" s="6"/>
      <c r="AL612" s="6"/>
      <c r="AM612" s="6"/>
      <c r="AN612" s="6"/>
      <c r="AO612" s="6"/>
      <c r="AP612" s="6"/>
      <c r="AQ612" s="6"/>
      <c r="AR612" s="6"/>
      <c r="AS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11"/>
      <c r="X613" s="11"/>
      <c r="Y613" s="11"/>
      <c r="Z613" s="11"/>
      <c r="AA613" s="11"/>
      <c r="AB613" s="11"/>
      <c r="AC613" s="11"/>
      <c r="AD613" s="11"/>
      <c r="AE613" s="11"/>
      <c r="AF613" s="11"/>
      <c r="AG613" s="6"/>
      <c r="AH613" s="6"/>
      <c r="AI613" s="6"/>
      <c r="AJ613" s="6"/>
      <c r="AK613" s="6"/>
      <c r="AL613" s="6"/>
      <c r="AM613" s="6"/>
      <c r="AN613" s="6"/>
      <c r="AO613" s="6"/>
      <c r="AP613" s="6"/>
      <c r="AQ613" s="6"/>
      <c r="AR613" s="6"/>
      <c r="AS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11"/>
      <c r="X614" s="11"/>
      <c r="Y614" s="11"/>
      <c r="Z614" s="11"/>
      <c r="AA614" s="11"/>
      <c r="AB614" s="11"/>
      <c r="AC614" s="11"/>
      <c r="AD614" s="11"/>
      <c r="AE614" s="11"/>
      <c r="AF614" s="11"/>
      <c r="AG614" s="6"/>
      <c r="AH614" s="6"/>
      <c r="AI614" s="6"/>
      <c r="AJ614" s="6"/>
      <c r="AK614" s="6"/>
      <c r="AL614" s="6"/>
      <c r="AM614" s="6"/>
      <c r="AN614" s="6"/>
      <c r="AO614" s="6"/>
      <c r="AP614" s="6"/>
      <c r="AQ614" s="6"/>
      <c r="AR614" s="6"/>
      <c r="AS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11"/>
      <c r="X615" s="11"/>
      <c r="Y615" s="11"/>
      <c r="Z615" s="11"/>
      <c r="AA615" s="11"/>
      <c r="AB615" s="11"/>
      <c r="AC615" s="11"/>
      <c r="AD615" s="11"/>
      <c r="AE615" s="11"/>
      <c r="AF615" s="11"/>
      <c r="AG615" s="6"/>
      <c r="AH615" s="6"/>
      <c r="AI615" s="6"/>
      <c r="AJ615" s="6"/>
      <c r="AK615" s="6"/>
      <c r="AL615" s="6"/>
      <c r="AM615" s="6"/>
      <c r="AN615" s="6"/>
      <c r="AO615" s="6"/>
      <c r="AP615" s="6"/>
      <c r="AQ615" s="6"/>
      <c r="AR615" s="6"/>
      <c r="AS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11"/>
      <c r="X616" s="11"/>
      <c r="Y616" s="11"/>
      <c r="Z616" s="11"/>
      <c r="AA616" s="11"/>
      <c r="AB616" s="11"/>
      <c r="AC616" s="11"/>
      <c r="AD616" s="11"/>
      <c r="AE616" s="11"/>
      <c r="AF616" s="11"/>
      <c r="AG616" s="6"/>
      <c r="AH616" s="6"/>
      <c r="AI616" s="6"/>
      <c r="AJ616" s="6"/>
      <c r="AK616" s="6"/>
      <c r="AL616" s="6"/>
      <c r="AM616" s="6"/>
      <c r="AN616" s="6"/>
      <c r="AO616" s="6"/>
      <c r="AP616" s="6"/>
      <c r="AQ616" s="6"/>
      <c r="AR616" s="6"/>
      <c r="AS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11"/>
      <c r="X617" s="11"/>
      <c r="Y617" s="11"/>
      <c r="Z617" s="11"/>
      <c r="AA617" s="11"/>
      <c r="AB617" s="11"/>
      <c r="AC617" s="11"/>
      <c r="AD617" s="11"/>
      <c r="AE617" s="11"/>
      <c r="AF617" s="11"/>
      <c r="AG617" s="6"/>
      <c r="AH617" s="6"/>
      <c r="AI617" s="6"/>
      <c r="AJ617" s="6"/>
      <c r="AK617" s="6"/>
      <c r="AL617" s="6"/>
      <c r="AM617" s="6"/>
      <c r="AN617" s="6"/>
      <c r="AO617" s="6"/>
      <c r="AP617" s="6"/>
      <c r="AQ617" s="6"/>
      <c r="AR617" s="6"/>
      <c r="AS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11"/>
      <c r="X618" s="11"/>
      <c r="Y618" s="11"/>
      <c r="Z618" s="11"/>
      <c r="AA618" s="11"/>
      <c r="AB618" s="11"/>
      <c r="AC618" s="11"/>
      <c r="AD618" s="11"/>
      <c r="AE618" s="11"/>
      <c r="AF618" s="11"/>
      <c r="AG618" s="6"/>
      <c r="AH618" s="6"/>
      <c r="AI618" s="6"/>
      <c r="AJ618" s="6"/>
      <c r="AK618" s="6"/>
      <c r="AL618" s="6"/>
      <c r="AM618" s="6"/>
      <c r="AN618" s="6"/>
      <c r="AO618" s="6"/>
      <c r="AP618" s="6"/>
      <c r="AQ618" s="6"/>
      <c r="AR618" s="6"/>
      <c r="AS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11"/>
      <c r="X619" s="11"/>
      <c r="Y619" s="11"/>
      <c r="Z619" s="11"/>
      <c r="AA619" s="11"/>
      <c r="AB619" s="11"/>
      <c r="AC619" s="11"/>
      <c r="AD619" s="11"/>
      <c r="AE619" s="11"/>
      <c r="AF619" s="11"/>
      <c r="AG619" s="6"/>
      <c r="AH619" s="6"/>
      <c r="AI619" s="6"/>
      <c r="AJ619" s="6"/>
      <c r="AK619" s="6"/>
      <c r="AL619" s="6"/>
      <c r="AM619" s="6"/>
      <c r="AN619" s="6"/>
      <c r="AO619" s="6"/>
      <c r="AP619" s="6"/>
      <c r="AQ619" s="6"/>
      <c r="AR619" s="6"/>
      <c r="AS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11"/>
      <c r="X620" s="11"/>
      <c r="Y620" s="11"/>
      <c r="Z620" s="11"/>
      <c r="AA620" s="11"/>
      <c r="AB620" s="11"/>
      <c r="AC620" s="11"/>
      <c r="AD620" s="11"/>
      <c r="AE620" s="11"/>
      <c r="AF620" s="11"/>
      <c r="AG620" s="6"/>
      <c r="AH620" s="6"/>
      <c r="AI620" s="6"/>
      <c r="AJ620" s="6"/>
      <c r="AK620" s="6"/>
      <c r="AL620" s="6"/>
      <c r="AM620" s="6"/>
      <c r="AN620" s="6"/>
      <c r="AO620" s="6"/>
      <c r="AP620" s="6"/>
      <c r="AQ620" s="6"/>
      <c r="AR620" s="6"/>
      <c r="AS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11"/>
      <c r="X621" s="11"/>
      <c r="Y621" s="11"/>
      <c r="Z621" s="11"/>
      <c r="AA621" s="11"/>
      <c r="AB621" s="11"/>
      <c r="AC621" s="11"/>
      <c r="AD621" s="11"/>
      <c r="AE621" s="11"/>
      <c r="AF621" s="11"/>
      <c r="AG621" s="6"/>
      <c r="AH621" s="6"/>
      <c r="AI621" s="6"/>
      <c r="AJ621" s="6"/>
      <c r="AK621" s="6"/>
      <c r="AL621" s="6"/>
      <c r="AM621" s="6"/>
      <c r="AN621" s="6"/>
      <c r="AO621" s="6"/>
      <c r="AP621" s="6"/>
      <c r="AQ621" s="6"/>
      <c r="AR621" s="6"/>
      <c r="AS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11"/>
      <c r="X622" s="11"/>
      <c r="Y622" s="11"/>
      <c r="Z622" s="11"/>
      <c r="AA622" s="11"/>
      <c r="AB622" s="11"/>
      <c r="AC622" s="11"/>
      <c r="AD622" s="11"/>
      <c r="AE622" s="11"/>
      <c r="AF622" s="11"/>
      <c r="AG622" s="6"/>
      <c r="AH622" s="6"/>
      <c r="AI622" s="6"/>
      <c r="AJ622" s="6"/>
      <c r="AK622" s="6"/>
      <c r="AL622" s="6"/>
      <c r="AM622" s="6"/>
      <c r="AN622" s="6"/>
      <c r="AO622" s="6"/>
      <c r="AP622" s="6"/>
      <c r="AQ622" s="6"/>
      <c r="AR622" s="6"/>
      <c r="AS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11"/>
      <c r="X623" s="11"/>
      <c r="Y623" s="11"/>
      <c r="Z623" s="11"/>
      <c r="AA623" s="11"/>
      <c r="AB623" s="11"/>
      <c r="AC623" s="11"/>
      <c r="AD623" s="11"/>
      <c r="AE623" s="11"/>
      <c r="AF623" s="11"/>
      <c r="AG623" s="6"/>
      <c r="AH623" s="6"/>
      <c r="AI623" s="6"/>
      <c r="AJ623" s="6"/>
      <c r="AK623" s="6"/>
      <c r="AL623" s="6"/>
      <c r="AM623" s="6"/>
      <c r="AN623" s="6"/>
      <c r="AO623" s="6"/>
      <c r="AP623" s="6"/>
      <c r="AQ623" s="6"/>
      <c r="AR623" s="6"/>
      <c r="AS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11"/>
      <c r="X624" s="11"/>
      <c r="Y624" s="11"/>
      <c r="Z624" s="11"/>
      <c r="AA624" s="11"/>
      <c r="AB624" s="11"/>
      <c r="AC624" s="11"/>
      <c r="AD624" s="11"/>
      <c r="AE624" s="11"/>
      <c r="AF624" s="11"/>
      <c r="AG624" s="6"/>
      <c r="AH624" s="6"/>
      <c r="AI624" s="6"/>
      <c r="AJ624" s="6"/>
      <c r="AK624" s="6"/>
      <c r="AL624" s="6"/>
      <c r="AM624" s="6"/>
      <c r="AN624" s="6"/>
      <c r="AO624" s="6"/>
      <c r="AP624" s="6"/>
      <c r="AQ624" s="6"/>
      <c r="AR624" s="6"/>
      <c r="AS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11"/>
      <c r="X625" s="11"/>
      <c r="Y625" s="11"/>
      <c r="Z625" s="11"/>
      <c r="AA625" s="11"/>
      <c r="AB625" s="11"/>
      <c r="AC625" s="11"/>
      <c r="AD625" s="11"/>
      <c r="AE625" s="11"/>
      <c r="AF625" s="11"/>
      <c r="AG625" s="6"/>
      <c r="AH625" s="6"/>
      <c r="AI625" s="6"/>
      <c r="AJ625" s="6"/>
      <c r="AK625" s="6"/>
      <c r="AL625" s="6"/>
      <c r="AM625" s="6"/>
      <c r="AN625" s="6"/>
      <c r="AO625" s="6"/>
      <c r="AP625" s="6"/>
      <c r="AQ625" s="6"/>
      <c r="AR625" s="6"/>
      <c r="AS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11"/>
      <c r="X626" s="11"/>
      <c r="Y626" s="11"/>
      <c r="Z626" s="11"/>
      <c r="AA626" s="11"/>
      <c r="AB626" s="11"/>
      <c r="AC626" s="11"/>
      <c r="AD626" s="11"/>
      <c r="AE626" s="11"/>
      <c r="AF626" s="11"/>
      <c r="AG626" s="6"/>
      <c r="AH626" s="6"/>
      <c r="AI626" s="6"/>
      <c r="AJ626" s="6"/>
      <c r="AK626" s="6"/>
      <c r="AL626" s="6"/>
      <c r="AM626" s="6"/>
      <c r="AN626" s="6"/>
      <c r="AO626" s="6"/>
      <c r="AP626" s="6"/>
      <c r="AQ626" s="6"/>
      <c r="AR626" s="6"/>
      <c r="AS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11"/>
      <c r="X627" s="11"/>
      <c r="Y627" s="11"/>
      <c r="Z627" s="11"/>
      <c r="AA627" s="11"/>
      <c r="AB627" s="11"/>
      <c r="AC627" s="11"/>
      <c r="AD627" s="11"/>
      <c r="AE627" s="11"/>
      <c r="AF627" s="11"/>
      <c r="AG627" s="6"/>
      <c r="AH627" s="6"/>
      <c r="AI627" s="6"/>
      <c r="AJ627" s="6"/>
      <c r="AK627" s="6"/>
      <c r="AL627" s="6"/>
      <c r="AM627" s="6"/>
      <c r="AN627" s="6"/>
      <c r="AO627" s="6"/>
      <c r="AP627" s="6"/>
      <c r="AQ627" s="6"/>
      <c r="AR627" s="6"/>
      <c r="AS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11"/>
      <c r="X628" s="11"/>
      <c r="Y628" s="11"/>
      <c r="Z628" s="11"/>
      <c r="AA628" s="11"/>
      <c r="AB628" s="11"/>
      <c r="AC628" s="11"/>
      <c r="AD628" s="11"/>
      <c r="AE628" s="11"/>
      <c r="AF628" s="11"/>
      <c r="AG628" s="6"/>
      <c r="AH628" s="6"/>
      <c r="AI628" s="6"/>
      <c r="AJ628" s="6"/>
      <c r="AK628" s="6"/>
      <c r="AL628" s="6"/>
      <c r="AM628" s="6"/>
      <c r="AN628" s="6"/>
      <c r="AO628" s="6"/>
      <c r="AP628" s="6"/>
      <c r="AQ628" s="6"/>
      <c r="AR628" s="6"/>
      <c r="AS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11"/>
      <c r="X629" s="11"/>
      <c r="Y629" s="11"/>
      <c r="Z629" s="11"/>
      <c r="AA629" s="11"/>
      <c r="AB629" s="11"/>
      <c r="AC629" s="11"/>
      <c r="AD629" s="11"/>
      <c r="AE629" s="11"/>
      <c r="AF629" s="11"/>
      <c r="AG629" s="6"/>
      <c r="AH629" s="6"/>
      <c r="AI629" s="6"/>
      <c r="AJ629" s="6"/>
      <c r="AK629" s="6"/>
      <c r="AL629" s="6"/>
      <c r="AM629" s="6"/>
      <c r="AN629" s="6"/>
      <c r="AO629" s="6"/>
      <c r="AP629" s="6"/>
      <c r="AQ629" s="6"/>
      <c r="AR629" s="6"/>
      <c r="AS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11"/>
      <c r="X630" s="11"/>
      <c r="Y630" s="11"/>
      <c r="Z630" s="11"/>
      <c r="AA630" s="11"/>
      <c r="AB630" s="11"/>
      <c r="AC630" s="11"/>
      <c r="AD630" s="11"/>
      <c r="AE630" s="11"/>
      <c r="AF630" s="11"/>
      <c r="AG630" s="6"/>
      <c r="AH630" s="6"/>
      <c r="AI630" s="6"/>
      <c r="AJ630" s="6"/>
      <c r="AK630" s="6"/>
      <c r="AL630" s="6"/>
      <c r="AM630" s="6"/>
      <c r="AN630" s="6"/>
      <c r="AO630" s="6"/>
      <c r="AP630" s="6"/>
      <c r="AQ630" s="6"/>
      <c r="AR630" s="6"/>
      <c r="AS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11"/>
      <c r="X631" s="11"/>
      <c r="Y631" s="11"/>
      <c r="Z631" s="11"/>
      <c r="AA631" s="11"/>
      <c r="AB631" s="11"/>
      <c r="AC631" s="11"/>
      <c r="AD631" s="11"/>
      <c r="AE631" s="11"/>
      <c r="AF631" s="11"/>
      <c r="AG631" s="6"/>
      <c r="AH631" s="6"/>
      <c r="AI631" s="6"/>
      <c r="AJ631" s="6"/>
      <c r="AK631" s="6"/>
      <c r="AL631" s="6"/>
      <c r="AM631" s="6"/>
      <c r="AN631" s="6"/>
      <c r="AO631" s="6"/>
      <c r="AP631" s="6"/>
      <c r="AQ631" s="6"/>
      <c r="AR631" s="6"/>
      <c r="AS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11"/>
      <c r="X632" s="11"/>
      <c r="Y632" s="11"/>
      <c r="Z632" s="11"/>
      <c r="AA632" s="11"/>
      <c r="AB632" s="11"/>
      <c r="AC632" s="11"/>
      <c r="AD632" s="11"/>
      <c r="AE632" s="11"/>
      <c r="AF632" s="11"/>
      <c r="AG632" s="6"/>
      <c r="AH632" s="6"/>
      <c r="AI632" s="6"/>
      <c r="AJ632" s="6"/>
      <c r="AK632" s="6"/>
      <c r="AL632" s="6"/>
      <c r="AM632" s="6"/>
      <c r="AN632" s="6"/>
      <c r="AO632" s="6"/>
      <c r="AP632" s="6"/>
      <c r="AQ632" s="6"/>
      <c r="AR632" s="6"/>
      <c r="AS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11"/>
      <c r="X633" s="11"/>
      <c r="Y633" s="11"/>
      <c r="Z633" s="11"/>
      <c r="AA633" s="11"/>
      <c r="AB633" s="11"/>
      <c r="AC633" s="11"/>
      <c r="AD633" s="11"/>
      <c r="AE633" s="11"/>
      <c r="AF633" s="11"/>
      <c r="AG633" s="6"/>
      <c r="AH633" s="6"/>
      <c r="AI633" s="6"/>
      <c r="AJ633" s="6"/>
      <c r="AK633" s="6"/>
      <c r="AL633" s="6"/>
      <c r="AM633" s="6"/>
      <c r="AN633" s="6"/>
      <c r="AO633" s="6"/>
      <c r="AP633" s="6"/>
      <c r="AQ633" s="6"/>
      <c r="AR633" s="6"/>
      <c r="AS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11"/>
      <c r="X634" s="11"/>
      <c r="Y634" s="11"/>
      <c r="Z634" s="11"/>
      <c r="AA634" s="11"/>
      <c r="AB634" s="11"/>
      <c r="AC634" s="11"/>
      <c r="AD634" s="11"/>
      <c r="AE634" s="11"/>
      <c r="AF634" s="11"/>
      <c r="AG634" s="6"/>
      <c r="AH634" s="6"/>
      <c r="AI634" s="6"/>
      <c r="AJ634" s="6"/>
      <c r="AK634" s="6"/>
      <c r="AL634" s="6"/>
      <c r="AM634" s="6"/>
      <c r="AN634" s="6"/>
      <c r="AO634" s="6"/>
      <c r="AP634" s="6"/>
      <c r="AQ634" s="6"/>
      <c r="AR634" s="6"/>
      <c r="AS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11"/>
      <c r="X635" s="11"/>
      <c r="Y635" s="11"/>
      <c r="Z635" s="11"/>
      <c r="AA635" s="11"/>
      <c r="AB635" s="11"/>
      <c r="AC635" s="11"/>
      <c r="AD635" s="11"/>
      <c r="AE635" s="11"/>
      <c r="AF635" s="11"/>
      <c r="AG635" s="6"/>
      <c r="AH635" s="6"/>
      <c r="AI635" s="6"/>
      <c r="AJ635" s="6"/>
      <c r="AK635" s="6"/>
      <c r="AL635" s="6"/>
      <c r="AM635" s="6"/>
      <c r="AN635" s="6"/>
      <c r="AO635" s="6"/>
      <c r="AP635" s="6"/>
      <c r="AQ635" s="6"/>
      <c r="AR635" s="6"/>
      <c r="AS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11"/>
      <c r="X636" s="11"/>
      <c r="Y636" s="11"/>
      <c r="Z636" s="11"/>
      <c r="AA636" s="11"/>
      <c r="AB636" s="11"/>
      <c r="AC636" s="11"/>
      <c r="AD636" s="11"/>
      <c r="AE636" s="11"/>
      <c r="AF636" s="11"/>
      <c r="AG636" s="6"/>
      <c r="AH636" s="6"/>
      <c r="AI636" s="6"/>
      <c r="AJ636" s="6"/>
      <c r="AK636" s="6"/>
      <c r="AL636" s="6"/>
      <c r="AM636" s="6"/>
      <c r="AN636" s="6"/>
      <c r="AO636" s="6"/>
      <c r="AP636" s="6"/>
      <c r="AQ636" s="6"/>
      <c r="AR636" s="6"/>
      <c r="AS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11"/>
      <c r="X637" s="11"/>
      <c r="Y637" s="11"/>
      <c r="Z637" s="11"/>
      <c r="AA637" s="11"/>
      <c r="AB637" s="11"/>
      <c r="AC637" s="11"/>
      <c r="AD637" s="11"/>
      <c r="AE637" s="11"/>
      <c r="AF637" s="11"/>
      <c r="AG637" s="6"/>
      <c r="AH637" s="6"/>
      <c r="AI637" s="6"/>
      <c r="AJ637" s="6"/>
      <c r="AK637" s="6"/>
      <c r="AL637" s="6"/>
      <c r="AM637" s="6"/>
      <c r="AN637" s="6"/>
      <c r="AO637" s="6"/>
      <c r="AP637" s="6"/>
      <c r="AQ637" s="6"/>
      <c r="AR637" s="6"/>
      <c r="AS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11"/>
      <c r="X638" s="11"/>
      <c r="Y638" s="11"/>
      <c r="Z638" s="11"/>
      <c r="AA638" s="11"/>
      <c r="AB638" s="11"/>
      <c r="AC638" s="11"/>
      <c r="AD638" s="11"/>
      <c r="AE638" s="11"/>
      <c r="AF638" s="11"/>
      <c r="AG638" s="6"/>
      <c r="AH638" s="6"/>
      <c r="AI638" s="6"/>
      <c r="AJ638" s="6"/>
      <c r="AK638" s="6"/>
      <c r="AL638" s="6"/>
      <c r="AM638" s="6"/>
      <c r="AN638" s="6"/>
      <c r="AO638" s="6"/>
      <c r="AP638" s="6"/>
      <c r="AQ638" s="6"/>
      <c r="AR638" s="6"/>
      <c r="AS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11"/>
      <c r="X639" s="11"/>
      <c r="Y639" s="11"/>
      <c r="Z639" s="11"/>
      <c r="AA639" s="11"/>
      <c r="AB639" s="11"/>
      <c r="AC639" s="11"/>
      <c r="AD639" s="11"/>
      <c r="AE639" s="11"/>
      <c r="AF639" s="11"/>
      <c r="AG639" s="6"/>
      <c r="AH639" s="6"/>
      <c r="AI639" s="6"/>
      <c r="AJ639" s="6"/>
      <c r="AK639" s="6"/>
      <c r="AL639" s="6"/>
      <c r="AM639" s="6"/>
      <c r="AN639" s="6"/>
      <c r="AO639" s="6"/>
      <c r="AP639" s="6"/>
      <c r="AQ639" s="6"/>
      <c r="AR639" s="6"/>
      <c r="AS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11"/>
      <c r="X640" s="11"/>
      <c r="Y640" s="11"/>
      <c r="Z640" s="11"/>
      <c r="AA640" s="11"/>
      <c r="AB640" s="11"/>
      <c r="AC640" s="11"/>
      <c r="AD640" s="11"/>
      <c r="AE640" s="11"/>
      <c r="AF640" s="11"/>
      <c r="AG640" s="6"/>
      <c r="AH640" s="6"/>
      <c r="AI640" s="6"/>
      <c r="AJ640" s="6"/>
      <c r="AK640" s="6"/>
      <c r="AL640" s="6"/>
      <c r="AM640" s="6"/>
      <c r="AN640" s="6"/>
      <c r="AO640" s="6"/>
      <c r="AP640" s="6"/>
      <c r="AQ640" s="6"/>
      <c r="AR640" s="6"/>
      <c r="AS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11"/>
      <c r="X641" s="11"/>
      <c r="Y641" s="11"/>
      <c r="Z641" s="11"/>
      <c r="AA641" s="11"/>
      <c r="AB641" s="11"/>
      <c r="AC641" s="11"/>
      <c r="AD641" s="11"/>
      <c r="AE641" s="11"/>
      <c r="AF641" s="11"/>
      <c r="AG641" s="6"/>
      <c r="AH641" s="6"/>
      <c r="AI641" s="6"/>
      <c r="AJ641" s="6"/>
      <c r="AK641" s="6"/>
      <c r="AL641" s="6"/>
      <c r="AM641" s="6"/>
      <c r="AN641" s="6"/>
      <c r="AO641" s="6"/>
      <c r="AP641" s="6"/>
      <c r="AQ641" s="6"/>
      <c r="AR641" s="6"/>
      <c r="AS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11"/>
      <c r="X642" s="11"/>
      <c r="Y642" s="11"/>
      <c r="Z642" s="11"/>
      <c r="AA642" s="11"/>
      <c r="AB642" s="11"/>
      <c r="AC642" s="11"/>
      <c r="AD642" s="11"/>
      <c r="AE642" s="11"/>
      <c r="AF642" s="11"/>
      <c r="AG642" s="6"/>
      <c r="AH642" s="6"/>
      <c r="AI642" s="6"/>
      <c r="AJ642" s="6"/>
      <c r="AK642" s="6"/>
      <c r="AL642" s="6"/>
      <c r="AM642" s="6"/>
      <c r="AN642" s="6"/>
      <c r="AO642" s="6"/>
      <c r="AP642" s="6"/>
      <c r="AQ642" s="6"/>
      <c r="AR642" s="6"/>
      <c r="AS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11"/>
      <c r="X643" s="11"/>
      <c r="Y643" s="11"/>
      <c r="Z643" s="11"/>
      <c r="AA643" s="11"/>
      <c r="AB643" s="11"/>
      <c r="AC643" s="11"/>
      <c r="AD643" s="11"/>
      <c r="AE643" s="11"/>
      <c r="AF643" s="11"/>
      <c r="AG643" s="6"/>
      <c r="AH643" s="6"/>
      <c r="AI643" s="6"/>
      <c r="AJ643" s="6"/>
      <c r="AK643" s="6"/>
      <c r="AL643" s="6"/>
      <c r="AM643" s="6"/>
      <c r="AN643" s="6"/>
      <c r="AO643" s="6"/>
      <c r="AP643" s="6"/>
      <c r="AQ643" s="6"/>
      <c r="AR643" s="6"/>
      <c r="AS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11"/>
      <c r="X644" s="11"/>
      <c r="Y644" s="11"/>
      <c r="Z644" s="11"/>
      <c r="AA644" s="11"/>
      <c r="AB644" s="11"/>
      <c r="AC644" s="11"/>
      <c r="AD644" s="11"/>
      <c r="AE644" s="11"/>
      <c r="AF644" s="11"/>
      <c r="AG644" s="6"/>
      <c r="AH644" s="6"/>
      <c r="AI644" s="6"/>
      <c r="AJ644" s="6"/>
      <c r="AK644" s="6"/>
      <c r="AL644" s="6"/>
      <c r="AM644" s="6"/>
      <c r="AN644" s="6"/>
      <c r="AO644" s="6"/>
      <c r="AP644" s="6"/>
      <c r="AQ644" s="6"/>
      <c r="AR644" s="6"/>
      <c r="AS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11"/>
      <c r="X645" s="11"/>
      <c r="Y645" s="11"/>
      <c r="Z645" s="11"/>
      <c r="AA645" s="11"/>
      <c r="AB645" s="11"/>
      <c r="AC645" s="11"/>
      <c r="AD645" s="11"/>
      <c r="AE645" s="11"/>
      <c r="AF645" s="11"/>
      <c r="AG645" s="6"/>
      <c r="AH645" s="6"/>
      <c r="AI645" s="6"/>
      <c r="AJ645" s="6"/>
      <c r="AK645" s="6"/>
      <c r="AL645" s="6"/>
      <c r="AM645" s="6"/>
      <c r="AN645" s="6"/>
      <c r="AO645" s="6"/>
      <c r="AP645" s="6"/>
      <c r="AQ645" s="6"/>
      <c r="AR645" s="6"/>
      <c r="AS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11"/>
      <c r="X646" s="11"/>
      <c r="Y646" s="11"/>
      <c r="Z646" s="11"/>
      <c r="AA646" s="11"/>
      <c r="AB646" s="11"/>
      <c r="AC646" s="11"/>
      <c r="AD646" s="11"/>
      <c r="AE646" s="11"/>
      <c r="AF646" s="11"/>
      <c r="AG646" s="6"/>
      <c r="AH646" s="6"/>
      <c r="AI646" s="6"/>
      <c r="AJ646" s="6"/>
      <c r="AK646" s="6"/>
      <c r="AL646" s="6"/>
      <c r="AM646" s="6"/>
      <c r="AN646" s="6"/>
      <c r="AO646" s="6"/>
      <c r="AP646" s="6"/>
      <c r="AQ646" s="6"/>
      <c r="AR646" s="6"/>
      <c r="AS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11"/>
      <c r="X647" s="11"/>
      <c r="Y647" s="11"/>
      <c r="Z647" s="11"/>
      <c r="AA647" s="11"/>
      <c r="AB647" s="11"/>
      <c r="AC647" s="11"/>
      <c r="AD647" s="11"/>
      <c r="AE647" s="11"/>
      <c r="AF647" s="11"/>
      <c r="AG647" s="6"/>
      <c r="AH647" s="6"/>
      <c r="AI647" s="6"/>
      <c r="AJ647" s="6"/>
      <c r="AK647" s="6"/>
      <c r="AL647" s="6"/>
      <c r="AM647" s="6"/>
      <c r="AN647" s="6"/>
      <c r="AO647" s="6"/>
      <c r="AP647" s="6"/>
      <c r="AQ647" s="6"/>
      <c r="AR647" s="6"/>
      <c r="AS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11"/>
      <c r="X648" s="11"/>
      <c r="Y648" s="11"/>
      <c r="Z648" s="11"/>
      <c r="AA648" s="11"/>
      <c r="AB648" s="11"/>
      <c r="AC648" s="11"/>
      <c r="AD648" s="11"/>
      <c r="AE648" s="11"/>
      <c r="AF648" s="11"/>
      <c r="AG648" s="6"/>
      <c r="AH648" s="6"/>
      <c r="AI648" s="6"/>
      <c r="AJ648" s="6"/>
      <c r="AK648" s="6"/>
      <c r="AL648" s="6"/>
      <c r="AM648" s="6"/>
      <c r="AN648" s="6"/>
      <c r="AO648" s="6"/>
      <c r="AP648" s="6"/>
      <c r="AQ648" s="6"/>
      <c r="AR648" s="6"/>
      <c r="AS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11"/>
      <c r="X649" s="11"/>
      <c r="Y649" s="11"/>
      <c r="Z649" s="11"/>
      <c r="AA649" s="11"/>
      <c r="AB649" s="11"/>
      <c r="AC649" s="11"/>
      <c r="AD649" s="11"/>
      <c r="AE649" s="11"/>
      <c r="AF649" s="11"/>
      <c r="AG649" s="6"/>
      <c r="AH649" s="6"/>
      <c r="AI649" s="6"/>
      <c r="AJ649" s="6"/>
      <c r="AK649" s="6"/>
      <c r="AL649" s="6"/>
      <c r="AM649" s="6"/>
      <c r="AN649" s="6"/>
      <c r="AO649" s="6"/>
      <c r="AP649" s="6"/>
      <c r="AQ649" s="6"/>
      <c r="AR649" s="6"/>
      <c r="AS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11"/>
      <c r="X650" s="11"/>
      <c r="Y650" s="11"/>
      <c r="Z650" s="11"/>
      <c r="AA650" s="11"/>
      <c r="AB650" s="11"/>
      <c r="AC650" s="11"/>
      <c r="AD650" s="11"/>
      <c r="AE650" s="11"/>
      <c r="AF650" s="11"/>
      <c r="AG650" s="6"/>
      <c r="AH650" s="6"/>
      <c r="AI650" s="6"/>
      <c r="AJ650" s="6"/>
      <c r="AK650" s="6"/>
      <c r="AL650" s="6"/>
      <c r="AM650" s="6"/>
      <c r="AN650" s="6"/>
      <c r="AO650" s="6"/>
      <c r="AP650" s="6"/>
      <c r="AQ650" s="6"/>
      <c r="AR650" s="6"/>
      <c r="AS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11"/>
      <c r="X651" s="11"/>
      <c r="Y651" s="11"/>
      <c r="Z651" s="11"/>
      <c r="AA651" s="11"/>
      <c r="AB651" s="11"/>
      <c r="AC651" s="11"/>
      <c r="AD651" s="11"/>
      <c r="AE651" s="11"/>
      <c r="AF651" s="11"/>
      <c r="AG651" s="6"/>
      <c r="AH651" s="6"/>
      <c r="AI651" s="6"/>
      <c r="AJ651" s="6"/>
      <c r="AK651" s="6"/>
      <c r="AL651" s="6"/>
      <c r="AM651" s="6"/>
      <c r="AN651" s="6"/>
      <c r="AO651" s="6"/>
      <c r="AP651" s="6"/>
      <c r="AQ651" s="6"/>
      <c r="AR651" s="6"/>
      <c r="AS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11"/>
      <c r="X652" s="11"/>
      <c r="Y652" s="11"/>
      <c r="Z652" s="11"/>
      <c r="AA652" s="11"/>
      <c r="AB652" s="11"/>
      <c r="AC652" s="11"/>
      <c r="AD652" s="11"/>
      <c r="AE652" s="11"/>
      <c r="AF652" s="11"/>
      <c r="AG652" s="6"/>
      <c r="AH652" s="6"/>
      <c r="AI652" s="6"/>
      <c r="AJ652" s="6"/>
      <c r="AK652" s="6"/>
      <c r="AL652" s="6"/>
      <c r="AM652" s="6"/>
      <c r="AN652" s="6"/>
      <c r="AO652" s="6"/>
      <c r="AP652" s="6"/>
      <c r="AQ652" s="6"/>
      <c r="AR652" s="6"/>
      <c r="AS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11"/>
      <c r="X653" s="11"/>
      <c r="Y653" s="11"/>
      <c r="Z653" s="11"/>
      <c r="AA653" s="11"/>
      <c r="AB653" s="11"/>
      <c r="AC653" s="11"/>
      <c r="AD653" s="11"/>
      <c r="AE653" s="11"/>
      <c r="AF653" s="11"/>
      <c r="AG653" s="6"/>
      <c r="AH653" s="6"/>
      <c r="AI653" s="6"/>
      <c r="AJ653" s="6"/>
      <c r="AK653" s="6"/>
      <c r="AL653" s="6"/>
      <c r="AM653" s="6"/>
      <c r="AN653" s="6"/>
      <c r="AO653" s="6"/>
      <c r="AP653" s="6"/>
      <c r="AQ653" s="6"/>
      <c r="AR653" s="6"/>
      <c r="AS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11"/>
      <c r="X654" s="11"/>
      <c r="Y654" s="11"/>
      <c r="Z654" s="11"/>
      <c r="AA654" s="11"/>
      <c r="AB654" s="11"/>
      <c r="AC654" s="11"/>
      <c r="AD654" s="11"/>
      <c r="AE654" s="11"/>
      <c r="AF654" s="11"/>
      <c r="AG654" s="6"/>
      <c r="AH654" s="6"/>
      <c r="AI654" s="6"/>
      <c r="AJ654" s="6"/>
      <c r="AK654" s="6"/>
      <c r="AL654" s="6"/>
      <c r="AM654" s="6"/>
      <c r="AN654" s="6"/>
      <c r="AO654" s="6"/>
      <c r="AP654" s="6"/>
      <c r="AQ654" s="6"/>
      <c r="AR654" s="6"/>
      <c r="AS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11"/>
      <c r="X655" s="11"/>
      <c r="Y655" s="11"/>
      <c r="Z655" s="11"/>
      <c r="AA655" s="11"/>
      <c r="AB655" s="11"/>
      <c r="AC655" s="11"/>
      <c r="AD655" s="11"/>
      <c r="AE655" s="11"/>
      <c r="AF655" s="11"/>
      <c r="AG655" s="6"/>
      <c r="AH655" s="6"/>
      <c r="AI655" s="6"/>
      <c r="AJ655" s="6"/>
      <c r="AK655" s="6"/>
      <c r="AL655" s="6"/>
      <c r="AM655" s="6"/>
      <c r="AN655" s="6"/>
      <c r="AO655" s="6"/>
      <c r="AP655" s="6"/>
      <c r="AQ655" s="6"/>
      <c r="AR655" s="6"/>
      <c r="AS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11"/>
      <c r="X656" s="11"/>
      <c r="Y656" s="11"/>
      <c r="Z656" s="11"/>
      <c r="AA656" s="11"/>
      <c r="AB656" s="11"/>
      <c r="AC656" s="11"/>
      <c r="AD656" s="11"/>
      <c r="AE656" s="11"/>
      <c r="AF656" s="11"/>
      <c r="AG656" s="6"/>
      <c r="AH656" s="6"/>
      <c r="AI656" s="6"/>
      <c r="AJ656" s="6"/>
      <c r="AK656" s="6"/>
      <c r="AL656" s="6"/>
      <c r="AM656" s="6"/>
      <c r="AN656" s="6"/>
      <c r="AO656" s="6"/>
      <c r="AP656" s="6"/>
      <c r="AQ656" s="6"/>
      <c r="AR656" s="6"/>
      <c r="AS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11"/>
      <c r="X657" s="11"/>
      <c r="Y657" s="11"/>
      <c r="Z657" s="11"/>
      <c r="AA657" s="11"/>
      <c r="AB657" s="11"/>
      <c r="AC657" s="11"/>
      <c r="AD657" s="11"/>
      <c r="AE657" s="11"/>
      <c r="AF657" s="11"/>
      <c r="AG657" s="6"/>
      <c r="AH657" s="6"/>
      <c r="AI657" s="6"/>
      <c r="AJ657" s="6"/>
      <c r="AK657" s="6"/>
      <c r="AL657" s="6"/>
      <c r="AM657" s="6"/>
      <c r="AN657" s="6"/>
      <c r="AO657" s="6"/>
      <c r="AP657" s="6"/>
      <c r="AQ657" s="6"/>
      <c r="AR657" s="6"/>
      <c r="AS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11"/>
      <c r="X658" s="11"/>
      <c r="Y658" s="11"/>
      <c r="Z658" s="11"/>
      <c r="AA658" s="11"/>
      <c r="AB658" s="11"/>
      <c r="AC658" s="11"/>
      <c r="AD658" s="11"/>
      <c r="AE658" s="11"/>
      <c r="AF658" s="11"/>
      <c r="AG658" s="6"/>
      <c r="AH658" s="6"/>
      <c r="AI658" s="6"/>
      <c r="AJ658" s="6"/>
      <c r="AK658" s="6"/>
      <c r="AL658" s="6"/>
      <c r="AM658" s="6"/>
      <c r="AN658" s="6"/>
      <c r="AO658" s="6"/>
      <c r="AP658" s="6"/>
      <c r="AQ658" s="6"/>
      <c r="AR658" s="6"/>
      <c r="AS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11"/>
      <c r="X659" s="11"/>
      <c r="Y659" s="11"/>
      <c r="Z659" s="11"/>
      <c r="AA659" s="11"/>
      <c r="AB659" s="11"/>
      <c r="AC659" s="11"/>
      <c r="AD659" s="11"/>
      <c r="AE659" s="11"/>
      <c r="AF659" s="11"/>
      <c r="AG659" s="6"/>
      <c r="AH659" s="6"/>
      <c r="AI659" s="6"/>
      <c r="AJ659" s="6"/>
      <c r="AK659" s="6"/>
      <c r="AL659" s="6"/>
      <c r="AM659" s="6"/>
      <c r="AN659" s="6"/>
      <c r="AO659" s="6"/>
      <c r="AP659" s="6"/>
      <c r="AQ659" s="6"/>
      <c r="AR659" s="6"/>
      <c r="AS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11"/>
      <c r="X660" s="11"/>
      <c r="Y660" s="11"/>
      <c r="Z660" s="11"/>
      <c r="AA660" s="11"/>
      <c r="AB660" s="11"/>
      <c r="AC660" s="11"/>
      <c r="AD660" s="11"/>
      <c r="AE660" s="11"/>
      <c r="AF660" s="11"/>
      <c r="AG660" s="6"/>
      <c r="AH660" s="6"/>
      <c r="AI660" s="6"/>
      <c r="AJ660" s="6"/>
      <c r="AK660" s="6"/>
      <c r="AL660" s="6"/>
      <c r="AM660" s="6"/>
      <c r="AN660" s="6"/>
      <c r="AO660" s="6"/>
      <c r="AP660" s="6"/>
      <c r="AQ660" s="6"/>
      <c r="AR660" s="6"/>
      <c r="AS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11"/>
      <c r="X661" s="11"/>
      <c r="Y661" s="11"/>
      <c r="Z661" s="11"/>
      <c r="AA661" s="11"/>
      <c r="AB661" s="11"/>
      <c r="AC661" s="11"/>
      <c r="AD661" s="11"/>
      <c r="AE661" s="11"/>
      <c r="AF661" s="11"/>
      <c r="AG661" s="6"/>
      <c r="AH661" s="6"/>
      <c r="AI661" s="6"/>
      <c r="AJ661" s="6"/>
      <c r="AK661" s="6"/>
      <c r="AL661" s="6"/>
      <c r="AM661" s="6"/>
      <c r="AN661" s="6"/>
      <c r="AO661" s="6"/>
      <c r="AP661" s="6"/>
      <c r="AQ661" s="6"/>
      <c r="AR661" s="6"/>
      <c r="AS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11"/>
      <c r="X662" s="11"/>
      <c r="Y662" s="11"/>
      <c r="Z662" s="11"/>
      <c r="AA662" s="11"/>
      <c r="AB662" s="11"/>
      <c r="AC662" s="11"/>
      <c r="AD662" s="11"/>
      <c r="AE662" s="11"/>
      <c r="AF662" s="11"/>
      <c r="AG662" s="6"/>
      <c r="AH662" s="6"/>
      <c r="AI662" s="6"/>
      <c r="AJ662" s="6"/>
      <c r="AK662" s="6"/>
      <c r="AL662" s="6"/>
      <c r="AM662" s="6"/>
      <c r="AN662" s="6"/>
      <c r="AO662" s="6"/>
      <c r="AP662" s="6"/>
      <c r="AQ662" s="6"/>
      <c r="AR662" s="6"/>
      <c r="AS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11"/>
      <c r="X663" s="11"/>
      <c r="Y663" s="11"/>
      <c r="Z663" s="11"/>
      <c r="AA663" s="11"/>
      <c r="AB663" s="11"/>
      <c r="AC663" s="11"/>
      <c r="AD663" s="11"/>
      <c r="AE663" s="11"/>
      <c r="AF663" s="11"/>
      <c r="AG663" s="6"/>
      <c r="AH663" s="6"/>
      <c r="AI663" s="6"/>
      <c r="AJ663" s="6"/>
      <c r="AK663" s="6"/>
      <c r="AL663" s="6"/>
      <c r="AM663" s="6"/>
      <c r="AN663" s="6"/>
      <c r="AO663" s="6"/>
      <c r="AP663" s="6"/>
      <c r="AQ663" s="6"/>
      <c r="AR663" s="6"/>
      <c r="AS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11"/>
      <c r="X664" s="11"/>
      <c r="Y664" s="11"/>
      <c r="Z664" s="11"/>
      <c r="AA664" s="11"/>
      <c r="AB664" s="11"/>
      <c r="AC664" s="11"/>
      <c r="AD664" s="11"/>
      <c r="AE664" s="11"/>
      <c r="AF664" s="11"/>
      <c r="AG664" s="6"/>
      <c r="AH664" s="6"/>
      <c r="AI664" s="6"/>
      <c r="AJ664" s="6"/>
      <c r="AK664" s="6"/>
      <c r="AL664" s="6"/>
      <c r="AM664" s="6"/>
      <c r="AN664" s="6"/>
      <c r="AO664" s="6"/>
      <c r="AP664" s="6"/>
      <c r="AQ664" s="6"/>
      <c r="AR664" s="6"/>
      <c r="AS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11"/>
      <c r="X665" s="11"/>
      <c r="Y665" s="11"/>
      <c r="Z665" s="11"/>
      <c r="AA665" s="11"/>
      <c r="AB665" s="11"/>
      <c r="AC665" s="11"/>
      <c r="AD665" s="11"/>
      <c r="AE665" s="11"/>
      <c r="AF665" s="11"/>
      <c r="AG665" s="6"/>
      <c r="AH665" s="6"/>
      <c r="AI665" s="6"/>
      <c r="AJ665" s="6"/>
      <c r="AK665" s="6"/>
      <c r="AL665" s="6"/>
      <c r="AM665" s="6"/>
      <c r="AN665" s="6"/>
      <c r="AO665" s="6"/>
      <c r="AP665" s="6"/>
      <c r="AQ665" s="6"/>
      <c r="AR665" s="6"/>
      <c r="AS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11"/>
      <c r="X666" s="11"/>
      <c r="Y666" s="11"/>
      <c r="Z666" s="11"/>
      <c r="AA666" s="11"/>
      <c r="AB666" s="11"/>
      <c r="AC666" s="11"/>
      <c r="AD666" s="11"/>
      <c r="AE666" s="11"/>
      <c r="AF666" s="11"/>
      <c r="AG666" s="6"/>
      <c r="AH666" s="6"/>
      <c r="AI666" s="6"/>
      <c r="AJ666" s="6"/>
      <c r="AK666" s="6"/>
      <c r="AL666" s="6"/>
      <c r="AM666" s="6"/>
      <c r="AN666" s="6"/>
      <c r="AO666" s="6"/>
      <c r="AP666" s="6"/>
      <c r="AQ666" s="6"/>
      <c r="AR666" s="6"/>
      <c r="AS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11"/>
      <c r="X667" s="11"/>
      <c r="Y667" s="11"/>
      <c r="Z667" s="11"/>
      <c r="AA667" s="11"/>
      <c r="AB667" s="11"/>
      <c r="AC667" s="11"/>
      <c r="AD667" s="11"/>
      <c r="AE667" s="11"/>
      <c r="AF667" s="11"/>
      <c r="AG667" s="6"/>
      <c r="AH667" s="6"/>
      <c r="AI667" s="6"/>
      <c r="AJ667" s="6"/>
      <c r="AK667" s="6"/>
      <c r="AL667" s="6"/>
      <c r="AM667" s="6"/>
      <c r="AN667" s="6"/>
      <c r="AO667" s="6"/>
      <c r="AP667" s="6"/>
      <c r="AQ667" s="6"/>
      <c r="AR667" s="6"/>
      <c r="AS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11"/>
      <c r="X668" s="11"/>
      <c r="Y668" s="11"/>
      <c r="Z668" s="11"/>
      <c r="AA668" s="11"/>
      <c r="AB668" s="11"/>
      <c r="AC668" s="11"/>
      <c r="AD668" s="11"/>
      <c r="AE668" s="11"/>
      <c r="AF668" s="11"/>
      <c r="AG668" s="6"/>
      <c r="AH668" s="6"/>
      <c r="AI668" s="6"/>
      <c r="AJ668" s="6"/>
      <c r="AK668" s="6"/>
      <c r="AL668" s="6"/>
      <c r="AM668" s="6"/>
      <c r="AN668" s="6"/>
      <c r="AO668" s="6"/>
      <c r="AP668" s="6"/>
      <c r="AQ668" s="6"/>
      <c r="AR668" s="6"/>
      <c r="AS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11"/>
      <c r="X669" s="11"/>
      <c r="Y669" s="11"/>
      <c r="Z669" s="11"/>
      <c r="AA669" s="11"/>
      <c r="AB669" s="11"/>
      <c r="AC669" s="11"/>
      <c r="AD669" s="11"/>
      <c r="AE669" s="11"/>
      <c r="AF669" s="11"/>
      <c r="AG669" s="6"/>
      <c r="AH669" s="6"/>
      <c r="AI669" s="6"/>
      <c r="AJ669" s="6"/>
      <c r="AK669" s="6"/>
      <c r="AL669" s="6"/>
      <c r="AM669" s="6"/>
      <c r="AN669" s="6"/>
      <c r="AO669" s="6"/>
      <c r="AP669" s="6"/>
      <c r="AQ669" s="6"/>
      <c r="AR669" s="6"/>
      <c r="AS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11"/>
      <c r="X670" s="11"/>
      <c r="Y670" s="11"/>
      <c r="Z670" s="11"/>
      <c r="AA670" s="11"/>
      <c r="AB670" s="11"/>
      <c r="AC670" s="11"/>
      <c r="AD670" s="11"/>
      <c r="AE670" s="11"/>
      <c r="AF670" s="11"/>
      <c r="AG670" s="6"/>
      <c r="AH670" s="6"/>
      <c r="AI670" s="6"/>
      <c r="AJ670" s="6"/>
      <c r="AK670" s="6"/>
      <c r="AL670" s="6"/>
      <c r="AM670" s="6"/>
      <c r="AN670" s="6"/>
      <c r="AO670" s="6"/>
      <c r="AP670" s="6"/>
      <c r="AQ670" s="6"/>
      <c r="AR670" s="6"/>
      <c r="AS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11"/>
      <c r="X671" s="11"/>
      <c r="Y671" s="11"/>
      <c r="Z671" s="11"/>
      <c r="AA671" s="11"/>
      <c r="AB671" s="11"/>
      <c r="AC671" s="11"/>
      <c r="AD671" s="11"/>
      <c r="AE671" s="11"/>
      <c r="AF671" s="11"/>
      <c r="AG671" s="6"/>
      <c r="AH671" s="6"/>
      <c r="AI671" s="6"/>
      <c r="AJ671" s="6"/>
      <c r="AK671" s="6"/>
      <c r="AL671" s="6"/>
      <c r="AM671" s="6"/>
      <c r="AN671" s="6"/>
      <c r="AO671" s="6"/>
      <c r="AP671" s="6"/>
      <c r="AQ671" s="6"/>
      <c r="AR671" s="6"/>
      <c r="AS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11"/>
      <c r="X672" s="11"/>
      <c r="Y672" s="11"/>
      <c r="Z672" s="11"/>
      <c r="AA672" s="11"/>
      <c r="AB672" s="11"/>
      <c r="AC672" s="11"/>
      <c r="AD672" s="11"/>
      <c r="AE672" s="11"/>
      <c r="AF672" s="11"/>
      <c r="AG672" s="6"/>
      <c r="AH672" s="6"/>
      <c r="AI672" s="6"/>
      <c r="AJ672" s="6"/>
      <c r="AK672" s="6"/>
      <c r="AL672" s="6"/>
      <c r="AM672" s="6"/>
      <c r="AN672" s="6"/>
      <c r="AO672" s="6"/>
      <c r="AP672" s="6"/>
      <c r="AQ672" s="6"/>
      <c r="AR672" s="6"/>
      <c r="AS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11"/>
      <c r="X673" s="11"/>
      <c r="Y673" s="11"/>
      <c r="Z673" s="11"/>
      <c r="AA673" s="11"/>
      <c r="AB673" s="11"/>
      <c r="AC673" s="11"/>
      <c r="AD673" s="11"/>
      <c r="AE673" s="11"/>
      <c r="AF673" s="11"/>
      <c r="AG673" s="6"/>
      <c r="AH673" s="6"/>
      <c r="AI673" s="6"/>
      <c r="AJ673" s="6"/>
      <c r="AK673" s="6"/>
      <c r="AL673" s="6"/>
      <c r="AM673" s="6"/>
      <c r="AN673" s="6"/>
      <c r="AO673" s="6"/>
      <c r="AP673" s="6"/>
      <c r="AQ673" s="6"/>
      <c r="AR673" s="6"/>
      <c r="AS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11"/>
      <c r="X674" s="11"/>
      <c r="Y674" s="11"/>
      <c r="Z674" s="11"/>
      <c r="AA674" s="11"/>
      <c r="AB674" s="11"/>
      <c r="AC674" s="11"/>
      <c r="AD674" s="11"/>
      <c r="AE674" s="11"/>
      <c r="AF674" s="11"/>
      <c r="AG674" s="6"/>
      <c r="AH674" s="6"/>
      <c r="AI674" s="6"/>
      <c r="AJ674" s="6"/>
      <c r="AK674" s="6"/>
      <c r="AL674" s="6"/>
      <c r="AM674" s="6"/>
      <c r="AN674" s="6"/>
      <c r="AO674" s="6"/>
      <c r="AP674" s="6"/>
      <c r="AQ674" s="6"/>
      <c r="AR674" s="6"/>
      <c r="AS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11"/>
      <c r="X675" s="11"/>
      <c r="Y675" s="11"/>
      <c r="Z675" s="11"/>
      <c r="AA675" s="11"/>
      <c r="AB675" s="11"/>
      <c r="AC675" s="11"/>
      <c r="AD675" s="11"/>
      <c r="AE675" s="11"/>
      <c r="AF675" s="11"/>
      <c r="AG675" s="6"/>
      <c r="AH675" s="6"/>
      <c r="AI675" s="6"/>
      <c r="AJ675" s="6"/>
      <c r="AK675" s="6"/>
      <c r="AL675" s="6"/>
      <c r="AM675" s="6"/>
      <c r="AN675" s="6"/>
      <c r="AO675" s="6"/>
      <c r="AP675" s="6"/>
      <c r="AQ675" s="6"/>
      <c r="AR675" s="6"/>
      <c r="AS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11"/>
      <c r="X676" s="11"/>
      <c r="Y676" s="11"/>
      <c r="Z676" s="11"/>
      <c r="AA676" s="11"/>
      <c r="AB676" s="11"/>
      <c r="AC676" s="11"/>
      <c r="AD676" s="11"/>
      <c r="AE676" s="11"/>
      <c r="AF676" s="11"/>
      <c r="AG676" s="6"/>
      <c r="AH676" s="6"/>
      <c r="AI676" s="6"/>
      <c r="AJ676" s="6"/>
      <c r="AK676" s="6"/>
      <c r="AL676" s="6"/>
      <c r="AM676" s="6"/>
      <c r="AN676" s="6"/>
      <c r="AO676" s="6"/>
      <c r="AP676" s="6"/>
      <c r="AQ676" s="6"/>
      <c r="AR676" s="6"/>
      <c r="AS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11"/>
      <c r="X677" s="11"/>
      <c r="Y677" s="11"/>
      <c r="Z677" s="11"/>
      <c r="AA677" s="11"/>
      <c r="AB677" s="11"/>
      <c r="AC677" s="11"/>
      <c r="AD677" s="11"/>
      <c r="AE677" s="11"/>
      <c r="AF677" s="11"/>
      <c r="AG677" s="6"/>
      <c r="AH677" s="6"/>
      <c r="AI677" s="6"/>
      <c r="AJ677" s="6"/>
      <c r="AK677" s="6"/>
      <c r="AL677" s="6"/>
      <c r="AM677" s="6"/>
      <c r="AN677" s="6"/>
      <c r="AO677" s="6"/>
      <c r="AP677" s="6"/>
      <c r="AQ677" s="6"/>
      <c r="AR677" s="6"/>
      <c r="AS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11"/>
      <c r="X678" s="11"/>
      <c r="Y678" s="11"/>
      <c r="Z678" s="11"/>
      <c r="AA678" s="11"/>
      <c r="AB678" s="11"/>
      <c r="AC678" s="11"/>
      <c r="AD678" s="11"/>
      <c r="AE678" s="11"/>
      <c r="AF678" s="11"/>
      <c r="AG678" s="6"/>
      <c r="AH678" s="6"/>
      <c r="AI678" s="6"/>
      <c r="AJ678" s="6"/>
      <c r="AK678" s="6"/>
      <c r="AL678" s="6"/>
      <c r="AM678" s="6"/>
      <c r="AN678" s="6"/>
      <c r="AO678" s="6"/>
      <c r="AP678" s="6"/>
      <c r="AQ678" s="6"/>
      <c r="AR678" s="6"/>
      <c r="AS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11"/>
      <c r="X679" s="11"/>
      <c r="Y679" s="11"/>
      <c r="Z679" s="11"/>
      <c r="AA679" s="11"/>
      <c r="AB679" s="11"/>
      <c r="AC679" s="11"/>
      <c r="AD679" s="11"/>
      <c r="AE679" s="11"/>
      <c r="AF679" s="11"/>
      <c r="AG679" s="6"/>
      <c r="AH679" s="6"/>
      <c r="AI679" s="6"/>
      <c r="AJ679" s="6"/>
      <c r="AK679" s="6"/>
      <c r="AL679" s="6"/>
      <c r="AM679" s="6"/>
      <c r="AN679" s="6"/>
      <c r="AO679" s="6"/>
      <c r="AP679" s="6"/>
      <c r="AQ679" s="6"/>
      <c r="AR679" s="6"/>
      <c r="AS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11"/>
      <c r="X680" s="11"/>
      <c r="Y680" s="11"/>
      <c r="Z680" s="11"/>
      <c r="AA680" s="11"/>
      <c r="AB680" s="11"/>
      <c r="AC680" s="11"/>
      <c r="AD680" s="11"/>
      <c r="AE680" s="11"/>
      <c r="AF680" s="11"/>
      <c r="AG680" s="6"/>
      <c r="AH680" s="6"/>
      <c r="AI680" s="6"/>
      <c r="AJ680" s="6"/>
      <c r="AK680" s="6"/>
      <c r="AL680" s="6"/>
      <c r="AM680" s="6"/>
      <c r="AN680" s="6"/>
      <c r="AO680" s="6"/>
      <c r="AP680" s="6"/>
      <c r="AQ680" s="6"/>
      <c r="AR680" s="6"/>
      <c r="AS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11"/>
      <c r="X681" s="11"/>
      <c r="Y681" s="11"/>
      <c r="Z681" s="11"/>
      <c r="AA681" s="11"/>
      <c r="AB681" s="11"/>
      <c r="AC681" s="11"/>
      <c r="AD681" s="11"/>
      <c r="AE681" s="11"/>
      <c r="AF681" s="11"/>
      <c r="AG681" s="6"/>
      <c r="AH681" s="6"/>
      <c r="AI681" s="6"/>
      <c r="AJ681" s="6"/>
      <c r="AK681" s="6"/>
      <c r="AL681" s="6"/>
      <c r="AM681" s="6"/>
      <c r="AN681" s="6"/>
      <c r="AO681" s="6"/>
      <c r="AP681" s="6"/>
      <c r="AQ681" s="6"/>
      <c r="AR681" s="6"/>
      <c r="AS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11"/>
      <c r="X682" s="11"/>
      <c r="Y682" s="11"/>
      <c r="Z682" s="11"/>
      <c r="AA682" s="11"/>
      <c r="AB682" s="11"/>
      <c r="AC682" s="11"/>
      <c r="AD682" s="11"/>
      <c r="AE682" s="11"/>
      <c r="AF682" s="11"/>
      <c r="AG682" s="6"/>
      <c r="AH682" s="6"/>
      <c r="AI682" s="6"/>
      <c r="AJ682" s="6"/>
      <c r="AK682" s="6"/>
      <c r="AL682" s="6"/>
      <c r="AM682" s="6"/>
      <c r="AN682" s="6"/>
      <c r="AO682" s="6"/>
      <c r="AP682" s="6"/>
      <c r="AQ682" s="6"/>
      <c r="AR682" s="6"/>
      <c r="AS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11"/>
      <c r="X683" s="11"/>
      <c r="Y683" s="11"/>
      <c r="Z683" s="11"/>
      <c r="AA683" s="11"/>
      <c r="AB683" s="11"/>
      <c r="AC683" s="11"/>
      <c r="AD683" s="11"/>
      <c r="AE683" s="11"/>
      <c r="AF683" s="11"/>
      <c r="AG683" s="6"/>
      <c r="AH683" s="6"/>
      <c r="AI683" s="6"/>
      <c r="AJ683" s="6"/>
      <c r="AK683" s="6"/>
      <c r="AL683" s="6"/>
      <c r="AM683" s="6"/>
      <c r="AN683" s="6"/>
      <c r="AO683" s="6"/>
      <c r="AP683" s="6"/>
      <c r="AQ683" s="6"/>
      <c r="AR683" s="6"/>
      <c r="AS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11"/>
      <c r="X684" s="11"/>
      <c r="Y684" s="11"/>
      <c r="Z684" s="11"/>
      <c r="AA684" s="11"/>
      <c r="AB684" s="11"/>
      <c r="AC684" s="11"/>
      <c r="AD684" s="11"/>
      <c r="AE684" s="11"/>
      <c r="AF684" s="11"/>
      <c r="AG684" s="6"/>
      <c r="AH684" s="6"/>
      <c r="AI684" s="6"/>
      <c r="AJ684" s="6"/>
      <c r="AK684" s="6"/>
      <c r="AL684" s="6"/>
      <c r="AM684" s="6"/>
      <c r="AN684" s="6"/>
      <c r="AO684" s="6"/>
      <c r="AP684" s="6"/>
      <c r="AQ684" s="6"/>
      <c r="AR684" s="6"/>
      <c r="AS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11"/>
      <c r="X685" s="11"/>
      <c r="Y685" s="11"/>
      <c r="Z685" s="11"/>
      <c r="AA685" s="11"/>
      <c r="AB685" s="11"/>
      <c r="AC685" s="11"/>
      <c r="AD685" s="11"/>
      <c r="AE685" s="11"/>
      <c r="AF685" s="11"/>
      <c r="AG685" s="6"/>
      <c r="AH685" s="6"/>
      <c r="AI685" s="6"/>
      <c r="AJ685" s="6"/>
      <c r="AK685" s="6"/>
      <c r="AL685" s="6"/>
      <c r="AM685" s="6"/>
      <c r="AN685" s="6"/>
      <c r="AO685" s="6"/>
      <c r="AP685" s="6"/>
      <c r="AQ685" s="6"/>
      <c r="AR685" s="6"/>
      <c r="AS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11"/>
      <c r="X686" s="11"/>
      <c r="Y686" s="11"/>
      <c r="Z686" s="11"/>
      <c r="AA686" s="11"/>
      <c r="AB686" s="11"/>
      <c r="AC686" s="11"/>
      <c r="AD686" s="11"/>
      <c r="AE686" s="11"/>
      <c r="AF686" s="11"/>
      <c r="AG686" s="6"/>
      <c r="AH686" s="6"/>
      <c r="AI686" s="6"/>
      <c r="AJ686" s="6"/>
      <c r="AK686" s="6"/>
      <c r="AL686" s="6"/>
      <c r="AM686" s="6"/>
      <c r="AN686" s="6"/>
      <c r="AO686" s="6"/>
      <c r="AP686" s="6"/>
      <c r="AQ686" s="6"/>
      <c r="AR686" s="6"/>
      <c r="AS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11"/>
      <c r="X687" s="11"/>
      <c r="Y687" s="11"/>
      <c r="Z687" s="11"/>
      <c r="AA687" s="11"/>
      <c r="AB687" s="11"/>
      <c r="AC687" s="11"/>
      <c r="AD687" s="11"/>
      <c r="AE687" s="11"/>
      <c r="AF687" s="11"/>
      <c r="AG687" s="6"/>
      <c r="AH687" s="6"/>
      <c r="AI687" s="6"/>
      <c r="AJ687" s="6"/>
      <c r="AK687" s="6"/>
      <c r="AL687" s="6"/>
      <c r="AM687" s="6"/>
      <c r="AN687" s="6"/>
      <c r="AO687" s="6"/>
      <c r="AP687" s="6"/>
      <c r="AQ687" s="6"/>
      <c r="AR687" s="6"/>
      <c r="AS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11"/>
      <c r="X688" s="11"/>
      <c r="Y688" s="11"/>
      <c r="Z688" s="11"/>
      <c r="AA688" s="11"/>
      <c r="AB688" s="11"/>
      <c r="AC688" s="11"/>
      <c r="AD688" s="11"/>
      <c r="AE688" s="11"/>
      <c r="AF688" s="11"/>
      <c r="AG688" s="6"/>
      <c r="AH688" s="6"/>
      <c r="AI688" s="6"/>
      <c r="AJ688" s="6"/>
      <c r="AK688" s="6"/>
      <c r="AL688" s="6"/>
      <c r="AM688" s="6"/>
      <c r="AN688" s="6"/>
      <c r="AO688" s="6"/>
      <c r="AP688" s="6"/>
      <c r="AQ688" s="6"/>
      <c r="AR688" s="6"/>
      <c r="AS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11"/>
      <c r="X689" s="11"/>
      <c r="Y689" s="11"/>
      <c r="Z689" s="11"/>
      <c r="AA689" s="11"/>
      <c r="AB689" s="11"/>
      <c r="AC689" s="11"/>
      <c r="AD689" s="11"/>
      <c r="AE689" s="11"/>
      <c r="AF689" s="11"/>
      <c r="AG689" s="6"/>
      <c r="AH689" s="6"/>
      <c r="AI689" s="6"/>
      <c r="AJ689" s="6"/>
      <c r="AK689" s="6"/>
      <c r="AL689" s="6"/>
      <c r="AM689" s="6"/>
      <c r="AN689" s="6"/>
      <c r="AO689" s="6"/>
      <c r="AP689" s="6"/>
      <c r="AQ689" s="6"/>
      <c r="AR689" s="6"/>
      <c r="AS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11"/>
      <c r="X690" s="11"/>
      <c r="Y690" s="11"/>
      <c r="Z690" s="11"/>
      <c r="AA690" s="11"/>
      <c r="AB690" s="11"/>
      <c r="AC690" s="11"/>
      <c r="AD690" s="11"/>
      <c r="AE690" s="11"/>
      <c r="AF690" s="11"/>
      <c r="AG690" s="6"/>
      <c r="AH690" s="6"/>
      <c r="AI690" s="6"/>
      <c r="AJ690" s="6"/>
      <c r="AK690" s="6"/>
      <c r="AL690" s="6"/>
      <c r="AM690" s="6"/>
      <c r="AN690" s="6"/>
      <c r="AO690" s="6"/>
      <c r="AP690" s="6"/>
      <c r="AQ690" s="6"/>
      <c r="AR690" s="6"/>
      <c r="AS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11"/>
      <c r="X691" s="11"/>
      <c r="Y691" s="11"/>
      <c r="Z691" s="11"/>
      <c r="AA691" s="11"/>
      <c r="AB691" s="11"/>
      <c r="AC691" s="11"/>
      <c r="AD691" s="11"/>
      <c r="AE691" s="11"/>
      <c r="AF691" s="11"/>
      <c r="AG691" s="6"/>
      <c r="AH691" s="6"/>
      <c r="AI691" s="6"/>
      <c r="AJ691" s="6"/>
      <c r="AK691" s="6"/>
      <c r="AL691" s="6"/>
      <c r="AM691" s="6"/>
      <c r="AN691" s="6"/>
      <c r="AO691" s="6"/>
      <c r="AP691" s="6"/>
      <c r="AQ691" s="6"/>
      <c r="AR691" s="6"/>
      <c r="AS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11"/>
      <c r="X692" s="11"/>
      <c r="Y692" s="11"/>
      <c r="Z692" s="11"/>
      <c r="AA692" s="11"/>
      <c r="AB692" s="11"/>
      <c r="AC692" s="11"/>
      <c r="AD692" s="11"/>
      <c r="AE692" s="11"/>
      <c r="AF692" s="11"/>
      <c r="AG692" s="6"/>
      <c r="AH692" s="6"/>
      <c r="AI692" s="6"/>
      <c r="AJ692" s="6"/>
      <c r="AK692" s="6"/>
      <c r="AL692" s="6"/>
      <c r="AM692" s="6"/>
      <c r="AN692" s="6"/>
      <c r="AO692" s="6"/>
      <c r="AP692" s="6"/>
      <c r="AQ692" s="6"/>
      <c r="AR692" s="6"/>
      <c r="AS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11"/>
      <c r="X693" s="11"/>
      <c r="Y693" s="11"/>
      <c r="Z693" s="11"/>
      <c r="AA693" s="11"/>
      <c r="AB693" s="11"/>
      <c r="AC693" s="11"/>
      <c r="AD693" s="11"/>
      <c r="AE693" s="11"/>
      <c r="AF693" s="11"/>
      <c r="AG693" s="6"/>
      <c r="AH693" s="6"/>
      <c r="AI693" s="6"/>
      <c r="AJ693" s="6"/>
      <c r="AK693" s="6"/>
      <c r="AL693" s="6"/>
      <c r="AM693" s="6"/>
      <c r="AN693" s="6"/>
      <c r="AO693" s="6"/>
      <c r="AP693" s="6"/>
      <c r="AQ693" s="6"/>
      <c r="AR693" s="6"/>
      <c r="AS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11"/>
      <c r="X694" s="11"/>
      <c r="Y694" s="11"/>
      <c r="Z694" s="11"/>
      <c r="AA694" s="11"/>
      <c r="AB694" s="11"/>
      <c r="AC694" s="11"/>
      <c r="AD694" s="11"/>
      <c r="AE694" s="11"/>
      <c r="AF694" s="11"/>
      <c r="AG694" s="6"/>
      <c r="AH694" s="6"/>
      <c r="AI694" s="6"/>
      <c r="AJ694" s="6"/>
      <c r="AK694" s="6"/>
      <c r="AL694" s="6"/>
      <c r="AM694" s="6"/>
      <c r="AN694" s="6"/>
      <c r="AO694" s="6"/>
      <c r="AP694" s="6"/>
      <c r="AQ694" s="6"/>
      <c r="AR694" s="6"/>
      <c r="AS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11"/>
      <c r="X695" s="11"/>
      <c r="Y695" s="11"/>
      <c r="Z695" s="11"/>
      <c r="AA695" s="11"/>
      <c r="AB695" s="11"/>
      <c r="AC695" s="11"/>
      <c r="AD695" s="11"/>
      <c r="AE695" s="11"/>
      <c r="AF695" s="11"/>
      <c r="AG695" s="6"/>
      <c r="AH695" s="6"/>
      <c r="AI695" s="6"/>
      <c r="AJ695" s="6"/>
      <c r="AK695" s="6"/>
      <c r="AL695" s="6"/>
      <c r="AM695" s="6"/>
      <c r="AN695" s="6"/>
      <c r="AO695" s="6"/>
      <c r="AP695" s="6"/>
      <c r="AQ695" s="6"/>
      <c r="AR695" s="6"/>
      <c r="AS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11"/>
      <c r="X696" s="11"/>
      <c r="Y696" s="11"/>
      <c r="Z696" s="11"/>
      <c r="AA696" s="11"/>
      <c r="AB696" s="11"/>
      <c r="AC696" s="11"/>
      <c r="AD696" s="11"/>
      <c r="AE696" s="11"/>
      <c r="AF696" s="11"/>
      <c r="AG696" s="6"/>
      <c r="AH696" s="6"/>
      <c r="AI696" s="6"/>
      <c r="AJ696" s="6"/>
      <c r="AK696" s="6"/>
      <c r="AL696" s="6"/>
      <c r="AM696" s="6"/>
      <c r="AN696" s="6"/>
      <c r="AO696" s="6"/>
      <c r="AP696" s="6"/>
      <c r="AQ696" s="6"/>
      <c r="AR696" s="6"/>
      <c r="AS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11"/>
      <c r="X697" s="11"/>
      <c r="Y697" s="11"/>
      <c r="Z697" s="11"/>
      <c r="AA697" s="11"/>
      <c r="AB697" s="11"/>
      <c r="AC697" s="11"/>
      <c r="AD697" s="11"/>
      <c r="AE697" s="11"/>
      <c r="AF697" s="11"/>
      <c r="AG697" s="6"/>
      <c r="AH697" s="6"/>
      <c r="AI697" s="6"/>
      <c r="AJ697" s="6"/>
      <c r="AK697" s="6"/>
      <c r="AL697" s="6"/>
      <c r="AM697" s="6"/>
      <c r="AN697" s="6"/>
      <c r="AO697" s="6"/>
      <c r="AP697" s="6"/>
      <c r="AQ697" s="6"/>
      <c r="AR697" s="6"/>
      <c r="AS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11"/>
      <c r="X698" s="11"/>
      <c r="Y698" s="11"/>
      <c r="Z698" s="11"/>
      <c r="AA698" s="11"/>
      <c r="AB698" s="11"/>
      <c r="AC698" s="11"/>
      <c r="AD698" s="11"/>
      <c r="AE698" s="11"/>
      <c r="AF698" s="11"/>
      <c r="AG698" s="6"/>
      <c r="AH698" s="6"/>
      <c r="AI698" s="6"/>
      <c r="AJ698" s="6"/>
      <c r="AK698" s="6"/>
      <c r="AL698" s="6"/>
      <c r="AM698" s="6"/>
      <c r="AN698" s="6"/>
      <c r="AO698" s="6"/>
      <c r="AP698" s="6"/>
      <c r="AQ698" s="6"/>
      <c r="AR698" s="6"/>
      <c r="AS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11"/>
      <c r="X699" s="11"/>
      <c r="Y699" s="11"/>
      <c r="Z699" s="11"/>
      <c r="AA699" s="11"/>
      <c r="AB699" s="11"/>
      <c r="AC699" s="11"/>
      <c r="AD699" s="11"/>
      <c r="AE699" s="11"/>
      <c r="AF699" s="11"/>
      <c r="AG699" s="6"/>
      <c r="AH699" s="6"/>
      <c r="AI699" s="6"/>
      <c r="AJ699" s="6"/>
      <c r="AK699" s="6"/>
      <c r="AL699" s="6"/>
      <c r="AM699" s="6"/>
      <c r="AN699" s="6"/>
      <c r="AO699" s="6"/>
      <c r="AP699" s="6"/>
      <c r="AQ699" s="6"/>
      <c r="AR699" s="6"/>
      <c r="AS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11"/>
      <c r="X700" s="11"/>
      <c r="Y700" s="11"/>
      <c r="Z700" s="11"/>
      <c r="AA700" s="11"/>
      <c r="AB700" s="11"/>
      <c r="AC700" s="11"/>
      <c r="AD700" s="11"/>
      <c r="AE700" s="11"/>
      <c r="AF700" s="11"/>
      <c r="AG700" s="6"/>
      <c r="AH700" s="6"/>
      <c r="AI700" s="6"/>
      <c r="AJ700" s="6"/>
      <c r="AK700" s="6"/>
      <c r="AL700" s="6"/>
      <c r="AM700" s="6"/>
      <c r="AN700" s="6"/>
      <c r="AO700" s="6"/>
      <c r="AP700" s="6"/>
      <c r="AQ700" s="6"/>
      <c r="AR700" s="6"/>
      <c r="AS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11"/>
      <c r="X701" s="11"/>
      <c r="Y701" s="11"/>
      <c r="Z701" s="11"/>
      <c r="AA701" s="11"/>
      <c r="AB701" s="11"/>
      <c r="AC701" s="11"/>
      <c r="AD701" s="11"/>
      <c r="AE701" s="11"/>
      <c r="AF701" s="11"/>
      <c r="AG701" s="6"/>
      <c r="AH701" s="6"/>
      <c r="AI701" s="6"/>
      <c r="AJ701" s="6"/>
      <c r="AK701" s="6"/>
      <c r="AL701" s="6"/>
      <c r="AM701" s="6"/>
      <c r="AN701" s="6"/>
      <c r="AO701" s="6"/>
      <c r="AP701" s="6"/>
      <c r="AQ701" s="6"/>
      <c r="AR701" s="6"/>
      <c r="AS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11"/>
      <c r="X702" s="11"/>
      <c r="Y702" s="11"/>
      <c r="Z702" s="11"/>
      <c r="AA702" s="11"/>
      <c r="AB702" s="11"/>
      <c r="AC702" s="11"/>
      <c r="AD702" s="11"/>
      <c r="AE702" s="11"/>
      <c r="AF702" s="11"/>
      <c r="AG702" s="6"/>
      <c r="AH702" s="6"/>
      <c r="AI702" s="6"/>
      <c r="AJ702" s="6"/>
      <c r="AK702" s="6"/>
      <c r="AL702" s="6"/>
      <c r="AM702" s="6"/>
      <c r="AN702" s="6"/>
      <c r="AO702" s="6"/>
      <c r="AP702" s="6"/>
      <c r="AQ702" s="6"/>
      <c r="AR702" s="6"/>
      <c r="AS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11"/>
      <c r="X703" s="11"/>
      <c r="Y703" s="11"/>
      <c r="Z703" s="11"/>
      <c r="AA703" s="11"/>
      <c r="AB703" s="11"/>
      <c r="AC703" s="11"/>
      <c r="AD703" s="11"/>
      <c r="AE703" s="11"/>
      <c r="AF703" s="11"/>
      <c r="AG703" s="6"/>
      <c r="AH703" s="6"/>
      <c r="AI703" s="6"/>
      <c r="AJ703" s="6"/>
      <c r="AK703" s="6"/>
      <c r="AL703" s="6"/>
      <c r="AM703" s="6"/>
      <c r="AN703" s="6"/>
      <c r="AO703" s="6"/>
      <c r="AP703" s="6"/>
      <c r="AQ703" s="6"/>
      <c r="AR703" s="6"/>
      <c r="AS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11"/>
      <c r="X704" s="11"/>
      <c r="Y704" s="11"/>
      <c r="Z704" s="11"/>
      <c r="AA704" s="11"/>
      <c r="AB704" s="11"/>
      <c r="AC704" s="11"/>
      <c r="AD704" s="11"/>
      <c r="AE704" s="11"/>
      <c r="AF704" s="11"/>
      <c r="AG704" s="6"/>
      <c r="AH704" s="6"/>
      <c r="AI704" s="6"/>
      <c r="AJ704" s="6"/>
      <c r="AK704" s="6"/>
      <c r="AL704" s="6"/>
      <c r="AM704" s="6"/>
      <c r="AN704" s="6"/>
      <c r="AO704" s="6"/>
      <c r="AP704" s="6"/>
      <c r="AQ704" s="6"/>
      <c r="AR704" s="6"/>
      <c r="AS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11"/>
      <c r="X705" s="11"/>
      <c r="Y705" s="11"/>
      <c r="Z705" s="11"/>
      <c r="AA705" s="11"/>
      <c r="AB705" s="11"/>
      <c r="AC705" s="11"/>
      <c r="AD705" s="11"/>
      <c r="AE705" s="11"/>
      <c r="AF705" s="11"/>
      <c r="AG705" s="6"/>
      <c r="AH705" s="6"/>
      <c r="AI705" s="6"/>
      <c r="AJ705" s="6"/>
      <c r="AK705" s="6"/>
      <c r="AL705" s="6"/>
      <c r="AM705" s="6"/>
      <c r="AN705" s="6"/>
      <c r="AO705" s="6"/>
      <c r="AP705" s="6"/>
      <c r="AQ705" s="6"/>
      <c r="AR705" s="6"/>
      <c r="AS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11"/>
      <c r="X706" s="11"/>
      <c r="Y706" s="11"/>
      <c r="Z706" s="11"/>
      <c r="AA706" s="11"/>
      <c r="AB706" s="11"/>
      <c r="AC706" s="11"/>
      <c r="AD706" s="11"/>
      <c r="AE706" s="11"/>
      <c r="AF706" s="11"/>
      <c r="AG706" s="6"/>
      <c r="AH706" s="6"/>
      <c r="AI706" s="6"/>
      <c r="AJ706" s="6"/>
      <c r="AK706" s="6"/>
      <c r="AL706" s="6"/>
      <c r="AM706" s="6"/>
      <c r="AN706" s="6"/>
      <c r="AO706" s="6"/>
      <c r="AP706" s="6"/>
      <c r="AQ706" s="6"/>
      <c r="AR706" s="6"/>
      <c r="AS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11"/>
      <c r="X707" s="11"/>
      <c r="Y707" s="11"/>
      <c r="Z707" s="11"/>
      <c r="AA707" s="11"/>
      <c r="AB707" s="11"/>
      <c r="AC707" s="11"/>
      <c r="AD707" s="11"/>
      <c r="AE707" s="11"/>
      <c r="AF707" s="11"/>
      <c r="AG707" s="6"/>
      <c r="AH707" s="6"/>
      <c r="AI707" s="6"/>
      <c r="AJ707" s="6"/>
      <c r="AK707" s="6"/>
      <c r="AL707" s="6"/>
      <c r="AM707" s="6"/>
      <c r="AN707" s="6"/>
      <c r="AO707" s="6"/>
      <c r="AP707" s="6"/>
      <c r="AQ707" s="6"/>
      <c r="AR707" s="6"/>
      <c r="AS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11"/>
      <c r="X708" s="11"/>
      <c r="Y708" s="11"/>
      <c r="Z708" s="11"/>
      <c r="AA708" s="11"/>
      <c r="AB708" s="11"/>
      <c r="AC708" s="11"/>
      <c r="AD708" s="11"/>
      <c r="AE708" s="11"/>
      <c r="AF708" s="11"/>
      <c r="AG708" s="6"/>
      <c r="AH708" s="6"/>
      <c r="AI708" s="6"/>
      <c r="AJ708" s="6"/>
      <c r="AK708" s="6"/>
      <c r="AL708" s="6"/>
      <c r="AM708" s="6"/>
      <c r="AN708" s="6"/>
      <c r="AO708" s="6"/>
      <c r="AP708" s="6"/>
      <c r="AQ708" s="6"/>
      <c r="AR708" s="6"/>
      <c r="AS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11"/>
      <c r="X709" s="11"/>
      <c r="Y709" s="11"/>
      <c r="Z709" s="11"/>
      <c r="AA709" s="11"/>
      <c r="AB709" s="11"/>
      <c r="AC709" s="11"/>
      <c r="AD709" s="11"/>
      <c r="AE709" s="11"/>
      <c r="AF709" s="11"/>
      <c r="AG709" s="6"/>
      <c r="AH709" s="6"/>
      <c r="AI709" s="6"/>
      <c r="AJ709" s="6"/>
      <c r="AK709" s="6"/>
      <c r="AL709" s="6"/>
      <c r="AM709" s="6"/>
      <c r="AN709" s="6"/>
      <c r="AO709" s="6"/>
      <c r="AP709" s="6"/>
      <c r="AQ709" s="6"/>
      <c r="AR709" s="6"/>
      <c r="AS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11"/>
      <c r="X710" s="11"/>
      <c r="Y710" s="11"/>
      <c r="Z710" s="11"/>
      <c r="AA710" s="11"/>
      <c r="AB710" s="11"/>
      <c r="AC710" s="11"/>
      <c r="AD710" s="11"/>
      <c r="AE710" s="11"/>
      <c r="AF710" s="11"/>
      <c r="AG710" s="6"/>
      <c r="AH710" s="6"/>
      <c r="AI710" s="6"/>
      <c r="AJ710" s="6"/>
      <c r="AK710" s="6"/>
      <c r="AL710" s="6"/>
      <c r="AM710" s="6"/>
      <c r="AN710" s="6"/>
      <c r="AO710" s="6"/>
      <c r="AP710" s="6"/>
      <c r="AQ710" s="6"/>
      <c r="AR710" s="6"/>
      <c r="AS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11"/>
      <c r="X711" s="11"/>
      <c r="Y711" s="11"/>
      <c r="Z711" s="11"/>
      <c r="AA711" s="11"/>
      <c r="AB711" s="11"/>
      <c r="AC711" s="11"/>
      <c r="AD711" s="11"/>
      <c r="AE711" s="11"/>
      <c r="AF711" s="11"/>
      <c r="AG711" s="6"/>
      <c r="AH711" s="6"/>
      <c r="AI711" s="6"/>
      <c r="AJ711" s="6"/>
      <c r="AK711" s="6"/>
      <c r="AL711" s="6"/>
      <c r="AM711" s="6"/>
      <c r="AN711" s="6"/>
      <c r="AO711" s="6"/>
      <c r="AP711" s="6"/>
      <c r="AQ711" s="6"/>
      <c r="AR711" s="6"/>
      <c r="AS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11"/>
      <c r="X712" s="11"/>
      <c r="Y712" s="11"/>
      <c r="Z712" s="11"/>
      <c r="AA712" s="11"/>
      <c r="AB712" s="11"/>
      <c r="AC712" s="11"/>
      <c r="AD712" s="11"/>
      <c r="AE712" s="11"/>
      <c r="AF712" s="11"/>
      <c r="AG712" s="6"/>
      <c r="AH712" s="6"/>
      <c r="AI712" s="6"/>
      <c r="AJ712" s="6"/>
      <c r="AK712" s="6"/>
      <c r="AL712" s="6"/>
      <c r="AM712" s="6"/>
      <c r="AN712" s="6"/>
      <c r="AO712" s="6"/>
      <c r="AP712" s="6"/>
      <c r="AQ712" s="6"/>
      <c r="AR712" s="6"/>
      <c r="AS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11"/>
      <c r="X713" s="11"/>
      <c r="Y713" s="11"/>
      <c r="Z713" s="11"/>
      <c r="AA713" s="11"/>
      <c r="AB713" s="11"/>
      <c r="AC713" s="11"/>
      <c r="AD713" s="11"/>
      <c r="AE713" s="11"/>
      <c r="AF713" s="11"/>
      <c r="AG713" s="6"/>
      <c r="AH713" s="6"/>
      <c r="AI713" s="6"/>
      <c r="AJ713" s="6"/>
      <c r="AK713" s="6"/>
      <c r="AL713" s="6"/>
      <c r="AM713" s="6"/>
      <c r="AN713" s="6"/>
      <c r="AO713" s="6"/>
      <c r="AP713" s="6"/>
      <c r="AQ713" s="6"/>
      <c r="AR713" s="6"/>
      <c r="AS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11"/>
      <c r="X714" s="11"/>
      <c r="Y714" s="11"/>
      <c r="Z714" s="11"/>
      <c r="AA714" s="11"/>
      <c r="AB714" s="11"/>
      <c r="AC714" s="11"/>
      <c r="AD714" s="11"/>
      <c r="AE714" s="11"/>
      <c r="AF714" s="11"/>
      <c r="AG714" s="6"/>
      <c r="AH714" s="6"/>
      <c r="AI714" s="6"/>
      <c r="AJ714" s="6"/>
      <c r="AK714" s="6"/>
      <c r="AL714" s="6"/>
      <c r="AM714" s="6"/>
      <c r="AN714" s="6"/>
      <c r="AO714" s="6"/>
      <c r="AP714" s="6"/>
      <c r="AQ714" s="6"/>
      <c r="AR714" s="6"/>
      <c r="AS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11"/>
      <c r="X715" s="11"/>
      <c r="Y715" s="11"/>
      <c r="Z715" s="11"/>
      <c r="AA715" s="11"/>
      <c r="AB715" s="11"/>
      <c r="AC715" s="11"/>
      <c r="AD715" s="11"/>
      <c r="AE715" s="11"/>
      <c r="AF715" s="11"/>
      <c r="AG715" s="6"/>
      <c r="AH715" s="6"/>
      <c r="AI715" s="6"/>
      <c r="AJ715" s="6"/>
      <c r="AK715" s="6"/>
      <c r="AL715" s="6"/>
      <c r="AM715" s="6"/>
      <c r="AN715" s="6"/>
      <c r="AO715" s="6"/>
      <c r="AP715" s="6"/>
      <c r="AQ715" s="6"/>
      <c r="AR715" s="6"/>
      <c r="AS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11"/>
      <c r="X716" s="11"/>
      <c r="Y716" s="11"/>
      <c r="Z716" s="11"/>
      <c r="AA716" s="11"/>
      <c r="AB716" s="11"/>
      <c r="AC716" s="11"/>
      <c r="AD716" s="11"/>
      <c r="AE716" s="11"/>
      <c r="AF716" s="11"/>
      <c r="AG716" s="6"/>
      <c r="AH716" s="6"/>
      <c r="AI716" s="6"/>
      <c r="AJ716" s="6"/>
      <c r="AK716" s="6"/>
      <c r="AL716" s="6"/>
      <c r="AM716" s="6"/>
      <c r="AN716" s="6"/>
      <c r="AO716" s="6"/>
      <c r="AP716" s="6"/>
      <c r="AQ716" s="6"/>
      <c r="AR716" s="6"/>
      <c r="AS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11"/>
      <c r="X717" s="11"/>
      <c r="Y717" s="11"/>
      <c r="Z717" s="11"/>
      <c r="AA717" s="11"/>
      <c r="AB717" s="11"/>
      <c r="AC717" s="11"/>
      <c r="AD717" s="11"/>
      <c r="AE717" s="11"/>
      <c r="AF717" s="11"/>
      <c r="AG717" s="6"/>
      <c r="AH717" s="6"/>
      <c r="AI717" s="6"/>
      <c r="AJ717" s="6"/>
      <c r="AK717" s="6"/>
      <c r="AL717" s="6"/>
      <c r="AM717" s="6"/>
      <c r="AN717" s="6"/>
      <c r="AO717" s="6"/>
      <c r="AP717" s="6"/>
      <c r="AQ717" s="6"/>
      <c r="AR717" s="6"/>
      <c r="AS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11"/>
      <c r="X718" s="11"/>
      <c r="Y718" s="11"/>
      <c r="Z718" s="11"/>
      <c r="AA718" s="11"/>
      <c r="AB718" s="11"/>
      <c r="AC718" s="11"/>
      <c r="AD718" s="11"/>
      <c r="AE718" s="11"/>
      <c r="AF718" s="11"/>
      <c r="AG718" s="6"/>
      <c r="AH718" s="6"/>
      <c r="AI718" s="6"/>
      <c r="AJ718" s="6"/>
      <c r="AK718" s="6"/>
      <c r="AL718" s="6"/>
      <c r="AM718" s="6"/>
      <c r="AN718" s="6"/>
      <c r="AO718" s="6"/>
      <c r="AP718" s="6"/>
      <c r="AQ718" s="6"/>
      <c r="AR718" s="6"/>
      <c r="AS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11"/>
      <c r="X719" s="11"/>
      <c r="Y719" s="11"/>
      <c r="Z719" s="11"/>
      <c r="AA719" s="11"/>
      <c r="AB719" s="11"/>
      <c r="AC719" s="11"/>
      <c r="AD719" s="11"/>
      <c r="AE719" s="11"/>
      <c r="AF719" s="11"/>
      <c r="AG719" s="6"/>
      <c r="AH719" s="6"/>
      <c r="AI719" s="6"/>
      <c r="AJ719" s="6"/>
      <c r="AK719" s="6"/>
      <c r="AL719" s="6"/>
      <c r="AM719" s="6"/>
      <c r="AN719" s="6"/>
      <c r="AO719" s="6"/>
      <c r="AP719" s="6"/>
      <c r="AQ719" s="6"/>
      <c r="AR719" s="6"/>
      <c r="AS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11"/>
      <c r="X720" s="11"/>
      <c r="Y720" s="11"/>
      <c r="Z720" s="11"/>
      <c r="AA720" s="11"/>
      <c r="AB720" s="11"/>
      <c r="AC720" s="11"/>
      <c r="AD720" s="11"/>
      <c r="AE720" s="11"/>
      <c r="AF720" s="11"/>
      <c r="AG720" s="6"/>
      <c r="AH720" s="6"/>
      <c r="AI720" s="6"/>
      <c r="AJ720" s="6"/>
      <c r="AK720" s="6"/>
      <c r="AL720" s="6"/>
      <c r="AM720" s="6"/>
      <c r="AN720" s="6"/>
      <c r="AO720" s="6"/>
      <c r="AP720" s="6"/>
      <c r="AQ720" s="6"/>
      <c r="AR720" s="6"/>
      <c r="AS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11"/>
      <c r="X721" s="11"/>
      <c r="Y721" s="11"/>
      <c r="Z721" s="11"/>
      <c r="AA721" s="11"/>
      <c r="AB721" s="11"/>
      <c r="AC721" s="11"/>
      <c r="AD721" s="11"/>
      <c r="AE721" s="11"/>
      <c r="AF721" s="11"/>
      <c r="AG721" s="6"/>
      <c r="AH721" s="6"/>
      <c r="AI721" s="6"/>
      <c r="AJ721" s="6"/>
      <c r="AK721" s="6"/>
      <c r="AL721" s="6"/>
      <c r="AM721" s="6"/>
      <c r="AN721" s="6"/>
      <c r="AO721" s="6"/>
      <c r="AP721" s="6"/>
      <c r="AQ721" s="6"/>
      <c r="AR721" s="6"/>
      <c r="AS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11"/>
      <c r="X722" s="11"/>
      <c r="Y722" s="11"/>
      <c r="Z722" s="11"/>
      <c r="AA722" s="11"/>
      <c r="AB722" s="11"/>
      <c r="AC722" s="11"/>
      <c r="AD722" s="11"/>
      <c r="AE722" s="11"/>
      <c r="AF722" s="11"/>
      <c r="AG722" s="6"/>
      <c r="AH722" s="6"/>
      <c r="AI722" s="6"/>
      <c r="AJ722" s="6"/>
      <c r="AK722" s="6"/>
      <c r="AL722" s="6"/>
      <c r="AM722" s="6"/>
      <c r="AN722" s="6"/>
      <c r="AO722" s="6"/>
      <c r="AP722" s="6"/>
      <c r="AQ722" s="6"/>
      <c r="AR722" s="6"/>
      <c r="AS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11"/>
      <c r="X723" s="11"/>
      <c r="Y723" s="11"/>
      <c r="Z723" s="11"/>
      <c r="AA723" s="11"/>
      <c r="AB723" s="11"/>
      <c r="AC723" s="11"/>
      <c r="AD723" s="11"/>
      <c r="AE723" s="11"/>
      <c r="AF723" s="11"/>
      <c r="AG723" s="6"/>
      <c r="AH723" s="6"/>
      <c r="AI723" s="6"/>
      <c r="AJ723" s="6"/>
      <c r="AK723" s="6"/>
      <c r="AL723" s="6"/>
      <c r="AM723" s="6"/>
      <c r="AN723" s="6"/>
      <c r="AO723" s="6"/>
      <c r="AP723" s="6"/>
      <c r="AQ723" s="6"/>
      <c r="AR723" s="6"/>
      <c r="AS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11"/>
      <c r="X724" s="11"/>
      <c r="Y724" s="11"/>
      <c r="Z724" s="11"/>
      <c r="AA724" s="11"/>
      <c r="AB724" s="11"/>
      <c r="AC724" s="11"/>
      <c r="AD724" s="11"/>
      <c r="AE724" s="11"/>
      <c r="AF724" s="11"/>
      <c r="AG724" s="6"/>
      <c r="AH724" s="6"/>
      <c r="AI724" s="6"/>
      <c r="AJ724" s="6"/>
      <c r="AK724" s="6"/>
      <c r="AL724" s="6"/>
      <c r="AM724" s="6"/>
      <c r="AN724" s="6"/>
      <c r="AO724" s="6"/>
      <c r="AP724" s="6"/>
      <c r="AQ724" s="6"/>
      <c r="AR724" s="6"/>
      <c r="AS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11"/>
      <c r="X725" s="11"/>
      <c r="Y725" s="11"/>
      <c r="Z725" s="11"/>
      <c r="AA725" s="11"/>
      <c r="AB725" s="11"/>
      <c r="AC725" s="11"/>
      <c r="AD725" s="11"/>
      <c r="AE725" s="11"/>
      <c r="AF725" s="11"/>
      <c r="AG725" s="6"/>
      <c r="AH725" s="6"/>
      <c r="AI725" s="6"/>
      <c r="AJ725" s="6"/>
      <c r="AK725" s="6"/>
      <c r="AL725" s="6"/>
      <c r="AM725" s="6"/>
      <c r="AN725" s="6"/>
      <c r="AO725" s="6"/>
      <c r="AP725" s="6"/>
      <c r="AQ725" s="6"/>
      <c r="AR725" s="6"/>
      <c r="AS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11"/>
      <c r="X726" s="11"/>
      <c r="Y726" s="11"/>
      <c r="Z726" s="11"/>
      <c r="AA726" s="11"/>
      <c r="AB726" s="11"/>
      <c r="AC726" s="11"/>
      <c r="AD726" s="11"/>
      <c r="AE726" s="11"/>
      <c r="AF726" s="11"/>
      <c r="AG726" s="6"/>
      <c r="AH726" s="6"/>
      <c r="AI726" s="6"/>
      <c r="AJ726" s="6"/>
      <c r="AK726" s="6"/>
      <c r="AL726" s="6"/>
      <c r="AM726" s="6"/>
      <c r="AN726" s="6"/>
      <c r="AO726" s="6"/>
      <c r="AP726" s="6"/>
      <c r="AQ726" s="6"/>
      <c r="AR726" s="6"/>
      <c r="AS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11"/>
      <c r="X727" s="11"/>
      <c r="Y727" s="11"/>
      <c r="Z727" s="11"/>
      <c r="AA727" s="11"/>
      <c r="AB727" s="11"/>
      <c r="AC727" s="11"/>
      <c r="AD727" s="11"/>
      <c r="AE727" s="11"/>
      <c r="AF727" s="11"/>
      <c r="AG727" s="6"/>
      <c r="AH727" s="6"/>
      <c r="AI727" s="6"/>
      <c r="AJ727" s="6"/>
      <c r="AK727" s="6"/>
      <c r="AL727" s="6"/>
      <c r="AM727" s="6"/>
      <c r="AN727" s="6"/>
      <c r="AO727" s="6"/>
      <c r="AP727" s="6"/>
      <c r="AQ727" s="6"/>
      <c r="AR727" s="6"/>
      <c r="AS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11"/>
      <c r="X728" s="11"/>
      <c r="Y728" s="11"/>
      <c r="Z728" s="11"/>
      <c r="AA728" s="11"/>
      <c r="AB728" s="11"/>
      <c r="AC728" s="11"/>
      <c r="AD728" s="11"/>
      <c r="AE728" s="11"/>
      <c r="AF728" s="11"/>
      <c r="AG728" s="6"/>
      <c r="AH728" s="6"/>
      <c r="AI728" s="6"/>
      <c r="AJ728" s="6"/>
      <c r="AK728" s="6"/>
      <c r="AL728" s="6"/>
      <c r="AM728" s="6"/>
      <c r="AN728" s="6"/>
      <c r="AO728" s="6"/>
      <c r="AP728" s="6"/>
      <c r="AQ728" s="6"/>
      <c r="AR728" s="6"/>
      <c r="AS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11"/>
      <c r="X729" s="11"/>
      <c r="Y729" s="11"/>
      <c r="Z729" s="11"/>
      <c r="AA729" s="11"/>
      <c r="AB729" s="11"/>
      <c r="AC729" s="11"/>
      <c r="AD729" s="11"/>
      <c r="AE729" s="11"/>
      <c r="AF729" s="11"/>
      <c r="AG729" s="6"/>
      <c r="AH729" s="6"/>
      <c r="AI729" s="6"/>
      <c r="AJ729" s="6"/>
      <c r="AK729" s="6"/>
      <c r="AL729" s="6"/>
      <c r="AM729" s="6"/>
      <c r="AN729" s="6"/>
      <c r="AO729" s="6"/>
      <c r="AP729" s="6"/>
      <c r="AQ729" s="6"/>
      <c r="AR729" s="6"/>
      <c r="AS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11"/>
      <c r="X730" s="11"/>
      <c r="Y730" s="11"/>
      <c r="Z730" s="11"/>
      <c r="AA730" s="11"/>
      <c r="AB730" s="11"/>
      <c r="AC730" s="11"/>
      <c r="AD730" s="11"/>
      <c r="AE730" s="11"/>
      <c r="AF730" s="11"/>
      <c r="AG730" s="6"/>
      <c r="AH730" s="6"/>
      <c r="AI730" s="6"/>
      <c r="AJ730" s="6"/>
      <c r="AK730" s="6"/>
      <c r="AL730" s="6"/>
      <c r="AM730" s="6"/>
      <c r="AN730" s="6"/>
      <c r="AO730" s="6"/>
      <c r="AP730" s="6"/>
      <c r="AQ730" s="6"/>
      <c r="AR730" s="6"/>
      <c r="AS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11"/>
      <c r="X731" s="11"/>
      <c r="Y731" s="11"/>
      <c r="Z731" s="11"/>
      <c r="AA731" s="11"/>
      <c r="AB731" s="11"/>
      <c r="AC731" s="11"/>
      <c r="AD731" s="11"/>
      <c r="AE731" s="11"/>
      <c r="AF731" s="11"/>
      <c r="AG731" s="6"/>
      <c r="AH731" s="6"/>
      <c r="AI731" s="6"/>
      <c r="AJ731" s="6"/>
      <c r="AK731" s="6"/>
      <c r="AL731" s="6"/>
      <c r="AM731" s="6"/>
      <c r="AN731" s="6"/>
      <c r="AO731" s="6"/>
      <c r="AP731" s="6"/>
      <c r="AQ731" s="6"/>
      <c r="AR731" s="6"/>
      <c r="AS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11"/>
      <c r="X732" s="11"/>
      <c r="Y732" s="11"/>
      <c r="Z732" s="11"/>
      <c r="AA732" s="11"/>
      <c r="AB732" s="11"/>
      <c r="AC732" s="11"/>
      <c r="AD732" s="11"/>
      <c r="AE732" s="11"/>
      <c r="AF732" s="11"/>
      <c r="AG732" s="6"/>
      <c r="AH732" s="6"/>
      <c r="AI732" s="6"/>
      <c r="AJ732" s="6"/>
      <c r="AK732" s="6"/>
      <c r="AL732" s="6"/>
      <c r="AM732" s="6"/>
      <c r="AN732" s="6"/>
      <c r="AO732" s="6"/>
      <c r="AP732" s="6"/>
      <c r="AQ732" s="6"/>
      <c r="AR732" s="6"/>
      <c r="AS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11"/>
      <c r="X733" s="11"/>
      <c r="Y733" s="11"/>
      <c r="Z733" s="11"/>
      <c r="AA733" s="11"/>
      <c r="AB733" s="11"/>
      <c r="AC733" s="11"/>
      <c r="AD733" s="11"/>
      <c r="AE733" s="11"/>
      <c r="AF733" s="11"/>
      <c r="AG733" s="6"/>
      <c r="AH733" s="6"/>
      <c r="AI733" s="6"/>
      <c r="AJ733" s="6"/>
      <c r="AK733" s="6"/>
      <c r="AL733" s="6"/>
      <c r="AM733" s="6"/>
      <c r="AN733" s="6"/>
      <c r="AO733" s="6"/>
      <c r="AP733" s="6"/>
      <c r="AQ733" s="6"/>
      <c r="AR733" s="6"/>
      <c r="AS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11"/>
      <c r="X734" s="11"/>
      <c r="Y734" s="11"/>
      <c r="Z734" s="11"/>
      <c r="AA734" s="11"/>
      <c r="AB734" s="11"/>
      <c r="AC734" s="11"/>
      <c r="AD734" s="11"/>
      <c r="AE734" s="11"/>
      <c r="AF734" s="11"/>
      <c r="AG734" s="6"/>
      <c r="AH734" s="6"/>
      <c r="AI734" s="6"/>
      <c r="AJ734" s="6"/>
      <c r="AK734" s="6"/>
      <c r="AL734" s="6"/>
      <c r="AM734" s="6"/>
      <c r="AN734" s="6"/>
      <c r="AO734" s="6"/>
      <c r="AP734" s="6"/>
      <c r="AQ734" s="6"/>
      <c r="AR734" s="6"/>
      <c r="AS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11"/>
      <c r="X735" s="11"/>
      <c r="Y735" s="11"/>
      <c r="Z735" s="11"/>
      <c r="AA735" s="11"/>
      <c r="AB735" s="11"/>
      <c r="AC735" s="11"/>
      <c r="AD735" s="11"/>
      <c r="AE735" s="11"/>
      <c r="AF735" s="11"/>
      <c r="AG735" s="6"/>
      <c r="AH735" s="6"/>
      <c r="AI735" s="6"/>
      <c r="AJ735" s="6"/>
      <c r="AK735" s="6"/>
      <c r="AL735" s="6"/>
      <c r="AM735" s="6"/>
      <c r="AN735" s="6"/>
      <c r="AO735" s="6"/>
      <c r="AP735" s="6"/>
      <c r="AQ735" s="6"/>
      <c r="AR735" s="6"/>
      <c r="AS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11"/>
      <c r="X736" s="11"/>
      <c r="Y736" s="11"/>
      <c r="Z736" s="11"/>
      <c r="AA736" s="11"/>
      <c r="AB736" s="11"/>
      <c r="AC736" s="11"/>
      <c r="AD736" s="11"/>
      <c r="AE736" s="11"/>
      <c r="AF736" s="11"/>
      <c r="AG736" s="6"/>
      <c r="AH736" s="6"/>
      <c r="AI736" s="6"/>
      <c r="AJ736" s="6"/>
      <c r="AK736" s="6"/>
      <c r="AL736" s="6"/>
      <c r="AM736" s="6"/>
      <c r="AN736" s="6"/>
      <c r="AO736" s="6"/>
      <c r="AP736" s="6"/>
      <c r="AQ736" s="6"/>
      <c r="AR736" s="6"/>
      <c r="AS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11"/>
      <c r="X737" s="11"/>
      <c r="Y737" s="11"/>
      <c r="Z737" s="11"/>
      <c r="AA737" s="11"/>
      <c r="AB737" s="11"/>
      <c r="AC737" s="11"/>
      <c r="AD737" s="11"/>
      <c r="AE737" s="11"/>
      <c r="AF737" s="11"/>
      <c r="AG737" s="6"/>
      <c r="AH737" s="6"/>
      <c r="AI737" s="6"/>
      <c r="AJ737" s="6"/>
      <c r="AK737" s="6"/>
      <c r="AL737" s="6"/>
      <c r="AM737" s="6"/>
      <c r="AN737" s="6"/>
      <c r="AO737" s="6"/>
      <c r="AP737" s="6"/>
      <c r="AQ737" s="6"/>
      <c r="AR737" s="6"/>
      <c r="AS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11"/>
      <c r="X738" s="11"/>
      <c r="Y738" s="11"/>
      <c r="Z738" s="11"/>
      <c r="AA738" s="11"/>
      <c r="AB738" s="11"/>
      <c r="AC738" s="11"/>
      <c r="AD738" s="11"/>
      <c r="AE738" s="11"/>
      <c r="AF738" s="11"/>
      <c r="AG738" s="6"/>
      <c r="AH738" s="6"/>
      <c r="AI738" s="6"/>
      <c r="AJ738" s="6"/>
      <c r="AK738" s="6"/>
      <c r="AL738" s="6"/>
      <c r="AM738" s="6"/>
      <c r="AN738" s="6"/>
      <c r="AO738" s="6"/>
      <c r="AP738" s="6"/>
      <c r="AQ738" s="6"/>
      <c r="AR738" s="6"/>
      <c r="AS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11"/>
      <c r="X739" s="11"/>
      <c r="Y739" s="11"/>
      <c r="Z739" s="11"/>
      <c r="AA739" s="11"/>
      <c r="AB739" s="11"/>
      <c r="AC739" s="11"/>
      <c r="AD739" s="11"/>
      <c r="AE739" s="11"/>
      <c r="AF739" s="11"/>
      <c r="AG739" s="6"/>
      <c r="AH739" s="6"/>
      <c r="AI739" s="6"/>
      <c r="AJ739" s="6"/>
      <c r="AK739" s="6"/>
      <c r="AL739" s="6"/>
      <c r="AM739" s="6"/>
      <c r="AN739" s="6"/>
      <c r="AO739" s="6"/>
      <c r="AP739" s="6"/>
      <c r="AQ739" s="6"/>
      <c r="AR739" s="6"/>
      <c r="AS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11"/>
      <c r="X740" s="11"/>
      <c r="Y740" s="11"/>
      <c r="Z740" s="11"/>
      <c r="AA740" s="11"/>
      <c r="AB740" s="11"/>
      <c r="AC740" s="11"/>
      <c r="AD740" s="11"/>
      <c r="AE740" s="11"/>
      <c r="AF740" s="11"/>
      <c r="AG740" s="6"/>
      <c r="AH740" s="6"/>
      <c r="AI740" s="6"/>
      <c r="AJ740" s="6"/>
      <c r="AK740" s="6"/>
      <c r="AL740" s="6"/>
      <c r="AM740" s="6"/>
      <c r="AN740" s="6"/>
      <c r="AO740" s="6"/>
      <c r="AP740" s="6"/>
      <c r="AQ740" s="6"/>
      <c r="AR740" s="6"/>
      <c r="AS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11"/>
      <c r="X741" s="11"/>
      <c r="Y741" s="11"/>
      <c r="Z741" s="11"/>
      <c r="AA741" s="11"/>
      <c r="AB741" s="11"/>
      <c r="AC741" s="11"/>
      <c r="AD741" s="11"/>
      <c r="AE741" s="11"/>
      <c r="AF741" s="11"/>
      <c r="AG741" s="6"/>
      <c r="AH741" s="6"/>
      <c r="AI741" s="6"/>
      <c r="AJ741" s="6"/>
      <c r="AK741" s="6"/>
      <c r="AL741" s="6"/>
      <c r="AM741" s="6"/>
      <c r="AN741" s="6"/>
      <c r="AO741" s="6"/>
      <c r="AP741" s="6"/>
      <c r="AQ741" s="6"/>
      <c r="AR741" s="6"/>
      <c r="AS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11"/>
      <c r="X742" s="11"/>
      <c r="Y742" s="11"/>
      <c r="Z742" s="11"/>
      <c r="AA742" s="11"/>
      <c r="AB742" s="11"/>
      <c r="AC742" s="11"/>
      <c r="AD742" s="11"/>
      <c r="AE742" s="11"/>
      <c r="AF742" s="11"/>
      <c r="AG742" s="6"/>
      <c r="AH742" s="6"/>
      <c r="AI742" s="6"/>
      <c r="AJ742" s="6"/>
      <c r="AK742" s="6"/>
      <c r="AL742" s="6"/>
      <c r="AM742" s="6"/>
      <c r="AN742" s="6"/>
      <c r="AO742" s="6"/>
      <c r="AP742" s="6"/>
      <c r="AQ742" s="6"/>
      <c r="AR742" s="6"/>
      <c r="AS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11"/>
      <c r="X743" s="11"/>
      <c r="Y743" s="11"/>
      <c r="Z743" s="11"/>
      <c r="AA743" s="11"/>
      <c r="AB743" s="11"/>
      <c r="AC743" s="11"/>
      <c r="AD743" s="11"/>
      <c r="AE743" s="11"/>
      <c r="AF743" s="11"/>
      <c r="AG743" s="6"/>
      <c r="AH743" s="6"/>
      <c r="AI743" s="6"/>
      <c r="AJ743" s="6"/>
      <c r="AK743" s="6"/>
      <c r="AL743" s="6"/>
      <c r="AM743" s="6"/>
      <c r="AN743" s="6"/>
      <c r="AO743" s="6"/>
      <c r="AP743" s="6"/>
      <c r="AQ743" s="6"/>
      <c r="AR743" s="6"/>
      <c r="AS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11"/>
      <c r="X744" s="11"/>
      <c r="Y744" s="11"/>
      <c r="Z744" s="11"/>
      <c r="AA744" s="11"/>
      <c r="AB744" s="11"/>
      <c r="AC744" s="11"/>
      <c r="AD744" s="11"/>
      <c r="AE744" s="11"/>
      <c r="AF744" s="11"/>
      <c r="AG744" s="6"/>
      <c r="AH744" s="6"/>
      <c r="AI744" s="6"/>
      <c r="AJ744" s="6"/>
      <c r="AK744" s="6"/>
      <c r="AL744" s="6"/>
      <c r="AM744" s="6"/>
      <c r="AN744" s="6"/>
      <c r="AO744" s="6"/>
      <c r="AP744" s="6"/>
      <c r="AQ744" s="6"/>
      <c r="AR744" s="6"/>
      <c r="AS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11"/>
      <c r="X745" s="11"/>
      <c r="Y745" s="11"/>
      <c r="Z745" s="11"/>
      <c r="AA745" s="11"/>
      <c r="AB745" s="11"/>
      <c r="AC745" s="11"/>
      <c r="AD745" s="11"/>
      <c r="AE745" s="11"/>
      <c r="AF745" s="11"/>
      <c r="AG745" s="6"/>
      <c r="AH745" s="6"/>
      <c r="AI745" s="6"/>
      <c r="AJ745" s="6"/>
      <c r="AK745" s="6"/>
      <c r="AL745" s="6"/>
      <c r="AM745" s="6"/>
      <c r="AN745" s="6"/>
      <c r="AO745" s="6"/>
      <c r="AP745" s="6"/>
      <c r="AQ745" s="6"/>
      <c r="AR745" s="6"/>
      <c r="AS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11"/>
      <c r="X746" s="11"/>
      <c r="Y746" s="11"/>
      <c r="Z746" s="11"/>
      <c r="AA746" s="11"/>
      <c r="AB746" s="11"/>
      <c r="AC746" s="11"/>
      <c r="AD746" s="11"/>
      <c r="AE746" s="11"/>
      <c r="AF746" s="11"/>
      <c r="AG746" s="6"/>
      <c r="AH746" s="6"/>
      <c r="AI746" s="6"/>
      <c r="AJ746" s="6"/>
      <c r="AK746" s="6"/>
      <c r="AL746" s="6"/>
      <c r="AM746" s="6"/>
      <c r="AN746" s="6"/>
      <c r="AO746" s="6"/>
      <c r="AP746" s="6"/>
      <c r="AQ746" s="6"/>
      <c r="AR746" s="6"/>
      <c r="AS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11"/>
      <c r="X747" s="11"/>
      <c r="Y747" s="11"/>
      <c r="Z747" s="11"/>
      <c r="AA747" s="11"/>
      <c r="AB747" s="11"/>
      <c r="AC747" s="11"/>
      <c r="AD747" s="11"/>
      <c r="AE747" s="11"/>
      <c r="AF747" s="11"/>
      <c r="AG747" s="6"/>
      <c r="AH747" s="6"/>
      <c r="AI747" s="6"/>
      <c r="AJ747" s="6"/>
      <c r="AK747" s="6"/>
      <c r="AL747" s="6"/>
      <c r="AM747" s="6"/>
      <c r="AN747" s="6"/>
      <c r="AO747" s="6"/>
      <c r="AP747" s="6"/>
      <c r="AQ747" s="6"/>
      <c r="AR747" s="6"/>
      <c r="AS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11"/>
      <c r="X748" s="11"/>
      <c r="Y748" s="11"/>
      <c r="Z748" s="11"/>
      <c r="AA748" s="11"/>
      <c r="AB748" s="11"/>
      <c r="AC748" s="11"/>
      <c r="AD748" s="11"/>
      <c r="AE748" s="11"/>
      <c r="AF748" s="11"/>
      <c r="AG748" s="6"/>
      <c r="AH748" s="6"/>
      <c r="AI748" s="6"/>
      <c r="AJ748" s="6"/>
      <c r="AK748" s="6"/>
      <c r="AL748" s="6"/>
      <c r="AM748" s="6"/>
      <c r="AN748" s="6"/>
      <c r="AO748" s="6"/>
      <c r="AP748" s="6"/>
      <c r="AQ748" s="6"/>
      <c r="AR748" s="6"/>
      <c r="AS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11"/>
      <c r="X749" s="11"/>
      <c r="Y749" s="11"/>
      <c r="Z749" s="11"/>
      <c r="AA749" s="11"/>
      <c r="AB749" s="11"/>
      <c r="AC749" s="11"/>
      <c r="AD749" s="11"/>
      <c r="AE749" s="11"/>
      <c r="AF749" s="11"/>
      <c r="AG749" s="6"/>
      <c r="AH749" s="6"/>
      <c r="AI749" s="6"/>
      <c r="AJ749" s="6"/>
      <c r="AK749" s="6"/>
      <c r="AL749" s="6"/>
      <c r="AM749" s="6"/>
      <c r="AN749" s="6"/>
      <c r="AO749" s="6"/>
      <c r="AP749" s="6"/>
      <c r="AQ749" s="6"/>
      <c r="AR749" s="6"/>
      <c r="AS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11"/>
      <c r="X750" s="11"/>
      <c r="Y750" s="11"/>
      <c r="Z750" s="11"/>
      <c r="AA750" s="11"/>
      <c r="AB750" s="11"/>
      <c r="AC750" s="11"/>
      <c r="AD750" s="11"/>
      <c r="AE750" s="11"/>
      <c r="AF750" s="11"/>
      <c r="AG750" s="6"/>
      <c r="AH750" s="6"/>
      <c r="AI750" s="6"/>
      <c r="AJ750" s="6"/>
      <c r="AK750" s="6"/>
      <c r="AL750" s="6"/>
      <c r="AM750" s="6"/>
      <c r="AN750" s="6"/>
      <c r="AO750" s="6"/>
      <c r="AP750" s="6"/>
      <c r="AQ750" s="6"/>
      <c r="AR750" s="6"/>
      <c r="AS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11"/>
      <c r="X751" s="11"/>
      <c r="Y751" s="11"/>
      <c r="Z751" s="11"/>
      <c r="AA751" s="11"/>
      <c r="AB751" s="11"/>
      <c r="AC751" s="11"/>
      <c r="AD751" s="11"/>
      <c r="AE751" s="11"/>
      <c r="AF751" s="11"/>
      <c r="AG751" s="6"/>
      <c r="AH751" s="6"/>
      <c r="AI751" s="6"/>
      <c r="AJ751" s="6"/>
      <c r="AK751" s="6"/>
      <c r="AL751" s="6"/>
      <c r="AM751" s="6"/>
      <c r="AN751" s="6"/>
      <c r="AO751" s="6"/>
      <c r="AP751" s="6"/>
      <c r="AQ751" s="6"/>
      <c r="AR751" s="6"/>
      <c r="AS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11"/>
      <c r="X752" s="11"/>
      <c r="Y752" s="11"/>
      <c r="Z752" s="11"/>
      <c r="AA752" s="11"/>
      <c r="AB752" s="11"/>
      <c r="AC752" s="11"/>
      <c r="AD752" s="11"/>
      <c r="AE752" s="11"/>
      <c r="AF752" s="11"/>
      <c r="AG752" s="6"/>
      <c r="AH752" s="6"/>
      <c r="AI752" s="6"/>
      <c r="AJ752" s="6"/>
      <c r="AK752" s="6"/>
      <c r="AL752" s="6"/>
      <c r="AM752" s="6"/>
      <c r="AN752" s="6"/>
      <c r="AO752" s="6"/>
      <c r="AP752" s="6"/>
      <c r="AQ752" s="6"/>
      <c r="AR752" s="6"/>
      <c r="AS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11"/>
      <c r="X753" s="11"/>
      <c r="Y753" s="11"/>
      <c r="Z753" s="11"/>
      <c r="AA753" s="11"/>
      <c r="AB753" s="11"/>
      <c r="AC753" s="11"/>
      <c r="AD753" s="11"/>
      <c r="AE753" s="11"/>
      <c r="AF753" s="11"/>
      <c r="AG753" s="6"/>
      <c r="AH753" s="6"/>
      <c r="AI753" s="6"/>
      <c r="AJ753" s="6"/>
      <c r="AK753" s="6"/>
      <c r="AL753" s="6"/>
      <c r="AM753" s="6"/>
      <c r="AN753" s="6"/>
      <c r="AO753" s="6"/>
      <c r="AP753" s="6"/>
      <c r="AQ753" s="6"/>
      <c r="AR753" s="6"/>
      <c r="AS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11"/>
      <c r="X754" s="11"/>
      <c r="Y754" s="11"/>
      <c r="Z754" s="11"/>
      <c r="AA754" s="11"/>
      <c r="AB754" s="11"/>
      <c r="AC754" s="11"/>
      <c r="AD754" s="11"/>
      <c r="AE754" s="11"/>
      <c r="AF754" s="11"/>
      <c r="AG754" s="6"/>
      <c r="AH754" s="6"/>
      <c r="AI754" s="6"/>
      <c r="AJ754" s="6"/>
      <c r="AK754" s="6"/>
      <c r="AL754" s="6"/>
      <c r="AM754" s="6"/>
      <c r="AN754" s="6"/>
      <c r="AO754" s="6"/>
      <c r="AP754" s="6"/>
      <c r="AQ754" s="6"/>
      <c r="AR754" s="6"/>
      <c r="AS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11"/>
      <c r="X755" s="11"/>
      <c r="Y755" s="11"/>
      <c r="Z755" s="11"/>
      <c r="AA755" s="11"/>
      <c r="AB755" s="11"/>
      <c r="AC755" s="11"/>
      <c r="AD755" s="11"/>
      <c r="AE755" s="11"/>
      <c r="AF755" s="11"/>
      <c r="AG755" s="6"/>
      <c r="AH755" s="6"/>
      <c r="AI755" s="6"/>
      <c r="AJ755" s="6"/>
      <c r="AK755" s="6"/>
      <c r="AL755" s="6"/>
      <c r="AM755" s="6"/>
      <c r="AN755" s="6"/>
      <c r="AO755" s="6"/>
      <c r="AP755" s="6"/>
      <c r="AQ755" s="6"/>
      <c r="AR755" s="6"/>
      <c r="AS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11"/>
      <c r="X756" s="11"/>
      <c r="Y756" s="11"/>
      <c r="Z756" s="11"/>
      <c r="AA756" s="11"/>
      <c r="AB756" s="11"/>
      <c r="AC756" s="11"/>
      <c r="AD756" s="11"/>
      <c r="AE756" s="11"/>
      <c r="AF756" s="11"/>
      <c r="AG756" s="6"/>
      <c r="AH756" s="6"/>
      <c r="AI756" s="6"/>
      <c r="AJ756" s="6"/>
      <c r="AK756" s="6"/>
      <c r="AL756" s="6"/>
      <c r="AM756" s="6"/>
      <c r="AN756" s="6"/>
      <c r="AO756" s="6"/>
      <c r="AP756" s="6"/>
      <c r="AQ756" s="6"/>
      <c r="AR756" s="6"/>
      <c r="AS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11"/>
      <c r="X757" s="11"/>
      <c r="Y757" s="11"/>
      <c r="Z757" s="11"/>
      <c r="AA757" s="11"/>
      <c r="AB757" s="11"/>
      <c r="AC757" s="11"/>
      <c r="AD757" s="11"/>
      <c r="AE757" s="11"/>
      <c r="AF757" s="11"/>
      <c r="AG757" s="6"/>
      <c r="AH757" s="6"/>
      <c r="AI757" s="6"/>
      <c r="AJ757" s="6"/>
      <c r="AK757" s="6"/>
      <c r="AL757" s="6"/>
      <c r="AM757" s="6"/>
      <c r="AN757" s="6"/>
      <c r="AO757" s="6"/>
      <c r="AP757" s="6"/>
      <c r="AQ757" s="6"/>
      <c r="AR757" s="6"/>
      <c r="AS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11"/>
      <c r="X758" s="11"/>
      <c r="Y758" s="11"/>
      <c r="Z758" s="11"/>
      <c r="AA758" s="11"/>
      <c r="AB758" s="11"/>
      <c r="AC758" s="11"/>
      <c r="AD758" s="11"/>
      <c r="AE758" s="11"/>
      <c r="AF758" s="11"/>
      <c r="AG758" s="6"/>
      <c r="AH758" s="6"/>
      <c r="AI758" s="6"/>
      <c r="AJ758" s="6"/>
      <c r="AK758" s="6"/>
      <c r="AL758" s="6"/>
      <c r="AM758" s="6"/>
      <c r="AN758" s="6"/>
      <c r="AO758" s="6"/>
      <c r="AP758" s="6"/>
      <c r="AQ758" s="6"/>
      <c r="AR758" s="6"/>
      <c r="AS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11"/>
      <c r="X759" s="11"/>
      <c r="Y759" s="11"/>
      <c r="Z759" s="11"/>
      <c r="AA759" s="11"/>
      <c r="AB759" s="11"/>
      <c r="AC759" s="11"/>
      <c r="AD759" s="11"/>
      <c r="AE759" s="11"/>
      <c r="AF759" s="11"/>
      <c r="AG759" s="6"/>
      <c r="AH759" s="6"/>
      <c r="AI759" s="6"/>
      <c r="AJ759" s="6"/>
      <c r="AK759" s="6"/>
      <c r="AL759" s="6"/>
      <c r="AM759" s="6"/>
      <c r="AN759" s="6"/>
      <c r="AO759" s="6"/>
      <c r="AP759" s="6"/>
      <c r="AQ759" s="6"/>
      <c r="AR759" s="6"/>
      <c r="AS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11"/>
      <c r="X760" s="11"/>
      <c r="Y760" s="11"/>
      <c r="Z760" s="11"/>
      <c r="AA760" s="11"/>
      <c r="AB760" s="11"/>
      <c r="AC760" s="11"/>
      <c r="AD760" s="11"/>
      <c r="AE760" s="11"/>
      <c r="AF760" s="11"/>
      <c r="AG760" s="6"/>
      <c r="AH760" s="6"/>
      <c r="AI760" s="6"/>
      <c r="AJ760" s="6"/>
      <c r="AK760" s="6"/>
      <c r="AL760" s="6"/>
      <c r="AM760" s="6"/>
      <c r="AN760" s="6"/>
      <c r="AO760" s="6"/>
      <c r="AP760" s="6"/>
      <c r="AQ760" s="6"/>
      <c r="AR760" s="6"/>
      <c r="AS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11"/>
      <c r="X761" s="11"/>
      <c r="Y761" s="11"/>
      <c r="Z761" s="11"/>
      <c r="AA761" s="11"/>
      <c r="AB761" s="11"/>
      <c r="AC761" s="11"/>
      <c r="AD761" s="11"/>
      <c r="AE761" s="11"/>
      <c r="AF761" s="11"/>
      <c r="AG761" s="6"/>
      <c r="AH761" s="6"/>
      <c r="AI761" s="6"/>
      <c r="AJ761" s="6"/>
      <c r="AK761" s="6"/>
      <c r="AL761" s="6"/>
      <c r="AM761" s="6"/>
      <c r="AN761" s="6"/>
      <c r="AO761" s="6"/>
      <c r="AP761" s="6"/>
      <c r="AQ761" s="6"/>
      <c r="AR761" s="6"/>
      <c r="AS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11"/>
      <c r="X762" s="11"/>
      <c r="Y762" s="11"/>
      <c r="Z762" s="11"/>
      <c r="AA762" s="11"/>
      <c r="AB762" s="11"/>
      <c r="AC762" s="11"/>
      <c r="AD762" s="11"/>
      <c r="AE762" s="11"/>
      <c r="AF762" s="11"/>
      <c r="AG762" s="6"/>
      <c r="AH762" s="6"/>
      <c r="AI762" s="6"/>
      <c r="AJ762" s="6"/>
      <c r="AK762" s="6"/>
      <c r="AL762" s="6"/>
      <c r="AM762" s="6"/>
      <c r="AN762" s="6"/>
      <c r="AO762" s="6"/>
      <c r="AP762" s="6"/>
      <c r="AQ762" s="6"/>
      <c r="AR762" s="6"/>
      <c r="AS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11"/>
      <c r="X763" s="11"/>
      <c r="Y763" s="11"/>
      <c r="Z763" s="11"/>
      <c r="AA763" s="11"/>
      <c r="AB763" s="11"/>
      <c r="AC763" s="11"/>
      <c r="AD763" s="11"/>
      <c r="AE763" s="11"/>
      <c r="AF763" s="11"/>
      <c r="AG763" s="6"/>
      <c r="AH763" s="6"/>
      <c r="AI763" s="6"/>
      <c r="AJ763" s="6"/>
      <c r="AK763" s="6"/>
      <c r="AL763" s="6"/>
      <c r="AM763" s="6"/>
      <c r="AN763" s="6"/>
      <c r="AO763" s="6"/>
      <c r="AP763" s="6"/>
      <c r="AQ763" s="6"/>
      <c r="AR763" s="6"/>
      <c r="AS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11"/>
      <c r="X764" s="11"/>
      <c r="Y764" s="11"/>
      <c r="Z764" s="11"/>
      <c r="AA764" s="11"/>
      <c r="AB764" s="11"/>
      <c r="AC764" s="11"/>
      <c r="AD764" s="11"/>
      <c r="AE764" s="11"/>
      <c r="AF764" s="11"/>
      <c r="AG764" s="6"/>
      <c r="AH764" s="6"/>
      <c r="AI764" s="6"/>
      <c r="AJ764" s="6"/>
      <c r="AK764" s="6"/>
      <c r="AL764" s="6"/>
      <c r="AM764" s="6"/>
      <c r="AN764" s="6"/>
      <c r="AO764" s="6"/>
      <c r="AP764" s="6"/>
      <c r="AQ764" s="6"/>
      <c r="AR764" s="6"/>
      <c r="AS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11"/>
      <c r="X765" s="11"/>
      <c r="Y765" s="11"/>
      <c r="Z765" s="11"/>
      <c r="AA765" s="11"/>
      <c r="AB765" s="11"/>
      <c r="AC765" s="11"/>
      <c r="AD765" s="11"/>
      <c r="AE765" s="11"/>
      <c r="AF765" s="11"/>
      <c r="AG765" s="6"/>
      <c r="AH765" s="6"/>
      <c r="AI765" s="6"/>
      <c r="AJ765" s="6"/>
      <c r="AK765" s="6"/>
      <c r="AL765" s="6"/>
      <c r="AM765" s="6"/>
      <c r="AN765" s="6"/>
      <c r="AO765" s="6"/>
      <c r="AP765" s="6"/>
      <c r="AQ765" s="6"/>
      <c r="AR765" s="6"/>
      <c r="AS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11"/>
      <c r="X766" s="11"/>
      <c r="Y766" s="11"/>
      <c r="Z766" s="11"/>
      <c r="AA766" s="11"/>
      <c r="AB766" s="11"/>
      <c r="AC766" s="11"/>
      <c r="AD766" s="11"/>
      <c r="AE766" s="11"/>
      <c r="AF766" s="11"/>
      <c r="AG766" s="6"/>
      <c r="AH766" s="6"/>
      <c r="AI766" s="6"/>
      <c r="AJ766" s="6"/>
      <c r="AK766" s="6"/>
      <c r="AL766" s="6"/>
      <c r="AM766" s="6"/>
      <c r="AN766" s="6"/>
      <c r="AO766" s="6"/>
      <c r="AP766" s="6"/>
      <c r="AQ766" s="6"/>
      <c r="AR766" s="6"/>
      <c r="AS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11"/>
      <c r="X767" s="11"/>
      <c r="Y767" s="11"/>
      <c r="Z767" s="11"/>
      <c r="AA767" s="11"/>
      <c r="AB767" s="11"/>
      <c r="AC767" s="11"/>
      <c r="AD767" s="11"/>
      <c r="AE767" s="11"/>
      <c r="AF767" s="11"/>
      <c r="AG767" s="6"/>
      <c r="AH767" s="6"/>
      <c r="AI767" s="6"/>
      <c r="AJ767" s="6"/>
      <c r="AK767" s="6"/>
      <c r="AL767" s="6"/>
      <c r="AM767" s="6"/>
      <c r="AN767" s="6"/>
      <c r="AO767" s="6"/>
      <c r="AP767" s="6"/>
      <c r="AQ767" s="6"/>
      <c r="AR767" s="6"/>
      <c r="AS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11"/>
      <c r="X768" s="11"/>
      <c r="Y768" s="11"/>
      <c r="Z768" s="11"/>
      <c r="AA768" s="11"/>
      <c r="AB768" s="11"/>
      <c r="AC768" s="11"/>
      <c r="AD768" s="11"/>
      <c r="AE768" s="11"/>
      <c r="AF768" s="11"/>
      <c r="AG768" s="6"/>
      <c r="AH768" s="6"/>
      <c r="AI768" s="6"/>
      <c r="AJ768" s="6"/>
      <c r="AK768" s="6"/>
      <c r="AL768" s="6"/>
      <c r="AM768" s="6"/>
      <c r="AN768" s="6"/>
      <c r="AO768" s="6"/>
      <c r="AP768" s="6"/>
      <c r="AQ768" s="6"/>
      <c r="AR768" s="6"/>
      <c r="AS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11"/>
      <c r="X769" s="11"/>
      <c r="Y769" s="11"/>
      <c r="Z769" s="11"/>
      <c r="AA769" s="11"/>
      <c r="AB769" s="11"/>
      <c r="AC769" s="11"/>
      <c r="AD769" s="11"/>
      <c r="AE769" s="11"/>
      <c r="AF769" s="11"/>
      <c r="AG769" s="6"/>
      <c r="AH769" s="6"/>
      <c r="AI769" s="6"/>
      <c r="AJ769" s="6"/>
      <c r="AK769" s="6"/>
      <c r="AL769" s="6"/>
      <c r="AM769" s="6"/>
      <c r="AN769" s="6"/>
      <c r="AO769" s="6"/>
      <c r="AP769" s="6"/>
      <c r="AQ769" s="6"/>
      <c r="AR769" s="6"/>
      <c r="AS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11"/>
      <c r="X770" s="11"/>
      <c r="Y770" s="11"/>
      <c r="Z770" s="11"/>
      <c r="AA770" s="11"/>
      <c r="AB770" s="11"/>
      <c r="AC770" s="11"/>
      <c r="AD770" s="11"/>
      <c r="AE770" s="11"/>
      <c r="AF770" s="11"/>
      <c r="AG770" s="6"/>
      <c r="AH770" s="6"/>
      <c r="AI770" s="6"/>
      <c r="AJ770" s="6"/>
      <c r="AK770" s="6"/>
      <c r="AL770" s="6"/>
      <c r="AM770" s="6"/>
      <c r="AN770" s="6"/>
      <c r="AO770" s="6"/>
      <c r="AP770" s="6"/>
      <c r="AQ770" s="6"/>
      <c r="AR770" s="6"/>
      <c r="AS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11"/>
      <c r="X771" s="11"/>
      <c r="Y771" s="11"/>
      <c r="Z771" s="11"/>
      <c r="AA771" s="11"/>
      <c r="AB771" s="11"/>
      <c r="AC771" s="11"/>
      <c r="AD771" s="11"/>
      <c r="AE771" s="11"/>
      <c r="AF771" s="11"/>
      <c r="AG771" s="6"/>
      <c r="AH771" s="6"/>
      <c r="AI771" s="6"/>
      <c r="AJ771" s="6"/>
      <c r="AK771" s="6"/>
      <c r="AL771" s="6"/>
      <c r="AM771" s="6"/>
      <c r="AN771" s="6"/>
      <c r="AO771" s="6"/>
      <c r="AP771" s="6"/>
      <c r="AQ771" s="6"/>
      <c r="AR771" s="6"/>
      <c r="AS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11"/>
      <c r="X772" s="11"/>
      <c r="Y772" s="11"/>
      <c r="Z772" s="11"/>
      <c r="AA772" s="11"/>
      <c r="AB772" s="11"/>
      <c r="AC772" s="11"/>
      <c r="AD772" s="11"/>
      <c r="AE772" s="11"/>
      <c r="AF772" s="11"/>
      <c r="AG772" s="6"/>
      <c r="AH772" s="6"/>
      <c r="AI772" s="6"/>
      <c r="AJ772" s="6"/>
      <c r="AK772" s="6"/>
      <c r="AL772" s="6"/>
      <c r="AM772" s="6"/>
      <c r="AN772" s="6"/>
      <c r="AO772" s="6"/>
      <c r="AP772" s="6"/>
      <c r="AQ772" s="6"/>
      <c r="AR772" s="6"/>
      <c r="AS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11"/>
      <c r="X773" s="11"/>
      <c r="Y773" s="11"/>
      <c r="Z773" s="11"/>
      <c r="AA773" s="11"/>
      <c r="AB773" s="11"/>
      <c r="AC773" s="11"/>
      <c r="AD773" s="11"/>
      <c r="AE773" s="11"/>
      <c r="AF773" s="11"/>
      <c r="AG773" s="6"/>
      <c r="AH773" s="6"/>
      <c r="AI773" s="6"/>
      <c r="AJ773" s="6"/>
      <c r="AK773" s="6"/>
      <c r="AL773" s="6"/>
      <c r="AM773" s="6"/>
      <c r="AN773" s="6"/>
      <c r="AO773" s="6"/>
      <c r="AP773" s="6"/>
      <c r="AQ773" s="6"/>
      <c r="AR773" s="6"/>
      <c r="AS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11"/>
      <c r="X774" s="11"/>
      <c r="Y774" s="11"/>
      <c r="Z774" s="11"/>
      <c r="AA774" s="11"/>
      <c r="AB774" s="11"/>
      <c r="AC774" s="11"/>
      <c r="AD774" s="11"/>
      <c r="AE774" s="11"/>
      <c r="AF774" s="11"/>
      <c r="AG774" s="6"/>
      <c r="AH774" s="6"/>
      <c r="AI774" s="6"/>
      <c r="AJ774" s="6"/>
      <c r="AK774" s="6"/>
      <c r="AL774" s="6"/>
      <c r="AM774" s="6"/>
      <c r="AN774" s="6"/>
      <c r="AO774" s="6"/>
      <c r="AP774" s="6"/>
      <c r="AQ774" s="6"/>
      <c r="AR774" s="6"/>
      <c r="AS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11"/>
      <c r="X775" s="11"/>
      <c r="Y775" s="11"/>
      <c r="Z775" s="11"/>
      <c r="AA775" s="11"/>
      <c r="AB775" s="11"/>
      <c r="AC775" s="11"/>
      <c r="AD775" s="11"/>
      <c r="AE775" s="11"/>
      <c r="AF775" s="11"/>
      <c r="AG775" s="6"/>
      <c r="AH775" s="6"/>
      <c r="AI775" s="6"/>
      <c r="AJ775" s="6"/>
      <c r="AK775" s="6"/>
      <c r="AL775" s="6"/>
      <c r="AM775" s="6"/>
      <c r="AN775" s="6"/>
      <c r="AO775" s="6"/>
      <c r="AP775" s="6"/>
      <c r="AQ775" s="6"/>
      <c r="AR775" s="6"/>
      <c r="AS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11"/>
      <c r="X776" s="11"/>
      <c r="Y776" s="11"/>
      <c r="Z776" s="11"/>
      <c r="AA776" s="11"/>
      <c r="AB776" s="11"/>
      <c r="AC776" s="11"/>
      <c r="AD776" s="11"/>
      <c r="AE776" s="11"/>
      <c r="AF776" s="11"/>
      <c r="AG776" s="6"/>
      <c r="AH776" s="6"/>
      <c r="AI776" s="6"/>
      <c r="AJ776" s="6"/>
      <c r="AK776" s="6"/>
      <c r="AL776" s="6"/>
      <c r="AM776" s="6"/>
      <c r="AN776" s="6"/>
      <c r="AO776" s="6"/>
      <c r="AP776" s="6"/>
      <c r="AQ776" s="6"/>
      <c r="AR776" s="6"/>
      <c r="AS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11"/>
      <c r="X777" s="11"/>
      <c r="Y777" s="11"/>
      <c r="Z777" s="11"/>
      <c r="AA777" s="11"/>
      <c r="AB777" s="11"/>
      <c r="AC777" s="11"/>
      <c r="AD777" s="11"/>
      <c r="AE777" s="11"/>
      <c r="AF777" s="11"/>
      <c r="AG777" s="6"/>
      <c r="AH777" s="6"/>
      <c r="AI777" s="6"/>
      <c r="AJ777" s="6"/>
      <c r="AK777" s="6"/>
      <c r="AL777" s="6"/>
      <c r="AM777" s="6"/>
      <c r="AN777" s="6"/>
      <c r="AO777" s="6"/>
      <c r="AP777" s="6"/>
      <c r="AQ777" s="6"/>
      <c r="AR777" s="6"/>
      <c r="AS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11"/>
      <c r="X778" s="11"/>
      <c r="Y778" s="11"/>
      <c r="Z778" s="11"/>
      <c r="AA778" s="11"/>
      <c r="AB778" s="11"/>
      <c r="AC778" s="11"/>
      <c r="AD778" s="11"/>
      <c r="AE778" s="11"/>
      <c r="AF778" s="11"/>
      <c r="AG778" s="6"/>
      <c r="AH778" s="6"/>
      <c r="AI778" s="6"/>
      <c r="AJ778" s="6"/>
      <c r="AK778" s="6"/>
      <c r="AL778" s="6"/>
      <c r="AM778" s="6"/>
      <c r="AN778" s="6"/>
      <c r="AO778" s="6"/>
      <c r="AP778" s="6"/>
      <c r="AQ778" s="6"/>
      <c r="AR778" s="6"/>
      <c r="AS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11"/>
      <c r="X779" s="11"/>
      <c r="Y779" s="11"/>
      <c r="Z779" s="11"/>
      <c r="AA779" s="11"/>
      <c r="AB779" s="11"/>
      <c r="AC779" s="11"/>
      <c r="AD779" s="11"/>
      <c r="AE779" s="11"/>
      <c r="AF779" s="11"/>
      <c r="AG779" s="6"/>
      <c r="AH779" s="6"/>
      <c r="AI779" s="6"/>
      <c r="AJ779" s="6"/>
      <c r="AK779" s="6"/>
      <c r="AL779" s="6"/>
      <c r="AM779" s="6"/>
      <c r="AN779" s="6"/>
      <c r="AO779" s="6"/>
      <c r="AP779" s="6"/>
      <c r="AQ779" s="6"/>
      <c r="AR779" s="6"/>
      <c r="AS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11"/>
      <c r="X780" s="11"/>
      <c r="Y780" s="11"/>
      <c r="Z780" s="11"/>
      <c r="AA780" s="11"/>
      <c r="AB780" s="11"/>
      <c r="AC780" s="11"/>
      <c r="AD780" s="11"/>
      <c r="AE780" s="11"/>
      <c r="AF780" s="11"/>
      <c r="AG780" s="6"/>
      <c r="AH780" s="6"/>
      <c r="AI780" s="6"/>
      <c r="AJ780" s="6"/>
      <c r="AK780" s="6"/>
      <c r="AL780" s="6"/>
      <c r="AM780" s="6"/>
      <c r="AN780" s="6"/>
      <c r="AO780" s="6"/>
      <c r="AP780" s="6"/>
      <c r="AQ780" s="6"/>
      <c r="AR780" s="6"/>
      <c r="AS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11"/>
      <c r="X781" s="11"/>
      <c r="Y781" s="11"/>
      <c r="Z781" s="11"/>
      <c r="AA781" s="11"/>
      <c r="AB781" s="11"/>
      <c r="AC781" s="11"/>
      <c r="AD781" s="11"/>
      <c r="AE781" s="11"/>
      <c r="AF781" s="11"/>
      <c r="AG781" s="6"/>
      <c r="AH781" s="6"/>
      <c r="AI781" s="6"/>
      <c r="AJ781" s="6"/>
      <c r="AK781" s="6"/>
      <c r="AL781" s="6"/>
      <c r="AM781" s="6"/>
      <c r="AN781" s="6"/>
      <c r="AO781" s="6"/>
      <c r="AP781" s="6"/>
      <c r="AQ781" s="6"/>
      <c r="AR781" s="6"/>
      <c r="AS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11"/>
      <c r="X782" s="11"/>
      <c r="Y782" s="11"/>
      <c r="Z782" s="11"/>
      <c r="AA782" s="11"/>
      <c r="AB782" s="11"/>
      <c r="AC782" s="11"/>
      <c r="AD782" s="11"/>
      <c r="AE782" s="11"/>
      <c r="AF782" s="11"/>
      <c r="AG782" s="6"/>
      <c r="AH782" s="6"/>
      <c r="AI782" s="6"/>
      <c r="AJ782" s="6"/>
      <c r="AK782" s="6"/>
      <c r="AL782" s="6"/>
      <c r="AM782" s="6"/>
      <c r="AN782" s="6"/>
      <c r="AO782" s="6"/>
      <c r="AP782" s="6"/>
      <c r="AQ782" s="6"/>
      <c r="AR782" s="6"/>
      <c r="AS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11"/>
      <c r="X783" s="11"/>
      <c r="Y783" s="11"/>
      <c r="Z783" s="11"/>
      <c r="AA783" s="11"/>
      <c r="AB783" s="11"/>
      <c r="AC783" s="11"/>
      <c r="AD783" s="11"/>
      <c r="AE783" s="11"/>
      <c r="AF783" s="11"/>
      <c r="AG783" s="6"/>
      <c r="AH783" s="6"/>
      <c r="AI783" s="6"/>
      <c r="AJ783" s="6"/>
      <c r="AK783" s="6"/>
      <c r="AL783" s="6"/>
      <c r="AM783" s="6"/>
      <c r="AN783" s="6"/>
      <c r="AO783" s="6"/>
      <c r="AP783" s="6"/>
      <c r="AQ783" s="6"/>
      <c r="AR783" s="6"/>
      <c r="AS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11"/>
      <c r="X784" s="11"/>
      <c r="Y784" s="11"/>
      <c r="Z784" s="11"/>
      <c r="AA784" s="11"/>
      <c r="AB784" s="11"/>
      <c r="AC784" s="11"/>
      <c r="AD784" s="11"/>
      <c r="AE784" s="11"/>
      <c r="AF784" s="11"/>
      <c r="AG784" s="6"/>
      <c r="AH784" s="6"/>
      <c r="AI784" s="6"/>
      <c r="AJ784" s="6"/>
      <c r="AK784" s="6"/>
      <c r="AL784" s="6"/>
      <c r="AM784" s="6"/>
      <c r="AN784" s="6"/>
      <c r="AO784" s="6"/>
      <c r="AP784" s="6"/>
      <c r="AQ784" s="6"/>
      <c r="AR784" s="6"/>
      <c r="AS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11"/>
      <c r="X785" s="11"/>
      <c r="Y785" s="11"/>
      <c r="Z785" s="11"/>
      <c r="AA785" s="11"/>
      <c r="AB785" s="11"/>
      <c r="AC785" s="11"/>
      <c r="AD785" s="11"/>
      <c r="AE785" s="11"/>
      <c r="AF785" s="11"/>
      <c r="AG785" s="6"/>
      <c r="AH785" s="6"/>
      <c r="AI785" s="6"/>
      <c r="AJ785" s="6"/>
      <c r="AK785" s="6"/>
      <c r="AL785" s="6"/>
      <c r="AM785" s="6"/>
      <c r="AN785" s="6"/>
      <c r="AO785" s="6"/>
      <c r="AP785" s="6"/>
      <c r="AQ785" s="6"/>
      <c r="AR785" s="6"/>
      <c r="AS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11"/>
      <c r="X786" s="11"/>
      <c r="Y786" s="11"/>
      <c r="Z786" s="11"/>
      <c r="AA786" s="11"/>
      <c r="AB786" s="11"/>
      <c r="AC786" s="11"/>
      <c r="AD786" s="11"/>
      <c r="AE786" s="11"/>
      <c r="AF786" s="11"/>
      <c r="AG786" s="6"/>
      <c r="AH786" s="6"/>
      <c r="AI786" s="6"/>
      <c r="AJ786" s="6"/>
      <c r="AK786" s="6"/>
      <c r="AL786" s="6"/>
      <c r="AM786" s="6"/>
      <c r="AN786" s="6"/>
      <c r="AO786" s="6"/>
      <c r="AP786" s="6"/>
      <c r="AQ786" s="6"/>
      <c r="AR786" s="6"/>
      <c r="AS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11"/>
      <c r="X787" s="11"/>
      <c r="Y787" s="11"/>
      <c r="Z787" s="11"/>
      <c r="AA787" s="11"/>
      <c r="AB787" s="11"/>
      <c r="AC787" s="11"/>
      <c r="AD787" s="11"/>
      <c r="AE787" s="11"/>
      <c r="AF787" s="11"/>
      <c r="AG787" s="6"/>
      <c r="AH787" s="6"/>
      <c r="AI787" s="6"/>
      <c r="AJ787" s="6"/>
      <c r="AK787" s="6"/>
      <c r="AL787" s="6"/>
      <c r="AM787" s="6"/>
      <c r="AN787" s="6"/>
      <c r="AO787" s="6"/>
      <c r="AP787" s="6"/>
      <c r="AQ787" s="6"/>
      <c r="AR787" s="6"/>
      <c r="AS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11"/>
      <c r="X788" s="11"/>
      <c r="Y788" s="11"/>
      <c r="Z788" s="11"/>
      <c r="AA788" s="11"/>
      <c r="AB788" s="11"/>
      <c r="AC788" s="11"/>
      <c r="AD788" s="11"/>
      <c r="AE788" s="11"/>
      <c r="AF788" s="11"/>
      <c r="AG788" s="6"/>
      <c r="AH788" s="6"/>
      <c r="AI788" s="6"/>
      <c r="AJ788" s="6"/>
      <c r="AK788" s="6"/>
      <c r="AL788" s="6"/>
      <c r="AM788" s="6"/>
      <c r="AN788" s="6"/>
      <c r="AO788" s="6"/>
      <c r="AP788" s="6"/>
      <c r="AQ788" s="6"/>
      <c r="AR788" s="6"/>
      <c r="AS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11"/>
      <c r="X789" s="11"/>
      <c r="Y789" s="11"/>
      <c r="Z789" s="11"/>
      <c r="AA789" s="11"/>
      <c r="AB789" s="11"/>
      <c r="AC789" s="11"/>
      <c r="AD789" s="11"/>
      <c r="AE789" s="11"/>
      <c r="AF789" s="11"/>
      <c r="AG789" s="6"/>
      <c r="AH789" s="6"/>
      <c r="AI789" s="6"/>
      <c r="AJ789" s="6"/>
      <c r="AK789" s="6"/>
      <c r="AL789" s="6"/>
      <c r="AM789" s="6"/>
      <c r="AN789" s="6"/>
      <c r="AO789" s="6"/>
      <c r="AP789" s="6"/>
      <c r="AQ789" s="6"/>
      <c r="AR789" s="6"/>
      <c r="AS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11"/>
      <c r="X790" s="11"/>
      <c r="Y790" s="11"/>
      <c r="Z790" s="11"/>
      <c r="AA790" s="11"/>
      <c r="AB790" s="11"/>
      <c r="AC790" s="11"/>
      <c r="AD790" s="11"/>
      <c r="AE790" s="11"/>
      <c r="AF790" s="11"/>
      <c r="AG790" s="6"/>
      <c r="AH790" s="6"/>
      <c r="AI790" s="6"/>
      <c r="AJ790" s="6"/>
      <c r="AK790" s="6"/>
      <c r="AL790" s="6"/>
      <c r="AM790" s="6"/>
      <c r="AN790" s="6"/>
      <c r="AO790" s="6"/>
      <c r="AP790" s="6"/>
      <c r="AQ790" s="6"/>
      <c r="AR790" s="6"/>
      <c r="AS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11"/>
      <c r="X791" s="11"/>
      <c r="Y791" s="11"/>
      <c r="Z791" s="11"/>
      <c r="AA791" s="11"/>
      <c r="AB791" s="11"/>
      <c r="AC791" s="11"/>
      <c r="AD791" s="11"/>
      <c r="AE791" s="11"/>
      <c r="AF791" s="11"/>
      <c r="AG791" s="6"/>
      <c r="AH791" s="6"/>
      <c r="AI791" s="6"/>
      <c r="AJ791" s="6"/>
      <c r="AK791" s="6"/>
      <c r="AL791" s="6"/>
      <c r="AM791" s="6"/>
      <c r="AN791" s="6"/>
      <c r="AO791" s="6"/>
      <c r="AP791" s="6"/>
      <c r="AQ791" s="6"/>
      <c r="AR791" s="6"/>
      <c r="AS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11"/>
      <c r="X792" s="11"/>
      <c r="Y792" s="11"/>
      <c r="Z792" s="11"/>
      <c r="AA792" s="11"/>
      <c r="AB792" s="11"/>
      <c r="AC792" s="11"/>
      <c r="AD792" s="11"/>
      <c r="AE792" s="11"/>
      <c r="AF792" s="11"/>
      <c r="AG792" s="6"/>
      <c r="AH792" s="6"/>
      <c r="AI792" s="6"/>
      <c r="AJ792" s="6"/>
      <c r="AK792" s="6"/>
      <c r="AL792" s="6"/>
      <c r="AM792" s="6"/>
      <c r="AN792" s="6"/>
      <c r="AO792" s="6"/>
      <c r="AP792" s="6"/>
      <c r="AQ792" s="6"/>
      <c r="AR792" s="6"/>
      <c r="AS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11"/>
      <c r="X793" s="11"/>
      <c r="Y793" s="11"/>
      <c r="Z793" s="11"/>
      <c r="AA793" s="11"/>
      <c r="AB793" s="11"/>
      <c r="AC793" s="11"/>
      <c r="AD793" s="11"/>
      <c r="AE793" s="11"/>
      <c r="AF793" s="11"/>
      <c r="AG793" s="6"/>
      <c r="AH793" s="6"/>
      <c r="AI793" s="6"/>
      <c r="AJ793" s="6"/>
      <c r="AK793" s="6"/>
      <c r="AL793" s="6"/>
      <c r="AM793" s="6"/>
      <c r="AN793" s="6"/>
      <c r="AO793" s="6"/>
      <c r="AP793" s="6"/>
      <c r="AQ793" s="6"/>
      <c r="AR793" s="6"/>
      <c r="AS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11"/>
      <c r="X794" s="11"/>
      <c r="Y794" s="11"/>
      <c r="Z794" s="11"/>
      <c r="AA794" s="11"/>
      <c r="AB794" s="11"/>
      <c r="AC794" s="11"/>
      <c r="AD794" s="11"/>
      <c r="AE794" s="11"/>
      <c r="AF794" s="11"/>
      <c r="AG794" s="6"/>
      <c r="AH794" s="6"/>
      <c r="AI794" s="6"/>
      <c r="AJ794" s="6"/>
      <c r="AK794" s="6"/>
      <c r="AL794" s="6"/>
      <c r="AM794" s="6"/>
      <c r="AN794" s="6"/>
      <c r="AO794" s="6"/>
      <c r="AP794" s="6"/>
      <c r="AQ794" s="6"/>
      <c r="AR794" s="6"/>
      <c r="AS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11"/>
      <c r="X795" s="11"/>
      <c r="Y795" s="11"/>
      <c r="Z795" s="11"/>
      <c r="AA795" s="11"/>
      <c r="AB795" s="11"/>
      <c r="AC795" s="11"/>
      <c r="AD795" s="11"/>
      <c r="AE795" s="11"/>
      <c r="AF795" s="11"/>
      <c r="AG795" s="6"/>
      <c r="AH795" s="6"/>
      <c r="AI795" s="6"/>
      <c r="AJ795" s="6"/>
      <c r="AK795" s="6"/>
      <c r="AL795" s="6"/>
      <c r="AM795" s="6"/>
      <c r="AN795" s="6"/>
      <c r="AO795" s="6"/>
      <c r="AP795" s="6"/>
      <c r="AQ795" s="6"/>
      <c r="AR795" s="6"/>
      <c r="AS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11"/>
      <c r="X796" s="11"/>
      <c r="Y796" s="11"/>
      <c r="Z796" s="11"/>
      <c r="AA796" s="11"/>
      <c r="AB796" s="11"/>
      <c r="AC796" s="11"/>
      <c r="AD796" s="11"/>
      <c r="AE796" s="11"/>
      <c r="AF796" s="11"/>
      <c r="AG796" s="6"/>
      <c r="AH796" s="6"/>
      <c r="AI796" s="6"/>
      <c r="AJ796" s="6"/>
      <c r="AK796" s="6"/>
      <c r="AL796" s="6"/>
      <c r="AM796" s="6"/>
      <c r="AN796" s="6"/>
      <c r="AO796" s="6"/>
      <c r="AP796" s="6"/>
      <c r="AQ796" s="6"/>
      <c r="AR796" s="6"/>
      <c r="AS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11"/>
      <c r="X797" s="11"/>
      <c r="Y797" s="11"/>
      <c r="Z797" s="11"/>
      <c r="AA797" s="11"/>
      <c r="AB797" s="11"/>
      <c r="AC797" s="11"/>
      <c r="AD797" s="11"/>
      <c r="AE797" s="11"/>
      <c r="AF797" s="11"/>
      <c r="AG797" s="6"/>
      <c r="AH797" s="6"/>
      <c r="AI797" s="6"/>
      <c r="AJ797" s="6"/>
      <c r="AK797" s="6"/>
      <c r="AL797" s="6"/>
      <c r="AM797" s="6"/>
      <c r="AN797" s="6"/>
      <c r="AO797" s="6"/>
      <c r="AP797" s="6"/>
      <c r="AQ797" s="6"/>
      <c r="AR797" s="6"/>
      <c r="AS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11"/>
      <c r="X798" s="11"/>
      <c r="Y798" s="11"/>
      <c r="Z798" s="11"/>
      <c r="AA798" s="11"/>
      <c r="AB798" s="11"/>
      <c r="AC798" s="11"/>
      <c r="AD798" s="11"/>
      <c r="AE798" s="11"/>
      <c r="AF798" s="11"/>
      <c r="AG798" s="6"/>
      <c r="AH798" s="6"/>
      <c r="AI798" s="6"/>
      <c r="AJ798" s="6"/>
      <c r="AK798" s="6"/>
      <c r="AL798" s="6"/>
      <c r="AM798" s="6"/>
      <c r="AN798" s="6"/>
      <c r="AO798" s="6"/>
      <c r="AP798" s="6"/>
      <c r="AQ798" s="6"/>
      <c r="AR798" s="6"/>
      <c r="AS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11"/>
      <c r="X799" s="11"/>
      <c r="Y799" s="11"/>
      <c r="Z799" s="11"/>
      <c r="AA799" s="11"/>
      <c r="AB799" s="11"/>
      <c r="AC799" s="11"/>
      <c r="AD799" s="11"/>
      <c r="AE799" s="11"/>
      <c r="AF799" s="11"/>
      <c r="AG799" s="6"/>
      <c r="AH799" s="6"/>
      <c r="AI799" s="6"/>
      <c r="AJ799" s="6"/>
      <c r="AK799" s="6"/>
      <c r="AL799" s="6"/>
      <c r="AM799" s="6"/>
      <c r="AN799" s="6"/>
      <c r="AO799" s="6"/>
      <c r="AP799" s="6"/>
      <c r="AQ799" s="6"/>
      <c r="AR799" s="6"/>
      <c r="AS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11"/>
      <c r="X800" s="11"/>
      <c r="Y800" s="11"/>
      <c r="Z800" s="11"/>
      <c r="AA800" s="11"/>
      <c r="AB800" s="11"/>
      <c r="AC800" s="11"/>
      <c r="AD800" s="11"/>
      <c r="AE800" s="11"/>
      <c r="AF800" s="11"/>
      <c r="AG800" s="6"/>
      <c r="AH800" s="6"/>
      <c r="AI800" s="6"/>
      <c r="AJ800" s="6"/>
      <c r="AK800" s="6"/>
      <c r="AL800" s="6"/>
      <c r="AM800" s="6"/>
      <c r="AN800" s="6"/>
      <c r="AO800" s="6"/>
      <c r="AP800" s="6"/>
      <c r="AQ800" s="6"/>
      <c r="AR800" s="6"/>
      <c r="AS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11"/>
      <c r="X801" s="11"/>
      <c r="Y801" s="11"/>
      <c r="Z801" s="11"/>
      <c r="AA801" s="11"/>
      <c r="AB801" s="11"/>
      <c r="AC801" s="11"/>
      <c r="AD801" s="11"/>
      <c r="AE801" s="11"/>
      <c r="AF801" s="11"/>
      <c r="AG801" s="6"/>
      <c r="AH801" s="6"/>
      <c r="AI801" s="6"/>
      <c r="AJ801" s="6"/>
      <c r="AK801" s="6"/>
      <c r="AL801" s="6"/>
      <c r="AM801" s="6"/>
      <c r="AN801" s="6"/>
      <c r="AO801" s="6"/>
      <c r="AP801" s="6"/>
      <c r="AQ801" s="6"/>
      <c r="AR801" s="6"/>
      <c r="AS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11"/>
      <c r="X802" s="11"/>
      <c r="Y802" s="11"/>
      <c r="Z802" s="11"/>
      <c r="AA802" s="11"/>
      <c r="AB802" s="11"/>
      <c r="AC802" s="11"/>
      <c r="AD802" s="11"/>
      <c r="AE802" s="11"/>
      <c r="AF802" s="11"/>
      <c r="AG802" s="6"/>
      <c r="AH802" s="6"/>
      <c r="AI802" s="6"/>
      <c r="AJ802" s="6"/>
      <c r="AK802" s="6"/>
      <c r="AL802" s="6"/>
      <c r="AM802" s="6"/>
      <c r="AN802" s="6"/>
      <c r="AO802" s="6"/>
      <c r="AP802" s="6"/>
      <c r="AQ802" s="6"/>
      <c r="AR802" s="6"/>
      <c r="AS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11"/>
      <c r="X803" s="11"/>
      <c r="Y803" s="11"/>
      <c r="Z803" s="11"/>
      <c r="AA803" s="11"/>
      <c r="AB803" s="11"/>
      <c r="AC803" s="11"/>
      <c r="AD803" s="11"/>
      <c r="AE803" s="11"/>
      <c r="AF803" s="11"/>
      <c r="AG803" s="6"/>
      <c r="AH803" s="6"/>
      <c r="AI803" s="6"/>
      <c r="AJ803" s="6"/>
      <c r="AK803" s="6"/>
      <c r="AL803" s="6"/>
      <c r="AM803" s="6"/>
      <c r="AN803" s="6"/>
      <c r="AO803" s="6"/>
      <c r="AP803" s="6"/>
      <c r="AQ803" s="6"/>
      <c r="AR803" s="6"/>
      <c r="AS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11"/>
      <c r="X804" s="11"/>
      <c r="Y804" s="11"/>
      <c r="Z804" s="11"/>
      <c r="AA804" s="11"/>
      <c r="AB804" s="11"/>
      <c r="AC804" s="11"/>
      <c r="AD804" s="11"/>
      <c r="AE804" s="11"/>
      <c r="AF804" s="11"/>
      <c r="AG804" s="6"/>
      <c r="AH804" s="6"/>
      <c r="AI804" s="6"/>
      <c r="AJ804" s="6"/>
      <c r="AK804" s="6"/>
      <c r="AL804" s="6"/>
      <c r="AM804" s="6"/>
      <c r="AN804" s="6"/>
      <c r="AO804" s="6"/>
      <c r="AP804" s="6"/>
      <c r="AQ804" s="6"/>
      <c r="AR804" s="6"/>
      <c r="AS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11"/>
      <c r="X805" s="11"/>
      <c r="Y805" s="11"/>
      <c r="Z805" s="11"/>
      <c r="AA805" s="11"/>
      <c r="AB805" s="11"/>
      <c r="AC805" s="11"/>
      <c r="AD805" s="11"/>
      <c r="AE805" s="11"/>
      <c r="AF805" s="11"/>
      <c r="AG805" s="6"/>
      <c r="AH805" s="6"/>
      <c r="AI805" s="6"/>
      <c r="AJ805" s="6"/>
      <c r="AK805" s="6"/>
      <c r="AL805" s="6"/>
      <c r="AM805" s="6"/>
      <c r="AN805" s="6"/>
      <c r="AO805" s="6"/>
      <c r="AP805" s="6"/>
      <c r="AQ805" s="6"/>
      <c r="AR805" s="6"/>
      <c r="AS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11"/>
      <c r="X806" s="11"/>
      <c r="Y806" s="11"/>
      <c r="Z806" s="11"/>
      <c r="AA806" s="11"/>
      <c r="AB806" s="11"/>
      <c r="AC806" s="11"/>
      <c r="AD806" s="11"/>
      <c r="AE806" s="11"/>
      <c r="AF806" s="11"/>
      <c r="AG806" s="6"/>
      <c r="AH806" s="6"/>
      <c r="AI806" s="6"/>
      <c r="AJ806" s="6"/>
      <c r="AK806" s="6"/>
      <c r="AL806" s="6"/>
      <c r="AM806" s="6"/>
      <c r="AN806" s="6"/>
      <c r="AO806" s="6"/>
      <c r="AP806" s="6"/>
      <c r="AQ806" s="6"/>
      <c r="AR806" s="6"/>
      <c r="AS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11"/>
      <c r="X807" s="11"/>
      <c r="Y807" s="11"/>
      <c r="Z807" s="11"/>
      <c r="AA807" s="11"/>
      <c r="AB807" s="11"/>
      <c r="AC807" s="11"/>
      <c r="AD807" s="11"/>
      <c r="AE807" s="11"/>
      <c r="AF807" s="11"/>
      <c r="AG807" s="6"/>
      <c r="AH807" s="6"/>
      <c r="AI807" s="6"/>
      <c r="AJ807" s="6"/>
      <c r="AK807" s="6"/>
      <c r="AL807" s="6"/>
      <c r="AM807" s="6"/>
      <c r="AN807" s="6"/>
      <c r="AO807" s="6"/>
      <c r="AP807" s="6"/>
      <c r="AQ807" s="6"/>
      <c r="AR807" s="6"/>
      <c r="AS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11"/>
      <c r="X808" s="11"/>
      <c r="Y808" s="11"/>
      <c r="Z808" s="11"/>
      <c r="AA808" s="11"/>
      <c r="AB808" s="11"/>
      <c r="AC808" s="11"/>
      <c r="AD808" s="11"/>
      <c r="AE808" s="11"/>
      <c r="AF808" s="11"/>
      <c r="AG808" s="6"/>
      <c r="AH808" s="6"/>
      <c r="AI808" s="6"/>
      <c r="AJ808" s="6"/>
      <c r="AK808" s="6"/>
      <c r="AL808" s="6"/>
      <c r="AM808" s="6"/>
      <c r="AN808" s="6"/>
      <c r="AO808" s="6"/>
      <c r="AP808" s="6"/>
      <c r="AQ808" s="6"/>
      <c r="AR808" s="6"/>
      <c r="AS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11"/>
      <c r="X809" s="11"/>
      <c r="Y809" s="11"/>
      <c r="Z809" s="11"/>
      <c r="AA809" s="11"/>
      <c r="AB809" s="11"/>
      <c r="AC809" s="11"/>
      <c r="AD809" s="11"/>
      <c r="AE809" s="11"/>
      <c r="AF809" s="11"/>
      <c r="AG809" s="6"/>
      <c r="AH809" s="6"/>
      <c r="AI809" s="6"/>
      <c r="AJ809" s="6"/>
      <c r="AK809" s="6"/>
      <c r="AL809" s="6"/>
      <c r="AM809" s="6"/>
      <c r="AN809" s="6"/>
      <c r="AO809" s="6"/>
      <c r="AP809" s="6"/>
      <c r="AQ809" s="6"/>
      <c r="AR809" s="6"/>
      <c r="AS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11"/>
      <c r="X810" s="11"/>
      <c r="Y810" s="11"/>
      <c r="Z810" s="11"/>
      <c r="AA810" s="11"/>
      <c r="AB810" s="11"/>
      <c r="AC810" s="11"/>
      <c r="AD810" s="11"/>
      <c r="AE810" s="11"/>
      <c r="AF810" s="11"/>
      <c r="AG810" s="6"/>
      <c r="AH810" s="6"/>
      <c r="AI810" s="6"/>
      <c r="AJ810" s="6"/>
      <c r="AK810" s="6"/>
      <c r="AL810" s="6"/>
      <c r="AM810" s="6"/>
      <c r="AN810" s="6"/>
      <c r="AO810" s="6"/>
      <c r="AP810" s="6"/>
      <c r="AQ810" s="6"/>
      <c r="AR810" s="6"/>
      <c r="AS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11"/>
      <c r="X811" s="11"/>
      <c r="Y811" s="11"/>
      <c r="Z811" s="11"/>
      <c r="AA811" s="11"/>
      <c r="AB811" s="11"/>
      <c r="AC811" s="11"/>
      <c r="AD811" s="11"/>
      <c r="AE811" s="11"/>
      <c r="AF811" s="11"/>
      <c r="AG811" s="6"/>
      <c r="AH811" s="6"/>
      <c r="AI811" s="6"/>
      <c r="AJ811" s="6"/>
      <c r="AK811" s="6"/>
      <c r="AL811" s="6"/>
      <c r="AM811" s="6"/>
      <c r="AN811" s="6"/>
      <c r="AO811" s="6"/>
      <c r="AP811" s="6"/>
      <c r="AQ811" s="6"/>
      <c r="AR811" s="6"/>
      <c r="AS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11"/>
      <c r="X812" s="11"/>
      <c r="Y812" s="11"/>
      <c r="Z812" s="11"/>
      <c r="AA812" s="11"/>
      <c r="AB812" s="11"/>
      <c r="AC812" s="11"/>
      <c r="AD812" s="11"/>
      <c r="AE812" s="11"/>
      <c r="AF812" s="11"/>
      <c r="AG812" s="6"/>
      <c r="AH812" s="6"/>
      <c r="AI812" s="6"/>
      <c r="AJ812" s="6"/>
      <c r="AK812" s="6"/>
      <c r="AL812" s="6"/>
      <c r="AM812" s="6"/>
      <c r="AN812" s="6"/>
      <c r="AO812" s="6"/>
      <c r="AP812" s="6"/>
      <c r="AQ812" s="6"/>
      <c r="AR812" s="6"/>
      <c r="AS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11"/>
      <c r="X813" s="11"/>
      <c r="Y813" s="11"/>
      <c r="Z813" s="11"/>
      <c r="AA813" s="11"/>
      <c r="AB813" s="11"/>
      <c r="AC813" s="11"/>
      <c r="AD813" s="11"/>
      <c r="AE813" s="11"/>
      <c r="AF813" s="11"/>
      <c r="AG813" s="6"/>
      <c r="AH813" s="6"/>
      <c r="AI813" s="6"/>
      <c r="AJ813" s="6"/>
      <c r="AK813" s="6"/>
      <c r="AL813" s="6"/>
      <c r="AM813" s="6"/>
      <c r="AN813" s="6"/>
      <c r="AO813" s="6"/>
      <c r="AP813" s="6"/>
      <c r="AQ813" s="6"/>
      <c r="AR813" s="6"/>
      <c r="AS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11"/>
      <c r="X814" s="11"/>
      <c r="Y814" s="11"/>
      <c r="Z814" s="11"/>
      <c r="AA814" s="11"/>
      <c r="AB814" s="11"/>
      <c r="AC814" s="11"/>
      <c r="AD814" s="11"/>
      <c r="AE814" s="11"/>
      <c r="AF814" s="11"/>
      <c r="AG814" s="6"/>
      <c r="AH814" s="6"/>
      <c r="AI814" s="6"/>
      <c r="AJ814" s="6"/>
      <c r="AK814" s="6"/>
      <c r="AL814" s="6"/>
      <c r="AM814" s="6"/>
      <c r="AN814" s="6"/>
      <c r="AO814" s="6"/>
      <c r="AP814" s="6"/>
      <c r="AQ814" s="6"/>
      <c r="AR814" s="6"/>
      <c r="AS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11"/>
      <c r="X815" s="11"/>
      <c r="Y815" s="11"/>
      <c r="Z815" s="11"/>
      <c r="AA815" s="11"/>
      <c r="AB815" s="11"/>
      <c r="AC815" s="11"/>
      <c r="AD815" s="11"/>
      <c r="AE815" s="11"/>
      <c r="AF815" s="11"/>
      <c r="AG815" s="6"/>
      <c r="AH815" s="6"/>
      <c r="AI815" s="6"/>
      <c r="AJ815" s="6"/>
      <c r="AK815" s="6"/>
      <c r="AL815" s="6"/>
      <c r="AM815" s="6"/>
      <c r="AN815" s="6"/>
      <c r="AO815" s="6"/>
      <c r="AP815" s="6"/>
      <c r="AQ815" s="6"/>
      <c r="AR815" s="6"/>
      <c r="AS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11"/>
      <c r="X816" s="11"/>
      <c r="Y816" s="11"/>
      <c r="Z816" s="11"/>
      <c r="AA816" s="11"/>
      <c r="AB816" s="11"/>
      <c r="AC816" s="11"/>
      <c r="AD816" s="11"/>
      <c r="AE816" s="11"/>
      <c r="AF816" s="11"/>
      <c r="AG816" s="6"/>
      <c r="AH816" s="6"/>
      <c r="AI816" s="6"/>
      <c r="AJ816" s="6"/>
      <c r="AK816" s="6"/>
      <c r="AL816" s="6"/>
      <c r="AM816" s="6"/>
      <c r="AN816" s="6"/>
      <c r="AO816" s="6"/>
      <c r="AP816" s="6"/>
      <c r="AQ816" s="6"/>
      <c r="AR816" s="6"/>
      <c r="AS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11"/>
      <c r="X817" s="11"/>
      <c r="Y817" s="11"/>
      <c r="Z817" s="11"/>
      <c r="AA817" s="11"/>
      <c r="AB817" s="11"/>
      <c r="AC817" s="11"/>
      <c r="AD817" s="11"/>
      <c r="AE817" s="11"/>
      <c r="AF817" s="11"/>
      <c r="AG817" s="6"/>
      <c r="AH817" s="6"/>
      <c r="AI817" s="6"/>
      <c r="AJ817" s="6"/>
      <c r="AK817" s="6"/>
      <c r="AL817" s="6"/>
      <c r="AM817" s="6"/>
      <c r="AN817" s="6"/>
      <c r="AO817" s="6"/>
      <c r="AP817" s="6"/>
      <c r="AQ817" s="6"/>
      <c r="AR817" s="6"/>
      <c r="AS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11"/>
      <c r="X818" s="11"/>
      <c r="Y818" s="11"/>
      <c r="Z818" s="11"/>
      <c r="AA818" s="11"/>
      <c r="AB818" s="11"/>
      <c r="AC818" s="11"/>
      <c r="AD818" s="11"/>
      <c r="AE818" s="11"/>
      <c r="AF818" s="11"/>
      <c r="AG818" s="6"/>
      <c r="AH818" s="6"/>
      <c r="AI818" s="6"/>
      <c r="AJ818" s="6"/>
      <c r="AK818" s="6"/>
      <c r="AL818" s="6"/>
      <c r="AM818" s="6"/>
      <c r="AN818" s="6"/>
      <c r="AO818" s="6"/>
      <c r="AP818" s="6"/>
      <c r="AQ818" s="6"/>
      <c r="AR818" s="6"/>
      <c r="AS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11"/>
      <c r="X819" s="11"/>
      <c r="Y819" s="11"/>
      <c r="Z819" s="11"/>
      <c r="AA819" s="11"/>
      <c r="AB819" s="11"/>
      <c r="AC819" s="11"/>
      <c r="AD819" s="11"/>
      <c r="AE819" s="11"/>
      <c r="AF819" s="11"/>
      <c r="AG819" s="6"/>
      <c r="AH819" s="6"/>
      <c r="AI819" s="6"/>
      <c r="AJ819" s="6"/>
      <c r="AK819" s="6"/>
      <c r="AL819" s="6"/>
      <c r="AM819" s="6"/>
      <c r="AN819" s="6"/>
      <c r="AO819" s="6"/>
      <c r="AP819" s="6"/>
      <c r="AQ819" s="6"/>
      <c r="AR819" s="6"/>
      <c r="AS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11"/>
      <c r="X820" s="11"/>
      <c r="Y820" s="11"/>
      <c r="Z820" s="11"/>
      <c r="AA820" s="11"/>
      <c r="AB820" s="11"/>
      <c r="AC820" s="11"/>
      <c r="AD820" s="11"/>
      <c r="AE820" s="11"/>
      <c r="AF820" s="11"/>
      <c r="AG820" s="6"/>
      <c r="AH820" s="6"/>
      <c r="AI820" s="6"/>
      <c r="AJ820" s="6"/>
      <c r="AK820" s="6"/>
      <c r="AL820" s="6"/>
      <c r="AM820" s="6"/>
      <c r="AN820" s="6"/>
      <c r="AO820" s="6"/>
      <c r="AP820" s="6"/>
      <c r="AQ820" s="6"/>
      <c r="AR820" s="6"/>
      <c r="AS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11"/>
      <c r="X821" s="11"/>
      <c r="Y821" s="11"/>
      <c r="Z821" s="11"/>
      <c r="AA821" s="11"/>
      <c r="AB821" s="11"/>
      <c r="AC821" s="11"/>
      <c r="AD821" s="11"/>
      <c r="AE821" s="11"/>
      <c r="AF821" s="11"/>
      <c r="AG821" s="6"/>
      <c r="AH821" s="6"/>
      <c r="AI821" s="6"/>
      <c r="AJ821" s="6"/>
      <c r="AK821" s="6"/>
      <c r="AL821" s="6"/>
      <c r="AM821" s="6"/>
      <c r="AN821" s="6"/>
      <c r="AO821" s="6"/>
      <c r="AP821" s="6"/>
      <c r="AQ821" s="6"/>
      <c r="AR821" s="6"/>
      <c r="AS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11"/>
      <c r="X822" s="11"/>
      <c r="Y822" s="11"/>
      <c r="Z822" s="11"/>
      <c r="AA822" s="11"/>
      <c r="AB822" s="11"/>
      <c r="AC822" s="11"/>
      <c r="AD822" s="11"/>
      <c r="AE822" s="11"/>
      <c r="AF822" s="11"/>
      <c r="AG822" s="6"/>
      <c r="AH822" s="6"/>
      <c r="AI822" s="6"/>
      <c r="AJ822" s="6"/>
      <c r="AK822" s="6"/>
      <c r="AL822" s="6"/>
      <c r="AM822" s="6"/>
      <c r="AN822" s="6"/>
      <c r="AO822" s="6"/>
      <c r="AP822" s="6"/>
      <c r="AQ822" s="6"/>
      <c r="AR822" s="6"/>
      <c r="AS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11"/>
      <c r="X823" s="11"/>
      <c r="Y823" s="11"/>
      <c r="Z823" s="11"/>
      <c r="AA823" s="11"/>
      <c r="AB823" s="11"/>
      <c r="AC823" s="11"/>
      <c r="AD823" s="11"/>
      <c r="AE823" s="11"/>
      <c r="AF823" s="11"/>
      <c r="AG823" s="6"/>
      <c r="AH823" s="6"/>
      <c r="AI823" s="6"/>
      <c r="AJ823" s="6"/>
      <c r="AK823" s="6"/>
      <c r="AL823" s="6"/>
      <c r="AM823" s="6"/>
      <c r="AN823" s="6"/>
      <c r="AO823" s="6"/>
      <c r="AP823" s="6"/>
      <c r="AQ823" s="6"/>
      <c r="AR823" s="6"/>
      <c r="AS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11"/>
      <c r="X824" s="11"/>
      <c r="Y824" s="11"/>
      <c r="Z824" s="11"/>
      <c r="AA824" s="11"/>
      <c r="AB824" s="11"/>
      <c r="AC824" s="11"/>
      <c r="AD824" s="11"/>
      <c r="AE824" s="11"/>
      <c r="AF824" s="11"/>
      <c r="AG824" s="6"/>
      <c r="AH824" s="6"/>
      <c r="AI824" s="6"/>
      <c r="AJ824" s="6"/>
      <c r="AK824" s="6"/>
      <c r="AL824" s="6"/>
      <c r="AM824" s="6"/>
      <c r="AN824" s="6"/>
      <c r="AO824" s="6"/>
      <c r="AP824" s="6"/>
      <c r="AQ824" s="6"/>
      <c r="AR824" s="6"/>
      <c r="AS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11"/>
      <c r="X825" s="11"/>
      <c r="Y825" s="11"/>
      <c r="Z825" s="11"/>
      <c r="AA825" s="11"/>
      <c r="AB825" s="11"/>
      <c r="AC825" s="11"/>
      <c r="AD825" s="11"/>
      <c r="AE825" s="11"/>
      <c r="AF825" s="11"/>
      <c r="AG825" s="6"/>
      <c r="AH825" s="6"/>
      <c r="AI825" s="6"/>
      <c r="AJ825" s="6"/>
      <c r="AK825" s="6"/>
      <c r="AL825" s="6"/>
      <c r="AM825" s="6"/>
      <c r="AN825" s="6"/>
      <c r="AO825" s="6"/>
      <c r="AP825" s="6"/>
      <c r="AQ825" s="6"/>
      <c r="AR825" s="6"/>
      <c r="AS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11"/>
      <c r="X826" s="11"/>
      <c r="Y826" s="11"/>
      <c r="Z826" s="11"/>
      <c r="AA826" s="11"/>
      <c r="AB826" s="11"/>
      <c r="AC826" s="11"/>
      <c r="AD826" s="11"/>
      <c r="AE826" s="11"/>
      <c r="AF826" s="11"/>
      <c r="AG826" s="6"/>
      <c r="AH826" s="6"/>
      <c r="AI826" s="6"/>
      <c r="AJ826" s="6"/>
      <c r="AK826" s="6"/>
      <c r="AL826" s="6"/>
      <c r="AM826" s="6"/>
      <c r="AN826" s="6"/>
      <c r="AO826" s="6"/>
      <c r="AP826" s="6"/>
      <c r="AQ826" s="6"/>
      <c r="AR826" s="6"/>
      <c r="AS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11"/>
      <c r="X827" s="11"/>
      <c r="Y827" s="11"/>
      <c r="Z827" s="11"/>
      <c r="AA827" s="11"/>
      <c r="AB827" s="11"/>
      <c r="AC827" s="11"/>
      <c r="AD827" s="11"/>
      <c r="AE827" s="11"/>
      <c r="AF827" s="11"/>
      <c r="AG827" s="6"/>
      <c r="AH827" s="6"/>
      <c r="AI827" s="6"/>
      <c r="AJ827" s="6"/>
      <c r="AK827" s="6"/>
      <c r="AL827" s="6"/>
      <c r="AM827" s="6"/>
      <c r="AN827" s="6"/>
      <c r="AO827" s="6"/>
      <c r="AP827" s="6"/>
      <c r="AQ827" s="6"/>
      <c r="AR827" s="6"/>
      <c r="AS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11"/>
      <c r="X828" s="11"/>
      <c r="Y828" s="11"/>
      <c r="Z828" s="11"/>
      <c r="AA828" s="11"/>
      <c r="AB828" s="11"/>
      <c r="AC828" s="11"/>
      <c r="AD828" s="11"/>
      <c r="AE828" s="11"/>
      <c r="AF828" s="11"/>
      <c r="AG828" s="6"/>
      <c r="AH828" s="6"/>
      <c r="AI828" s="6"/>
      <c r="AJ828" s="6"/>
      <c r="AK828" s="6"/>
      <c r="AL828" s="6"/>
      <c r="AM828" s="6"/>
      <c r="AN828" s="6"/>
      <c r="AO828" s="6"/>
      <c r="AP828" s="6"/>
      <c r="AQ828" s="6"/>
      <c r="AR828" s="6"/>
      <c r="AS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11"/>
      <c r="X829" s="11"/>
      <c r="Y829" s="11"/>
      <c r="Z829" s="11"/>
      <c r="AA829" s="11"/>
      <c r="AB829" s="11"/>
      <c r="AC829" s="11"/>
      <c r="AD829" s="11"/>
      <c r="AE829" s="11"/>
      <c r="AF829" s="11"/>
      <c r="AG829" s="6"/>
      <c r="AH829" s="6"/>
      <c r="AI829" s="6"/>
      <c r="AJ829" s="6"/>
      <c r="AK829" s="6"/>
      <c r="AL829" s="6"/>
      <c r="AM829" s="6"/>
      <c r="AN829" s="6"/>
      <c r="AO829" s="6"/>
      <c r="AP829" s="6"/>
      <c r="AQ829" s="6"/>
      <c r="AR829" s="6"/>
      <c r="AS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11"/>
      <c r="X830" s="11"/>
      <c r="Y830" s="11"/>
      <c r="Z830" s="11"/>
      <c r="AA830" s="11"/>
      <c r="AB830" s="11"/>
      <c r="AC830" s="11"/>
      <c r="AD830" s="11"/>
      <c r="AE830" s="11"/>
      <c r="AF830" s="11"/>
      <c r="AG830" s="6"/>
      <c r="AH830" s="6"/>
      <c r="AI830" s="6"/>
      <c r="AJ830" s="6"/>
      <c r="AK830" s="6"/>
      <c r="AL830" s="6"/>
      <c r="AM830" s="6"/>
      <c r="AN830" s="6"/>
      <c r="AO830" s="6"/>
      <c r="AP830" s="6"/>
      <c r="AQ830" s="6"/>
      <c r="AR830" s="6"/>
      <c r="AS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11"/>
      <c r="X831" s="11"/>
      <c r="Y831" s="11"/>
      <c r="Z831" s="11"/>
      <c r="AA831" s="11"/>
      <c r="AB831" s="11"/>
      <c r="AC831" s="11"/>
      <c r="AD831" s="11"/>
      <c r="AE831" s="11"/>
      <c r="AF831" s="11"/>
      <c r="AG831" s="6"/>
      <c r="AH831" s="6"/>
      <c r="AI831" s="6"/>
      <c r="AJ831" s="6"/>
      <c r="AK831" s="6"/>
      <c r="AL831" s="6"/>
      <c r="AM831" s="6"/>
      <c r="AN831" s="6"/>
      <c r="AO831" s="6"/>
      <c r="AP831" s="6"/>
      <c r="AQ831" s="6"/>
      <c r="AR831" s="6"/>
      <c r="AS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11"/>
      <c r="X832" s="11"/>
      <c r="Y832" s="11"/>
      <c r="Z832" s="11"/>
      <c r="AA832" s="11"/>
      <c r="AB832" s="11"/>
      <c r="AC832" s="11"/>
      <c r="AD832" s="11"/>
      <c r="AE832" s="11"/>
      <c r="AF832" s="11"/>
      <c r="AG832" s="6"/>
      <c r="AH832" s="6"/>
      <c r="AI832" s="6"/>
      <c r="AJ832" s="6"/>
      <c r="AK832" s="6"/>
      <c r="AL832" s="6"/>
      <c r="AM832" s="6"/>
      <c r="AN832" s="6"/>
      <c r="AO832" s="6"/>
      <c r="AP832" s="6"/>
      <c r="AQ832" s="6"/>
      <c r="AR832" s="6"/>
      <c r="AS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11"/>
      <c r="X833" s="11"/>
      <c r="Y833" s="11"/>
      <c r="Z833" s="11"/>
      <c r="AA833" s="11"/>
      <c r="AB833" s="11"/>
      <c r="AC833" s="11"/>
      <c r="AD833" s="11"/>
      <c r="AE833" s="11"/>
      <c r="AF833" s="11"/>
      <c r="AG833" s="6"/>
      <c r="AH833" s="6"/>
      <c r="AI833" s="6"/>
      <c r="AJ833" s="6"/>
      <c r="AK833" s="6"/>
      <c r="AL833" s="6"/>
      <c r="AM833" s="6"/>
      <c r="AN833" s="6"/>
      <c r="AO833" s="6"/>
      <c r="AP833" s="6"/>
      <c r="AQ833" s="6"/>
      <c r="AR833" s="6"/>
      <c r="AS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11"/>
      <c r="X834" s="11"/>
      <c r="Y834" s="11"/>
      <c r="Z834" s="11"/>
      <c r="AA834" s="11"/>
      <c r="AB834" s="11"/>
      <c r="AC834" s="11"/>
      <c r="AD834" s="11"/>
      <c r="AE834" s="11"/>
      <c r="AF834" s="11"/>
      <c r="AG834" s="6"/>
      <c r="AH834" s="6"/>
      <c r="AI834" s="6"/>
      <c r="AJ834" s="6"/>
      <c r="AK834" s="6"/>
      <c r="AL834" s="6"/>
      <c r="AM834" s="6"/>
      <c r="AN834" s="6"/>
      <c r="AO834" s="6"/>
      <c r="AP834" s="6"/>
      <c r="AQ834" s="6"/>
      <c r="AR834" s="6"/>
      <c r="AS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11"/>
      <c r="X835" s="11"/>
      <c r="Y835" s="11"/>
      <c r="Z835" s="11"/>
      <c r="AA835" s="11"/>
      <c r="AB835" s="11"/>
      <c r="AC835" s="11"/>
      <c r="AD835" s="11"/>
      <c r="AE835" s="11"/>
      <c r="AF835" s="11"/>
      <c r="AG835" s="6"/>
      <c r="AH835" s="6"/>
      <c r="AI835" s="6"/>
      <c r="AJ835" s="6"/>
      <c r="AK835" s="6"/>
      <c r="AL835" s="6"/>
      <c r="AM835" s="6"/>
      <c r="AN835" s="6"/>
      <c r="AO835" s="6"/>
      <c r="AP835" s="6"/>
      <c r="AQ835" s="6"/>
      <c r="AR835" s="6"/>
      <c r="AS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11"/>
      <c r="X836" s="11"/>
      <c r="Y836" s="11"/>
      <c r="Z836" s="11"/>
      <c r="AA836" s="11"/>
      <c r="AB836" s="11"/>
      <c r="AC836" s="11"/>
      <c r="AD836" s="11"/>
      <c r="AE836" s="11"/>
      <c r="AF836" s="11"/>
      <c r="AG836" s="6"/>
      <c r="AH836" s="6"/>
      <c r="AI836" s="6"/>
      <c r="AJ836" s="6"/>
      <c r="AK836" s="6"/>
      <c r="AL836" s="6"/>
      <c r="AM836" s="6"/>
      <c r="AN836" s="6"/>
      <c r="AO836" s="6"/>
      <c r="AP836" s="6"/>
      <c r="AQ836" s="6"/>
      <c r="AR836" s="6"/>
      <c r="AS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11"/>
      <c r="X837" s="11"/>
      <c r="Y837" s="11"/>
      <c r="Z837" s="11"/>
      <c r="AA837" s="11"/>
      <c r="AB837" s="11"/>
      <c r="AC837" s="11"/>
      <c r="AD837" s="11"/>
      <c r="AE837" s="11"/>
      <c r="AF837" s="11"/>
      <c r="AG837" s="6"/>
      <c r="AH837" s="6"/>
      <c r="AI837" s="6"/>
      <c r="AJ837" s="6"/>
      <c r="AK837" s="6"/>
      <c r="AL837" s="6"/>
      <c r="AM837" s="6"/>
      <c r="AN837" s="6"/>
      <c r="AO837" s="6"/>
      <c r="AP837" s="6"/>
      <c r="AQ837" s="6"/>
      <c r="AR837" s="6"/>
      <c r="AS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11"/>
      <c r="X838" s="11"/>
      <c r="Y838" s="11"/>
      <c r="Z838" s="11"/>
      <c r="AA838" s="11"/>
      <c r="AB838" s="11"/>
      <c r="AC838" s="11"/>
      <c r="AD838" s="11"/>
      <c r="AE838" s="11"/>
      <c r="AF838" s="11"/>
      <c r="AG838" s="6"/>
      <c r="AH838" s="6"/>
      <c r="AI838" s="6"/>
      <c r="AJ838" s="6"/>
      <c r="AK838" s="6"/>
      <c r="AL838" s="6"/>
      <c r="AM838" s="6"/>
      <c r="AN838" s="6"/>
      <c r="AO838" s="6"/>
      <c r="AP838" s="6"/>
      <c r="AQ838" s="6"/>
      <c r="AR838" s="6"/>
      <c r="AS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11"/>
      <c r="X839" s="11"/>
      <c r="Y839" s="11"/>
      <c r="Z839" s="11"/>
      <c r="AA839" s="11"/>
      <c r="AB839" s="11"/>
      <c r="AC839" s="11"/>
      <c r="AD839" s="11"/>
      <c r="AE839" s="11"/>
      <c r="AF839" s="11"/>
      <c r="AG839" s="6"/>
      <c r="AH839" s="6"/>
      <c r="AI839" s="6"/>
      <c r="AJ839" s="6"/>
      <c r="AK839" s="6"/>
      <c r="AL839" s="6"/>
      <c r="AM839" s="6"/>
      <c r="AN839" s="6"/>
      <c r="AO839" s="6"/>
      <c r="AP839" s="6"/>
      <c r="AQ839" s="6"/>
      <c r="AR839" s="6"/>
      <c r="AS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11"/>
      <c r="X840" s="11"/>
      <c r="Y840" s="11"/>
      <c r="Z840" s="11"/>
      <c r="AA840" s="11"/>
      <c r="AB840" s="11"/>
      <c r="AC840" s="11"/>
      <c r="AD840" s="11"/>
      <c r="AE840" s="11"/>
      <c r="AF840" s="11"/>
      <c r="AG840" s="6"/>
      <c r="AH840" s="6"/>
      <c r="AI840" s="6"/>
      <c r="AJ840" s="6"/>
      <c r="AK840" s="6"/>
      <c r="AL840" s="6"/>
      <c r="AM840" s="6"/>
      <c r="AN840" s="6"/>
      <c r="AO840" s="6"/>
      <c r="AP840" s="6"/>
      <c r="AQ840" s="6"/>
      <c r="AR840" s="6"/>
      <c r="AS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11"/>
      <c r="X841" s="11"/>
      <c r="Y841" s="11"/>
      <c r="Z841" s="11"/>
      <c r="AA841" s="11"/>
      <c r="AB841" s="11"/>
      <c r="AC841" s="11"/>
      <c r="AD841" s="11"/>
      <c r="AE841" s="11"/>
      <c r="AF841" s="11"/>
      <c r="AG841" s="6"/>
      <c r="AH841" s="6"/>
      <c r="AI841" s="6"/>
      <c r="AJ841" s="6"/>
      <c r="AK841" s="6"/>
      <c r="AL841" s="6"/>
      <c r="AM841" s="6"/>
      <c r="AN841" s="6"/>
      <c r="AO841" s="6"/>
      <c r="AP841" s="6"/>
      <c r="AQ841" s="6"/>
      <c r="AR841" s="6"/>
      <c r="AS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11"/>
      <c r="X842" s="11"/>
      <c r="Y842" s="11"/>
      <c r="Z842" s="11"/>
      <c r="AA842" s="11"/>
      <c r="AB842" s="11"/>
      <c r="AC842" s="11"/>
      <c r="AD842" s="11"/>
      <c r="AE842" s="11"/>
      <c r="AF842" s="11"/>
      <c r="AG842" s="6"/>
      <c r="AH842" s="6"/>
      <c r="AI842" s="6"/>
      <c r="AJ842" s="6"/>
      <c r="AK842" s="6"/>
      <c r="AL842" s="6"/>
      <c r="AM842" s="6"/>
      <c r="AN842" s="6"/>
      <c r="AO842" s="6"/>
      <c r="AP842" s="6"/>
      <c r="AQ842" s="6"/>
      <c r="AR842" s="6"/>
      <c r="AS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11"/>
      <c r="X843" s="11"/>
      <c r="Y843" s="11"/>
      <c r="Z843" s="11"/>
      <c r="AA843" s="11"/>
      <c r="AB843" s="11"/>
      <c r="AC843" s="11"/>
      <c r="AD843" s="11"/>
      <c r="AE843" s="11"/>
      <c r="AF843" s="11"/>
      <c r="AG843" s="6"/>
      <c r="AH843" s="6"/>
      <c r="AI843" s="6"/>
      <c r="AJ843" s="6"/>
      <c r="AK843" s="6"/>
      <c r="AL843" s="6"/>
      <c r="AM843" s="6"/>
      <c r="AN843" s="6"/>
      <c r="AO843" s="6"/>
      <c r="AP843" s="6"/>
      <c r="AQ843" s="6"/>
      <c r="AR843" s="6"/>
      <c r="AS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11"/>
      <c r="X844" s="11"/>
      <c r="Y844" s="11"/>
      <c r="Z844" s="11"/>
      <c r="AA844" s="11"/>
      <c r="AB844" s="11"/>
      <c r="AC844" s="11"/>
      <c r="AD844" s="11"/>
      <c r="AE844" s="11"/>
      <c r="AF844" s="11"/>
      <c r="AG844" s="6"/>
      <c r="AH844" s="6"/>
      <c r="AI844" s="6"/>
      <c r="AJ844" s="6"/>
      <c r="AK844" s="6"/>
      <c r="AL844" s="6"/>
      <c r="AM844" s="6"/>
      <c r="AN844" s="6"/>
      <c r="AO844" s="6"/>
      <c r="AP844" s="6"/>
      <c r="AQ844" s="6"/>
      <c r="AR844" s="6"/>
      <c r="AS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11"/>
      <c r="X845" s="11"/>
      <c r="Y845" s="11"/>
      <c r="Z845" s="11"/>
      <c r="AA845" s="11"/>
      <c r="AB845" s="11"/>
      <c r="AC845" s="11"/>
      <c r="AD845" s="11"/>
      <c r="AE845" s="11"/>
      <c r="AF845" s="11"/>
      <c r="AG845" s="6"/>
      <c r="AH845" s="6"/>
      <c r="AI845" s="6"/>
      <c r="AJ845" s="6"/>
      <c r="AK845" s="6"/>
      <c r="AL845" s="6"/>
      <c r="AM845" s="6"/>
      <c r="AN845" s="6"/>
      <c r="AO845" s="6"/>
      <c r="AP845" s="6"/>
      <c r="AQ845" s="6"/>
      <c r="AR845" s="6"/>
      <c r="AS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11"/>
      <c r="X846" s="11"/>
      <c r="Y846" s="11"/>
      <c r="Z846" s="11"/>
      <c r="AA846" s="11"/>
      <c r="AB846" s="11"/>
      <c r="AC846" s="11"/>
      <c r="AD846" s="11"/>
      <c r="AE846" s="11"/>
      <c r="AF846" s="11"/>
      <c r="AG846" s="6"/>
      <c r="AH846" s="6"/>
      <c r="AI846" s="6"/>
      <c r="AJ846" s="6"/>
      <c r="AK846" s="6"/>
      <c r="AL846" s="6"/>
      <c r="AM846" s="6"/>
      <c r="AN846" s="6"/>
      <c r="AO846" s="6"/>
      <c r="AP846" s="6"/>
      <c r="AQ846" s="6"/>
      <c r="AR846" s="6"/>
      <c r="AS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11"/>
      <c r="X847" s="11"/>
      <c r="Y847" s="11"/>
      <c r="Z847" s="11"/>
      <c r="AA847" s="11"/>
      <c r="AB847" s="11"/>
      <c r="AC847" s="11"/>
      <c r="AD847" s="11"/>
      <c r="AE847" s="11"/>
      <c r="AF847" s="11"/>
      <c r="AG847" s="6"/>
      <c r="AH847" s="6"/>
      <c r="AI847" s="6"/>
      <c r="AJ847" s="6"/>
      <c r="AK847" s="6"/>
      <c r="AL847" s="6"/>
      <c r="AM847" s="6"/>
      <c r="AN847" s="6"/>
      <c r="AO847" s="6"/>
      <c r="AP847" s="6"/>
      <c r="AQ847" s="6"/>
      <c r="AR847" s="6"/>
      <c r="AS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11"/>
      <c r="X848" s="11"/>
      <c r="Y848" s="11"/>
      <c r="Z848" s="11"/>
      <c r="AA848" s="11"/>
      <c r="AB848" s="11"/>
      <c r="AC848" s="11"/>
      <c r="AD848" s="11"/>
      <c r="AE848" s="11"/>
      <c r="AF848" s="11"/>
      <c r="AG848" s="6"/>
      <c r="AH848" s="6"/>
      <c r="AI848" s="6"/>
      <c r="AJ848" s="6"/>
      <c r="AK848" s="6"/>
      <c r="AL848" s="6"/>
      <c r="AM848" s="6"/>
      <c r="AN848" s="6"/>
      <c r="AO848" s="6"/>
      <c r="AP848" s="6"/>
      <c r="AQ848" s="6"/>
      <c r="AR848" s="6"/>
      <c r="AS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11"/>
      <c r="X849" s="11"/>
      <c r="Y849" s="11"/>
      <c r="Z849" s="11"/>
      <c r="AA849" s="11"/>
      <c r="AB849" s="11"/>
      <c r="AC849" s="11"/>
      <c r="AD849" s="11"/>
      <c r="AE849" s="11"/>
      <c r="AF849" s="11"/>
      <c r="AG849" s="6"/>
      <c r="AH849" s="6"/>
      <c r="AI849" s="6"/>
      <c r="AJ849" s="6"/>
      <c r="AK849" s="6"/>
      <c r="AL849" s="6"/>
      <c r="AM849" s="6"/>
      <c r="AN849" s="6"/>
      <c r="AO849" s="6"/>
      <c r="AP849" s="6"/>
      <c r="AQ849" s="6"/>
      <c r="AR849" s="6"/>
      <c r="AS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11"/>
      <c r="X850" s="11"/>
      <c r="Y850" s="11"/>
      <c r="Z850" s="11"/>
      <c r="AA850" s="11"/>
      <c r="AB850" s="11"/>
      <c r="AC850" s="11"/>
      <c r="AD850" s="11"/>
      <c r="AE850" s="11"/>
      <c r="AF850" s="11"/>
      <c r="AG850" s="6"/>
      <c r="AH850" s="6"/>
      <c r="AI850" s="6"/>
      <c r="AJ850" s="6"/>
      <c r="AK850" s="6"/>
      <c r="AL850" s="6"/>
      <c r="AM850" s="6"/>
      <c r="AN850" s="6"/>
      <c r="AO850" s="6"/>
      <c r="AP850" s="6"/>
      <c r="AQ850" s="6"/>
      <c r="AR850" s="6"/>
      <c r="AS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11"/>
      <c r="X851" s="11"/>
      <c r="Y851" s="11"/>
      <c r="Z851" s="11"/>
      <c r="AA851" s="11"/>
      <c r="AB851" s="11"/>
      <c r="AC851" s="11"/>
      <c r="AD851" s="11"/>
      <c r="AE851" s="11"/>
      <c r="AF851" s="11"/>
      <c r="AG851" s="6"/>
      <c r="AH851" s="6"/>
      <c r="AI851" s="6"/>
      <c r="AJ851" s="6"/>
      <c r="AK851" s="6"/>
      <c r="AL851" s="6"/>
      <c r="AM851" s="6"/>
      <c r="AN851" s="6"/>
      <c r="AO851" s="6"/>
      <c r="AP851" s="6"/>
      <c r="AQ851" s="6"/>
      <c r="AR851" s="6"/>
      <c r="AS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11"/>
      <c r="X852" s="11"/>
      <c r="Y852" s="11"/>
      <c r="Z852" s="11"/>
      <c r="AA852" s="11"/>
      <c r="AB852" s="11"/>
      <c r="AC852" s="11"/>
      <c r="AD852" s="11"/>
      <c r="AE852" s="11"/>
      <c r="AF852" s="11"/>
      <c r="AG852" s="6"/>
      <c r="AH852" s="6"/>
      <c r="AI852" s="6"/>
      <c r="AJ852" s="6"/>
      <c r="AK852" s="6"/>
      <c r="AL852" s="6"/>
      <c r="AM852" s="6"/>
      <c r="AN852" s="6"/>
      <c r="AO852" s="6"/>
      <c r="AP852" s="6"/>
      <c r="AQ852" s="6"/>
      <c r="AR852" s="6"/>
      <c r="AS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11"/>
      <c r="X853" s="11"/>
      <c r="Y853" s="11"/>
      <c r="Z853" s="11"/>
      <c r="AA853" s="11"/>
      <c r="AB853" s="11"/>
      <c r="AC853" s="11"/>
      <c r="AD853" s="11"/>
      <c r="AE853" s="11"/>
      <c r="AF853" s="11"/>
      <c r="AG853" s="6"/>
      <c r="AH853" s="6"/>
      <c r="AI853" s="6"/>
      <c r="AJ853" s="6"/>
      <c r="AK853" s="6"/>
      <c r="AL853" s="6"/>
      <c r="AM853" s="6"/>
      <c r="AN853" s="6"/>
      <c r="AO853" s="6"/>
      <c r="AP853" s="6"/>
      <c r="AQ853" s="6"/>
      <c r="AR853" s="6"/>
      <c r="AS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11"/>
      <c r="X854" s="11"/>
      <c r="Y854" s="11"/>
      <c r="Z854" s="11"/>
      <c r="AA854" s="11"/>
      <c r="AB854" s="11"/>
      <c r="AC854" s="11"/>
      <c r="AD854" s="11"/>
      <c r="AE854" s="11"/>
      <c r="AF854" s="11"/>
      <c r="AG854" s="6"/>
      <c r="AH854" s="6"/>
      <c r="AI854" s="6"/>
      <c r="AJ854" s="6"/>
      <c r="AK854" s="6"/>
      <c r="AL854" s="6"/>
      <c r="AM854" s="6"/>
      <c r="AN854" s="6"/>
      <c r="AO854" s="6"/>
      <c r="AP854" s="6"/>
      <c r="AQ854" s="6"/>
      <c r="AR854" s="6"/>
      <c r="AS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11"/>
      <c r="X855" s="11"/>
      <c r="Y855" s="11"/>
      <c r="Z855" s="11"/>
      <c r="AA855" s="11"/>
      <c r="AB855" s="11"/>
      <c r="AC855" s="11"/>
      <c r="AD855" s="11"/>
      <c r="AE855" s="11"/>
      <c r="AF855" s="11"/>
      <c r="AG855" s="6"/>
      <c r="AH855" s="6"/>
      <c r="AI855" s="6"/>
      <c r="AJ855" s="6"/>
      <c r="AK855" s="6"/>
      <c r="AL855" s="6"/>
      <c r="AM855" s="6"/>
      <c r="AN855" s="6"/>
      <c r="AO855" s="6"/>
      <c r="AP855" s="6"/>
      <c r="AQ855" s="6"/>
      <c r="AR855" s="6"/>
      <c r="AS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11"/>
      <c r="X856" s="11"/>
      <c r="Y856" s="11"/>
      <c r="Z856" s="11"/>
      <c r="AA856" s="11"/>
      <c r="AB856" s="11"/>
      <c r="AC856" s="11"/>
      <c r="AD856" s="11"/>
      <c r="AE856" s="11"/>
      <c r="AF856" s="11"/>
      <c r="AG856" s="6"/>
      <c r="AH856" s="6"/>
      <c r="AI856" s="6"/>
      <c r="AJ856" s="6"/>
      <c r="AK856" s="6"/>
      <c r="AL856" s="6"/>
      <c r="AM856" s="6"/>
      <c r="AN856" s="6"/>
      <c r="AO856" s="6"/>
      <c r="AP856" s="6"/>
      <c r="AQ856" s="6"/>
      <c r="AR856" s="6"/>
      <c r="AS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11"/>
      <c r="X857" s="11"/>
      <c r="Y857" s="11"/>
      <c r="Z857" s="11"/>
      <c r="AA857" s="11"/>
      <c r="AB857" s="11"/>
      <c r="AC857" s="11"/>
      <c r="AD857" s="11"/>
      <c r="AE857" s="11"/>
      <c r="AF857" s="11"/>
      <c r="AG857" s="6"/>
      <c r="AH857" s="6"/>
      <c r="AI857" s="6"/>
      <c r="AJ857" s="6"/>
      <c r="AK857" s="6"/>
      <c r="AL857" s="6"/>
      <c r="AM857" s="6"/>
      <c r="AN857" s="6"/>
      <c r="AO857" s="6"/>
      <c r="AP857" s="6"/>
      <c r="AQ857" s="6"/>
      <c r="AR857" s="6"/>
      <c r="AS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11"/>
      <c r="X858" s="11"/>
      <c r="Y858" s="11"/>
      <c r="Z858" s="11"/>
      <c r="AA858" s="11"/>
      <c r="AB858" s="11"/>
      <c r="AC858" s="11"/>
      <c r="AD858" s="11"/>
      <c r="AE858" s="11"/>
      <c r="AF858" s="11"/>
      <c r="AG858" s="6"/>
      <c r="AH858" s="6"/>
      <c r="AI858" s="6"/>
      <c r="AJ858" s="6"/>
      <c r="AK858" s="6"/>
      <c r="AL858" s="6"/>
      <c r="AM858" s="6"/>
      <c r="AN858" s="6"/>
      <c r="AO858" s="6"/>
      <c r="AP858" s="6"/>
      <c r="AQ858" s="6"/>
      <c r="AR858" s="6"/>
      <c r="AS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11"/>
      <c r="X859" s="11"/>
      <c r="Y859" s="11"/>
      <c r="Z859" s="11"/>
      <c r="AA859" s="11"/>
      <c r="AB859" s="11"/>
      <c r="AC859" s="11"/>
      <c r="AD859" s="11"/>
      <c r="AE859" s="11"/>
      <c r="AF859" s="11"/>
      <c r="AG859" s="6"/>
      <c r="AH859" s="6"/>
      <c r="AI859" s="6"/>
      <c r="AJ859" s="6"/>
      <c r="AK859" s="6"/>
      <c r="AL859" s="6"/>
      <c r="AM859" s="6"/>
      <c r="AN859" s="6"/>
      <c r="AO859" s="6"/>
      <c r="AP859" s="6"/>
      <c r="AQ859" s="6"/>
      <c r="AR859" s="6"/>
      <c r="AS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11"/>
      <c r="X860" s="11"/>
      <c r="Y860" s="11"/>
      <c r="Z860" s="11"/>
      <c r="AA860" s="11"/>
      <c r="AB860" s="11"/>
      <c r="AC860" s="11"/>
      <c r="AD860" s="11"/>
      <c r="AE860" s="11"/>
      <c r="AF860" s="11"/>
      <c r="AG860" s="6"/>
      <c r="AH860" s="6"/>
      <c r="AI860" s="6"/>
      <c r="AJ860" s="6"/>
      <c r="AK860" s="6"/>
      <c r="AL860" s="6"/>
      <c r="AM860" s="6"/>
      <c r="AN860" s="6"/>
      <c r="AO860" s="6"/>
      <c r="AP860" s="6"/>
      <c r="AQ860" s="6"/>
      <c r="AR860" s="6"/>
      <c r="AS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11"/>
      <c r="X861" s="11"/>
      <c r="Y861" s="11"/>
      <c r="Z861" s="11"/>
      <c r="AA861" s="11"/>
      <c r="AB861" s="11"/>
      <c r="AC861" s="11"/>
      <c r="AD861" s="11"/>
      <c r="AE861" s="11"/>
      <c r="AF861" s="11"/>
      <c r="AG861" s="6"/>
      <c r="AH861" s="6"/>
      <c r="AI861" s="6"/>
      <c r="AJ861" s="6"/>
      <c r="AK861" s="6"/>
      <c r="AL861" s="6"/>
      <c r="AM861" s="6"/>
      <c r="AN861" s="6"/>
      <c r="AO861" s="6"/>
      <c r="AP861" s="6"/>
      <c r="AQ861" s="6"/>
      <c r="AR861" s="6"/>
      <c r="AS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11"/>
      <c r="X862" s="11"/>
      <c r="Y862" s="11"/>
      <c r="Z862" s="11"/>
      <c r="AA862" s="11"/>
      <c r="AB862" s="11"/>
      <c r="AC862" s="11"/>
      <c r="AD862" s="11"/>
      <c r="AE862" s="11"/>
      <c r="AF862" s="11"/>
      <c r="AG862" s="6"/>
      <c r="AH862" s="6"/>
      <c r="AI862" s="6"/>
      <c r="AJ862" s="6"/>
      <c r="AK862" s="6"/>
      <c r="AL862" s="6"/>
      <c r="AM862" s="6"/>
      <c r="AN862" s="6"/>
      <c r="AO862" s="6"/>
      <c r="AP862" s="6"/>
      <c r="AQ862" s="6"/>
      <c r="AR862" s="6"/>
      <c r="AS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11"/>
      <c r="X863" s="11"/>
      <c r="Y863" s="11"/>
      <c r="Z863" s="11"/>
      <c r="AA863" s="11"/>
      <c r="AB863" s="11"/>
      <c r="AC863" s="11"/>
      <c r="AD863" s="11"/>
      <c r="AE863" s="11"/>
      <c r="AF863" s="11"/>
      <c r="AG863" s="6"/>
      <c r="AH863" s="6"/>
      <c r="AI863" s="6"/>
      <c r="AJ863" s="6"/>
      <c r="AK863" s="6"/>
      <c r="AL863" s="6"/>
      <c r="AM863" s="6"/>
      <c r="AN863" s="6"/>
      <c r="AO863" s="6"/>
      <c r="AP863" s="6"/>
      <c r="AQ863" s="6"/>
      <c r="AR863" s="6"/>
      <c r="AS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11"/>
      <c r="X864" s="11"/>
      <c r="Y864" s="11"/>
      <c r="Z864" s="11"/>
      <c r="AA864" s="11"/>
      <c r="AB864" s="11"/>
      <c r="AC864" s="11"/>
      <c r="AD864" s="11"/>
      <c r="AE864" s="11"/>
      <c r="AF864" s="11"/>
      <c r="AG864" s="6"/>
      <c r="AH864" s="6"/>
      <c r="AI864" s="6"/>
      <c r="AJ864" s="6"/>
      <c r="AK864" s="6"/>
      <c r="AL864" s="6"/>
      <c r="AM864" s="6"/>
      <c r="AN864" s="6"/>
      <c r="AO864" s="6"/>
      <c r="AP864" s="6"/>
      <c r="AQ864" s="6"/>
      <c r="AR864" s="6"/>
      <c r="AS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11"/>
      <c r="X865" s="11"/>
      <c r="Y865" s="11"/>
      <c r="Z865" s="11"/>
      <c r="AA865" s="11"/>
      <c r="AB865" s="11"/>
      <c r="AC865" s="11"/>
      <c r="AD865" s="11"/>
      <c r="AE865" s="11"/>
      <c r="AF865" s="11"/>
      <c r="AG865" s="6"/>
      <c r="AH865" s="6"/>
      <c r="AI865" s="6"/>
      <c r="AJ865" s="6"/>
      <c r="AK865" s="6"/>
      <c r="AL865" s="6"/>
      <c r="AM865" s="6"/>
      <c r="AN865" s="6"/>
      <c r="AO865" s="6"/>
      <c r="AP865" s="6"/>
      <c r="AQ865" s="6"/>
      <c r="AR865" s="6"/>
      <c r="AS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11"/>
      <c r="X866" s="11"/>
      <c r="Y866" s="11"/>
      <c r="Z866" s="11"/>
      <c r="AA866" s="11"/>
      <c r="AB866" s="11"/>
      <c r="AC866" s="11"/>
      <c r="AD866" s="11"/>
      <c r="AE866" s="11"/>
      <c r="AF866" s="11"/>
      <c r="AG866" s="6"/>
      <c r="AH866" s="6"/>
      <c r="AI866" s="6"/>
      <c r="AJ866" s="6"/>
      <c r="AK866" s="6"/>
      <c r="AL866" s="6"/>
      <c r="AM866" s="6"/>
      <c r="AN866" s="6"/>
      <c r="AO866" s="6"/>
      <c r="AP866" s="6"/>
      <c r="AQ866" s="6"/>
      <c r="AR866" s="6"/>
      <c r="AS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11"/>
      <c r="X867" s="11"/>
      <c r="Y867" s="11"/>
      <c r="Z867" s="11"/>
      <c r="AA867" s="11"/>
      <c r="AB867" s="11"/>
      <c r="AC867" s="11"/>
      <c r="AD867" s="11"/>
      <c r="AE867" s="11"/>
      <c r="AF867" s="11"/>
      <c r="AG867" s="6"/>
      <c r="AH867" s="6"/>
      <c r="AI867" s="6"/>
      <c r="AJ867" s="6"/>
      <c r="AK867" s="6"/>
      <c r="AL867" s="6"/>
      <c r="AM867" s="6"/>
      <c r="AN867" s="6"/>
      <c r="AO867" s="6"/>
      <c r="AP867" s="6"/>
      <c r="AQ867" s="6"/>
      <c r="AR867" s="6"/>
      <c r="AS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11"/>
      <c r="X868" s="11"/>
      <c r="Y868" s="11"/>
      <c r="Z868" s="11"/>
      <c r="AA868" s="11"/>
      <c r="AB868" s="11"/>
      <c r="AC868" s="11"/>
      <c r="AD868" s="11"/>
      <c r="AE868" s="11"/>
      <c r="AF868" s="11"/>
      <c r="AG868" s="6"/>
      <c r="AH868" s="6"/>
      <c r="AI868" s="6"/>
      <c r="AJ868" s="6"/>
      <c r="AK868" s="6"/>
      <c r="AL868" s="6"/>
      <c r="AM868" s="6"/>
      <c r="AN868" s="6"/>
      <c r="AO868" s="6"/>
      <c r="AP868" s="6"/>
      <c r="AQ868" s="6"/>
      <c r="AR868" s="6"/>
      <c r="AS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11"/>
      <c r="X869" s="11"/>
      <c r="Y869" s="11"/>
      <c r="Z869" s="11"/>
      <c r="AA869" s="11"/>
      <c r="AB869" s="11"/>
      <c r="AC869" s="11"/>
      <c r="AD869" s="11"/>
      <c r="AE869" s="11"/>
      <c r="AF869" s="11"/>
      <c r="AG869" s="6"/>
      <c r="AH869" s="6"/>
      <c r="AI869" s="6"/>
      <c r="AJ869" s="6"/>
      <c r="AK869" s="6"/>
      <c r="AL869" s="6"/>
      <c r="AM869" s="6"/>
      <c r="AN869" s="6"/>
      <c r="AO869" s="6"/>
      <c r="AP869" s="6"/>
      <c r="AQ869" s="6"/>
      <c r="AR869" s="6"/>
      <c r="AS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11"/>
      <c r="X870" s="11"/>
      <c r="Y870" s="11"/>
      <c r="Z870" s="11"/>
      <c r="AA870" s="11"/>
      <c r="AB870" s="11"/>
      <c r="AC870" s="11"/>
      <c r="AD870" s="11"/>
      <c r="AE870" s="11"/>
      <c r="AF870" s="11"/>
      <c r="AG870" s="6"/>
      <c r="AH870" s="6"/>
      <c r="AI870" s="6"/>
      <c r="AJ870" s="6"/>
      <c r="AK870" s="6"/>
      <c r="AL870" s="6"/>
      <c r="AM870" s="6"/>
      <c r="AN870" s="6"/>
      <c r="AO870" s="6"/>
      <c r="AP870" s="6"/>
      <c r="AQ870" s="6"/>
      <c r="AR870" s="6"/>
      <c r="AS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11"/>
      <c r="X871" s="11"/>
      <c r="Y871" s="11"/>
      <c r="Z871" s="11"/>
      <c r="AA871" s="11"/>
      <c r="AB871" s="11"/>
      <c r="AC871" s="11"/>
      <c r="AD871" s="11"/>
      <c r="AE871" s="11"/>
      <c r="AF871" s="11"/>
      <c r="AG871" s="6"/>
      <c r="AH871" s="6"/>
      <c r="AI871" s="6"/>
      <c r="AJ871" s="6"/>
      <c r="AK871" s="6"/>
      <c r="AL871" s="6"/>
      <c r="AM871" s="6"/>
      <c r="AN871" s="6"/>
      <c r="AO871" s="6"/>
      <c r="AP871" s="6"/>
      <c r="AQ871" s="6"/>
      <c r="AR871" s="6"/>
      <c r="AS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11"/>
      <c r="X872" s="11"/>
      <c r="Y872" s="11"/>
      <c r="Z872" s="11"/>
      <c r="AA872" s="11"/>
      <c r="AB872" s="11"/>
      <c r="AC872" s="11"/>
      <c r="AD872" s="11"/>
      <c r="AE872" s="11"/>
      <c r="AF872" s="11"/>
      <c r="AG872" s="6"/>
      <c r="AH872" s="6"/>
      <c r="AI872" s="6"/>
      <c r="AJ872" s="6"/>
      <c r="AK872" s="6"/>
      <c r="AL872" s="6"/>
      <c r="AM872" s="6"/>
      <c r="AN872" s="6"/>
      <c r="AO872" s="6"/>
      <c r="AP872" s="6"/>
      <c r="AQ872" s="6"/>
      <c r="AR872" s="6"/>
      <c r="AS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11"/>
      <c r="X873" s="11"/>
      <c r="Y873" s="11"/>
      <c r="Z873" s="11"/>
      <c r="AA873" s="11"/>
      <c r="AB873" s="11"/>
      <c r="AC873" s="11"/>
      <c r="AD873" s="11"/>
      <c r="AE873" s="11"/>
      <c r="AF873" s="11"/>
      <c r="AG873" s="6"/>
      <c r="AH873" s="6"/>
      <c r="AI873" s="6"/>
      <c r="AJ873" s="6"/>
      <c r="AK873" s="6"/>
      <c r="AL873" s="6"/>
      <c r="AM873" s="6"/>
      <c r="AN873" s="6"/>
      <c r="AO873" s="6"/>
      <c r="AP873" s="6"/>
      <c r="AQ873" s="6"/>
      <c r="AR873" s="6"/>
      <c r="AS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11"/>
      <c r="X874" s="11"/>
      <c r="Y874" s="11"/>
      <c r="Z874" s="11"/>
      <c r="AA874" s="11"/>
      <c r="AB874" s="11"/>
      <c r="AC874" s="11"/>
      <c r="AD874" s="11"/>
      <c r="AE874" s="11"/>
      <c r="AF874" s="11"/>
      <c r="AG874" s="6"/>
      <c r="AH874" s="6"/>
      <c r="AI874" s="6"/>
      <c r="AJ874" s="6"/>
      <c r="AK874" s="6"/>
      <c r="AL874" s="6"/>
      <c r="AM874" s="6"/>
      <c r="AN874" s="6"/>
      <c r="AO874" s="6"/>
      <c r="AP874" s="6"/>
      <c r="AQ874" s="6"/>
      <c r="AR874" s="6"/>
      <c r="AS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11"/>
      <c r="X875" s="11"/>
      <c r="Y875" s="11"/>
      <c r="Z875" s="11"/>
      <c r="AA875" s="11"/>
      <c r="AB875" s="11"/>
      <c r="AC875" s="11"/>
      <c r="AD875" s="11"/>
      <c r="AE875" s="11"/>
      <c r="AF875" s="11"/>
      <c r="AG875" s="6"/>
      <c r="AH875" s="6"/>
      <c r="AI875" s="6"/>
      <c r="AJ875" s="6"/>
      <c r="AK875" s="6"/>
      <c r="AL875" s="6"/>
      <c r="AM875" s="6"/>
      <c r="AN875" s="6"/>
      <c r="AO875" s="6"/>
      <c r="AP875" s="6"/>
      <c r="AQ875" s="6"/>
      <c r="AR875" s="6"/>
      <c r="AS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11"/>
      <c r="X876" s="11"/>
      <c r="Y876" s="11"/>
      <c r="Z876" s="11"/>
      <c r="AA876" s="11"/>
      <c r="AB876" s="11"/>
      <c r="AC876" s="11"/>
      <c r="AD876" s="11"/>
      <c r="AE876" s="11"/>
      <c r="AF876" s="11"/>
      <c r="AG876" s="6"/>
      <c r="AH876" s="6"/>
      <c r="AI876" s="6"/>
      <c r="AJ876" s="6"/>
      <c r="AK876" s="6"/>
      <c r="AL876" s="6"/>
      <c r="AM876" s="6"/>
      <c r="AN876" s="6"/>
      <c r="AO876" s="6"/>
      <c r="AP876" s="6"/>
      <c r="AQ876" s="6"/>
      <c r="AR876" s="6"/>
      <c r="AS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11"/>
      <c r="X877" s="11"/>
      <c r="Y877" s="11"/>
      <c r="Z877" s="11"/>
      <c r="AA877" s="11"/>
      <c r="AB877" s="11"/>
      <c r="AC877" s="11"/>
      <c r="AD877" s="11"/>
      <c r="AE877" s="11"/>
      <c r="AF877" s="11"/>
      <c r="AG877" s="6"/>
      <c r="AH877" s="6"/>
      <c r="AI877" s="6"/>
      <c r="AJ877" s="6"/>
      <c r="AK877" s="6"/>
      <c r="AL877" s="6"/>
      <c r="AM877" s="6"/>
      <c r="AN877" s="6"/>
      <c r="AO877" s="6"/>
      <c r="AP877" s="6"/>
      <c r="AQ877" s="6"/>
      <c r="AR877" s="6"/>
      <c r="AS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11"/>
      <c r="X878" s="11"/>
      <c r="Y878" s="11"/>
      <c r="Z878" s="11"/>
      <c r="AA878" s="11"/>
      <c r="AB878" s="11"/>
      <c r="AC878" s="11"/>
      <c r="AD878" s="11"/>
      <c r="AE878" s="11"/>
      <c r="AF878" s="11"/>
      <c r="AG878" s="6"/>
      <c r="AH878" s="6"/>
      <c r="AI878" s="6"/>
      <c r="AJ878" s="6"/>
      <c r="AK878" s="6"/>
      <c r="AL878" s="6"/>
      <c r="AM878" s="6"/>
      <c r="AN878" s="6"/>
      <c r="AO878" s="6"/>
      <c r="AP878" s="6"/>
      <c r="AQ878" s="6"/>
      <c r="AR878" s="6"/>
      <c r="AS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11"/>
      <c r="X879" s="11"/>
      <c r="Y879" s="11"/>
      <c r="Z879" s="11"/>
      <c r="AA879" s="11"/>
      <c r="AB879" s="11"/>
      <c r="AC879" s="11"/>
      <c r="AD879" s="11"/>
      <c r="AE879" s="11"/>
      <c r="AF879" s="11"/>
      <c r="AG879" s="6"/>
      <c r="AH879" s="6"/>
      <c r="AI879" s="6"/>
      <c r="AJ879" s="6"/>
      <c r="AK879" s="6"/>
      <c r="AL879" s="6"/>
      <c r="AM879" s="6"/>
      <c r="AN879" s="6"/>
      <c r="AO879" s="6"/>
      <c r="AP879" s="6"/>
      <c r="AQ879" s="6"/>
      <c r="AR879" s="6"/>
      <c r="AS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11"/>
      <c r="X880" s="11"/>
      <c r="Y880" s="11"/>
      <c r="Z880" s="11"/>
      <c r="AA880" s="11"/>
      <c r="AB880" s="11"/>
      <c r="AC880" s="11"/>
      <c r="AD880" s="11"/>
      <c r="AE880" s="11"/>
      <c r="AF880" s="11"/>
      <c r="AG880" s="6"/>
      <c r="AH880" s="6"/>
      <c r="AI880" s="6"/>
      <c r="AJ880" s="6"/>
      <c r="AK880" s="6"/>
      <c r="AL880" s="6"/>
      <c r="AM880" s="6"/>
      <c r="AN880" s="6"/>
      <c r="AO880" s="6"/>
      <c r="AP880" s="6"/>
      <c r="AQ880" s="6"/>
      <c r="AR880" s="6"/>
      <c r="AS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11"/>
      <c r="X881" s="11"/>
      <c r="Y881" s="11"/>
      <c r="Z881" s="11"/>
      <c r="AA881" s="11"/>
      <c r="AB881" s="11"/>
      <c r="AC881" s="11"/>
      <c r="AD881" s="11"/>
      <c r="AE881" s="11"/>
      <c r="AF881" s="11"/>
      <c r="AG881" s="6"/>
      <c r="AH881" s="6"/>
      <c r="AI881" s="6"/>
      <c r="AJ881" s="6"/>
      <c r="AK881" s="6"/>
      <c r="AL881" s="6"/>
      <c r="AM881" s="6"/>
      <c r="AN881" s="6"/>
      <c r="AO881" s="6"/>
      <c r="AP881" s="6"/>
      <c r="AQ881" s="6"/>
      <c r="AR881" s="6"/>
      <c r="AS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11"/>
      <c r="X882" s="11"/>
      <c r="Y882" s="11"/>
      <c r="Z882" s="11"/>
      <c r="AA882" s="11"/>
      <c r="AB882" s="11"/>
      <c r="AC882" s="11"/>
      <c r="AD882" s="11"/>
      <c r="AE882" s="11"/>
      <c r="AF882" s="11"/>
      <c r="AG882" s="6"/>
      <c r="AH882" s="6"/>
      <c r="AI882" s="6"/>
      <c r="AJ882" s="6"/>
      <c r="AK882" s="6"/>
      <c r="AL882" s="6"/>
      <c r="AM882" s="6"/>
      <c r="AN882" s="6"/>
      <c r="AO882" s="6"/>
      <c r="AP882" s="6"/>
      <c r="AQ882" s="6"/>
      <c r="AR882" s="6"/>
      <c r="AS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11"/>
      <c r="X883" s="11"/>
      <c r="Y883" s="11"/>
      <c r="Z883" s="11"/>
      <c r="AA883" s="11"/>
      <c r="AB883" s="11"/>
      <c r="AC883" s="11"/>
      <c r="AD883" s="11"/>
      <c r="AE883" s="11"/>
      <c r="AF883" s="11"/>
      <c r="AG883" s="6"/>
      <c r="AH883" s="6"/>
      <c r="AI883" s="6"/>
      <c r="AJ883" s="6"/>
      <c r="AK883" s="6"/>
      <c r="AL883" s="6"/>
      <c r="AM883" s="6"/>
      <c r="AN883" s="6"/>
      <c r="AO883" s="6"/>
      <c r="AP883" s="6"/>
      <c r="AQ883" s="6"/>
      <c r="AR883" s="6"/>
      <c r="AS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11"/>
      <c r="X884" s="11"/>
      <c r="Y884" s="11"/>
      <c r="Z884" s="11"/>
      <c r="AA884" s="11"/>
      <c r="AB884" s="11"/>
      <c r="AC884" s="11"/>
      <c r="AD884" s="11"/>
      <c r="AE884" s="11"/>
      <c r="AF884" s="11"/>
      <c r="AG884" s="6"/>
      <c r="AH884" s="6"/>
      <c r="AI884" s="6"/>
      <c r="AJ884" s="6"/>
      <c r="AK884" s="6"/>
      <c r="AL884" s="6"/>
      <c r="AM884" s="6"/>
      <c r="AN884" s="6"/>
      <c r="AO884" s="6"/>
      <c r="AP884" s="6"/>
      <c r="AQ884" s="6"/>
      <c r="AR884" s="6"/>
      <c r="AS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11"/>
      <c r="X885" s="11"/>
      <c r="Y885" s="11"/>
      <c r="Z885" s="11"/>
      <c r="AA885" s="11"/>
      <c r="AB885" s="11"/>
      <c r="AC885" s="11"/>
      <c r="AD885" s="11"/>
      <c r="AE885" s="11"/>
      <c r="AF885" s="11"/>
      <c r="AG885" s="6"/>
      <c r="AH885" s="6"/>
      <c r="AI885" s="6"/>
      <c r="AJ885" s="6"/>
      <c r="AK885" s="6"/>
      <c r="AL885" s="6"/>
      <c r="AM885" s="6"/>
      <c r="AN885" s="6"/>
      <c r="AO885" s="6"/>
      <c r="AP885" s="6"/>
      <c r="AQ885" s="6"/>
      <c r="AR885" s="6"/>
      <c r="AS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11"/>
      <c r="X886" s="11"/>
      <c r="Y886" s="11"/>
      <c r="Z886" s="11"/>
      <c r="AA886" s="11"/>
      <c r="AB886" s="11"/>
      <c r="AC886" s="11"/>
      <c r="AD886" s="11"/>
      <c r="AE886" s="11"/>
      <c r="AF886" s="11"/>
      <c r="AG886" s="6"/>
      <c r="AH886" s="6"/>
      <c r="AI886" s="6"/>
      <c r="AJ886" s="6"/>
      <c r="AK886" s="6"/>
      <c r="AL886" s="6"/>
      <c r="AM886" s="6"/>
      <c r="AN886" s="6"/>
      <c r="AO886" s="6"/>
      <c r="AP886" s="6"/>
      <c r="AQ886" s="6"/>
      <c r="AR886" s="6"/>
      <c r="AS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11"/>
      <c r="X887" s="11"/>
      <c r="Y887" s="11"/>
      <c r="Z887" s="11"/>
      <c r="AA887" s="11"/>
      <c r="AB887" s="11"/>
      <c r="AC887" s="11"/>
      <c r="AD887" s="11"/>
      <c r="AE887" s="11"/>
      <c r="AF887" s="11"/>
      <c r="AG887" s="6"/>
      <c r="AH887" s="6"/>
      <c r="AI887" s="6"/>
      <c r="AJ887" s="6"/>
      <c r="AK887" s="6"/>
      <c r="AL887" s="6"/>
      <c r="AM887" s="6"/>
      <c r="AN887" s="6"/>
      <c r="AO887" s="6"/>
      <c r="AP887" s="6"/>
      <c r="AQ887" s="6"/>
      <c r="AR887" s="6"/>
      <c r="AS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11"/>
      <c r="X888" s="11"/>
      <c r="Y888" s="11"/>
      <c r="Z888" s="11"/>
      <c r="AA888" s="11"/>
      <c r="AB888" s="11"/>
      <c r="AC888" s="11"/>
      <c r="AD888" s="11"/>
      <c r="AE888" s="11"/>
      <c r="AF888" s="11"/>
      <c r="AG888" s="6"/>
      <c r="AH888" s="6"/>
      <c r="AI888" s="6"/>
      <c r="AJ888" s="6"/>
      <c r="AK888" s="6"/>
      <c r="AL888" s="6"/>
      <c r="AM888" s="6"/>
      <c r="AN888" s="6"/>
      <c r="AO888" s="6"/>
      <c r="AP888" s="6"/>
      <c r="AQ888" s="6"/>
      <c r="AR888" s="6"/>
      <c r="AS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11"/>
      <c r="X889" s="11"/>
      <c r="Y889" s="11"/>
      <c r="Z889" s="11"/>
      <c r="AA889" s="11"/>
      <c r="AB889" s="11"/>
      <c r="AC889" s="11"/>
      <c r="AD889" s="11"/>
      <c r="AE889" s="11"/>
      <c r="AF889" s="11"/>
      <c r="AG889" s="6"/>
      <c r="AH889" s="6"/>
      <c r="AI889" s="6"/>
      <c r="AJ889" s="6"/>
      <c r="AK889" s="6"/>
      <c r="AL889" s="6"/>
      <c r="AM889" s="6"/>
      <c r="AN889" s="6"/>
      <c r="AO889" s="6"/>
      <c r="AP889" s="6"/>
      <c r="AQ889" s="6"/>
      <c r="AR889" s="6"/>
      <c r="AS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11"/>
      <c r="X890" s="11"/>
      <c r="Y890" s="11"/>
      <c r="Z890" s="11"/>
      <c r="AA890" s="11"/>
      <c r="AB890" s="11"/>
      <c r="AC890" s="11"/>
      <c r="AD890" s="11"/>
      <c r="AE890" s="11"/>
      <c r="AF890" s="11"/>
      <c r="AG890" s="6"/>
      <c r="AH890" s="6"/>
      <c r="AI890" s="6"/>
      <c r="AJ890" s="6"/>
      <c r="AK890" s="6"/>
      <c r="AL890" s="6"/>
      <c r="AM890" s="6"/>
      <c r="AN890" s="6"/>
      <c r="AO890" s="6"/>
      <c r="AP890" s="6"/>
      <c r="AQ890" s="6"/>
      <c r="AR890" s="6"/>
      <c r="AS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11"/>
      <c r="X891" s="11"/>
      <c r="Y891" s="11"/>
      <c r="Z891" s="11"/>
      <c r="AA891" s="11"/>
      <c r="AB891" s="11"/>
      <c r="AC891" s="11"/>
      <c r="AD891" s="11"/>
      <c r="AE891" s="11"/>
      <c r="AF891" s="11"/>
      <c r="AG891" s="6"/>
      <c r="AH891" s="6"/>
      <c r="AI891" s="6"/>
      <c r="AJ891" s="6"/>
      <c r="AK891" s="6"/>
      <c r="AL891" s="6"/>
      <c r="AM891" s="6"/>
      <c r="AN891" s="6"/>
      <c r="AO891" s="6"/>
      <c r="AP891" s="6"/>
      <c r="AQ891" s="6"/>
      <c r="AR891" s="6"/>
      <c r="AS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11"/>
      <c r="X892" s="11"/>
      <c r="Y892" s="11"/>
      <c r="Z892" s="11"/>
      <c r="AA892" s="11"/>
      <c r="AB892" s="11"/>
      <c r="AC892" s="11"/>
      <c r="AD892" s="11"/>
      <c r="AE892" s="11"/>
      <c r="AF892" s="11"/>
      <c r="AG892" s="6"/>
      <c r="AH892" s="6"/>
      <c r="AI892" s="6"/>
      <c r="AJ892" s="6"/>
      <c r="AK892" s="6"/>
      <c r="AL892" s="6"/>
      <c r="AM892" s="6"/>
      <c r="AN892" s="6"/>
      <c r="AO892" s="6"/>
      <c r="AP892" s="6"/>
      <c r="AQ892" s="6"/>
      <c r="AR892" s="6"/>
      <c r="AS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11"/>
      <c r="X893" s="11"/>
      <c r="Y893" s="11"/>
      <c r="Z893" s="11"/>
      <c r="AA893" s="11"/>
      <c r="AB893" s="11"/>
      <c r="AC893" s="11"/>
      <c r="AD893" s="11"/>
      <c r="AE893" s="11"/>
      <c r="AF893" s="11"/>
      <c r="AG893" s="6"/>
      <c r="AH893" s="6"/>
      <c r="AI893" s="6"/>
      <c r="AJ893" s="6"/>
      <c r="AK893" s="6"/>
      <c r="AL893" s="6"/>
      <c r="AM893" s="6"/>
      <c r="AN893" s="6"/>
      <c r="AO893" s="6"/>
      <c r="AP893" s="6"/>
      <c r="AQ893" s="6"/>
      <c r="AR893" s="6"/>
      <c r="AS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11"/>
      <c r="X894" s="11"/>
      <c r="Y894" s="11"/>
      <c r="Z894" s="11"/>
      <c r="AA894" s="11"/>
      <c r="AB894" s="11"/>
      <c r="AC894" s="11"/>
      <c r="AD894" s="11"/>
      <c r="AE894" s="11"/>
      <c r="AF894" s="11"/>
      <c r="AG894" s="6"/>
      <c r="AH894" s="6"/>
      <c r="AI894" s="6"/>
      <c r="AJ894" s="6"/>
      <c r="AK894" s="6"/>
      <c r="AL894" s="6"/>
      <c r="AM894" s="6"/>
      <c r="AN894" s="6"/>
      <c r="AO894" s="6"/>
      <c r="AP894" s="6"/>
      <c r="AQ894" s="6"/>
      <c r="AR894" s="6"/>
      <c r="AS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11"/>
      <c r="X895" s="11"/>
      <c r="Y895" s="11"/>
      <c r="Z895" s="11"/>
      <c r="AA895" s="11"/>
      <c r="AB895" s="11"/>
      <c r="AC895" s="11"/>
      <c r="AD895" s="11"/>
      <c r="AE895" s="11"/>
      <c r="AF895" s="11"/>
      <c r="AG895" s="6"/>
      <c r="AH895" s="6"/>
      <c r="AI895" s="6"/>
      <c r="AJ895" s="6"/>
      <c r="AK895" s="6"/>
      <c r="AL895" s="6"/>
      <c r="AM895" s="6"/>
      <c r="AN895" s="6"/>
      <c r="AO895" s="6"/>
      <c r="AP895" s="6"/>
      <c r="AQ895" s="6"/>
      <c r="AR895" s="6"/>
      <c r="AS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11"/>
      <c r="X896" s="11"/>
      <c r="Y896" s="11"/>
      <c r="Z896" s="11"/>
      <c r="AA896" s="11"/>
      <c r="AB896" s="11"/>
      <c r="AC896" s="11"/>
      <c r="AD896" s="11"/>
      <c r="AE896" s="11"/>
      <c r="AF896" s="11"/>
      <c r="AG896" s="6"/>
      <c r="AH896" s="6"/>
      <c r="AI896" s="6"/>
      <c r="AJ896" s="6"/>
      <c r="AK896" s="6"/>
      <c r="AL896" s="6"/>
      <c r="AM896" s="6"/>
      <c r="AN896" s="6"/>
      <c r="AO896" s="6"/>
      <c r="AP896" s="6"/>
      <c r="AQ896" s="6"/>
      <c r="AR896" s="6"/>
      <c r="AS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11"/>
      <c r="X897" s="11"/>
      <c r="Y897" s="11"/>
      <c r="Z897" s="11"/>
      <c r="AA897" s="11"/>
      <c r="AB897" s="11"/>
      <c r="AC897" s="11"/>
      <c r="AD897" s="11"/>
      <c r="AE897" s="11"/>
      <c r="AF897" s="11"/>
      <c r="AG897" s="6"/>
      <c r="AH897" s="6"/>
      <c r="AI897" s="6"/>
      <c r="AJ897" s="6"/>
      <c r="AK897" s="6"/>
      <c r="AL897" s="6"/>
      <c r="AM897" s="6"/>
      <c r="AN897" s="6"/>
      <c r="AO897" s="6"/>
      <c r="AP897" s="6"/>
      <c r="AQ897" s="6"/>
      <c r="AR897" s="6"/>
      <c r="AS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11"/>
      <c r="X898" s="11"/>
      <c r="Y898" s="11"/>
      <c r="Z898" s="11"/>
      <c r="AA898" s="11"/>
      <c r="AB898" s="11"/>
      <c r="AC898" s="11"/>
      <c r="AD898" s="11"/>
      <c r="AE898" s="11"/>
      <c r="AF898" s="11"/>
      <c r="AG898" s="6"/>
      <c r="AH898" s="6"/>
      <c r="AI898" s="6"/>
      <c r="AJ898" s="6"/>
      <c r="AK898" s="6"/>
      <c r="AL898" s="6"/>
      <c r="AM898" s="6"/>
      <c r="AN898" s="6"/>
      <c r="AO898" s="6"/>
      <c r="AP898" s="6"/>
      <c r="AQ898" s="6"/>
      <c r="AR898" s="6"/>
      <c r="AS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11"/>
      <c r="X899" s="11"/>
      <c r="Y899" s="11"/>
      <c r="Z899" s="11"/>
      <c r="AA899" s="11"/>
      <c r="AB899" s="11"/>
      <c r="AC899" s="11"/>
      <c r="AD899" s="11"/>
      <c r="AE899" s="11"/>
      <c r="AF899" s="11"/>
      <c r="AG899" s="6"/>
      <c r="AH899" s="6"/>
      <c r="AI899" s="6"/>
      <c r="AJ899" s="6"/>
      <c r="AK899" s="6"/>
      <c r="AL899" s="6"/>
      <c r="AM899" s="6"/>
      <c r="AN899" s="6"/>
      <c r="AO899" s="6"/>
      <c r="AP899" s="6"/>
      <c r="AQ899" s="6"/>
      <c r="AR899" s="6"/>
      <c r="AS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11"/>
      <c r="X900" s="11"/>
      <c r="Y900" s="11"/>
      <c r="Z900" s="11"/>
      <c r="AA900" s="11"/>
      <c r="AB900" s="11"/>
      <c r="AC900" s="11"/>
      <c r="AD900" s="11"/>
      <c r="AE900" s="11"/>
      <c r="AF900" s="11"/>
      <c r="AG900" s="6"/>
      <c r="AH900" s="6"/>
      <c r="AI900" s="6"/>
      <c r="AJ900" s="6"/>
      <c r="AK900" s="6"/>
      <c r="AL900" s="6"/>
      <c r="AM900" s="6"/>
      <c r="AN900" s="6"/>
      <c r="AO900" s="6"/>
      <c r="AP900" s="6"/>
      <c r="AQ900" s="6"/>
      <c r="AR900" s="6"/>
      <c r="AS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11"/>
      <c r="X901" s="11"/>
      <c r="Y901" s="11"/>
      <c r="Z901" s="11"/>
      <c r="AA901" s="11"/>
      <c r="AB901" s="11"/>
      <c r="AC901" s="11"/>
      <c r="AD901" s="11"/>
      <c r="AE901" s="11"/>
      <c r="AF901" s="11"/>
      <c r="AG901" s="6"/>
      <c r="AH901" s="6"/>
      <c r="AI901" s="6"/>
      <c r="AJ901" s="6"/>
      <c r="AK901" s="6"/>
      <c r="AL901" s="6"/>
      <c r="AM901" s="6"/>
      <c r="AN901" s="6"/>
      <c r="AO901" s="6"/>
      <c r="AP901" s="6"/>
      <c r="AQ901" s="6"/>
      <c r="AR901" s="6"/>
      <c r="AS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11"/>
      <c r="X902" s="11"/>
      <c r="Y902" s="11"/>
      <c r="Z902" s="11"/>
      <c r="AA902" s="11"/>
      <c r="AB902" s="11"/>
      <c r="AC902" s="11"/>
      <c r="AD902" s="11"/>
      <c r="AE902" s="11"/>
      <c r="AF902" s="11"/>
      <c r="AG902" s="6"/>
      <c r="AH902" s="6"/>
      <c r="AI902" s="6"/>
      <c r="AJ902" s="6"/>
      <c r="AK902" s="6"/>
      <c r="AL902" s="6"/>
      <c r="AM902" s="6"/>
      <c r="AN902" s="6"/>
      <c r="AO902" s="6"/>
      <c r="AP902" s="6"/>
      <c r="AQ902" s="6"/>
      <c r="AR902" s="6"/>
      <c r="AS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11"/>
      <c r="X903" s="11"/>
      <c r="Y903" s="11"/>
      <c r="Z903" s="11"/>
      <c r="AA903" s="11"/>
      <c r="AB903" s="11"/>
      <c r="AC903" s="11"/>
      <c r="AD903" s="11"/>
      <c r="AE903" s="11"/>
      <c r="AF903" s="11"/>
      <c r="AG903" s="6"/>
      <c r="AH903" s="6"/>
      <c r="AI903" s="6"/>
      <c r="AJ903" s="6"/>
      <c r="AK903" s="6"/>
      <c r="AL903" s="6"/>
      <c r="AM903" s="6"/>
      <c r="AN903" s="6"/>
      <c r="AO903" s="6"/>
      <c r="AP903" s="6"/>
      <c r="AQ903" s="6"/>
      <c r="AR903" s="6"/>
      <c r="AS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11"/>
      <c r="X904" s="11"/>
      <c r="Y904" s="11"/>
      <c r="Z904" s="11"/>
      <c r="AA904" s="11"/>
      <c r="AB904" s="11"/>
      <c r="AC904" s="11"/>
      <c r="AD904" s="11"/>
      <c r="AE904" s="11"/>
      <c r="AF904" s="11"/>
      <c r="AG904" s="6"/>
      <c r="AH904" s="6"/>
      <c r="AI904" s="6"/>
      <c r="AJ904" s="6"/>
      <c r="AK904" s="6"/>
      <c r="AL904" s="6"/>
      <c r="AM904" s="6"/>
      <c r="AN904" s="6"/>
      <c r="AO904" s="6"/>
      <c r="AP904" s="6"/>
      <c r="AQ904" s="6"/>
      <c r="AR904" s="6"/>
      <c r="AS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11"/>
      <c r="X905" s="11"/>
      <c r="Y905" s="11"/>
      <c r="Z905" s="11"/>
      <c r="AA905" s="11"/>
      <c r="AB905" s="11"/>
      <c r="AC905" s="11"/>
      <c r="AD905" s="11"/>
      <c r="AE905" s="11"/>
      <c r="AF905" s="11"/>
      <c r="AG905" s="6"/>
      <c r="AH905" s="6"/>
      <c r="AI905" s="6"/>
      <c r="AJ905" s="6"/>
      <c r="AK905" s="6"/>
      <c r="AL905" s="6"/>
      <c r="AM905" s="6"/>
      <c r="AN905" s="6"/>
      <c r="AO905" s="6"/>
      <c r="AP905" s="6"/>
      <c r="AQ905" s="6"/>
      <c r="AR905" s="6"/>
      <c r="AS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11"/>
      <c r="X906" s="11"/>
      <c r="Y906" s="11"/>
      <c r="Z906" s="11"/>
      <c r="AA906" s="11"/>
      <c r="AB906" s="11"/>
      <c r="AC906" s="11"/>
      <c r="AD906" s="11"/>
      <c r="AE906" s="11"/>
      <c r="AF906" s="11"/>
      <c r="AG906" s="6"/>
      <c r="AH906" s="6"/>
      <c r="AI906" s="6"/>
      <c r="AJ906" s="6"/>
      <c r="AK906" s="6"/>
      <c r="AL906" s="6"/>
      <c r="AM906" s="6"/>
      <c r="AN906" s="6"/>
      <c r="AO906" s="6"/>
      <c r="AP906" s="6"/>
      <c r="AQ906" s="6"/>
      <c r="AR906" s="6"/>
      <c r="AS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11"/>
      <c r="X907" s="11"/>
      <c r="Y907" s="11"/>
      <c r="Z907" s="11"/>
      <c r="AA907" s="11"/>
      <c r="AB907" s="11"/>
      <c r="AC907" s="11"/>
      <c r="AD907" s="11"/>
      <c r="AE907" s="11"/>
      <c r="AF907" s="11"/>
      <c r="AG907" s="6"/>
      <c r="AH907" s="6"/>
      <c r="AI907" s="6"/>
      <c r="AJ907" s="6"/>
      <c r="AK907" s="6"/>
      <c r="AL907" s="6"/>
      <c r="AM907" s="6"/>
      <c r="AN907" s="6"/>
      <c r="AO907" s="6"/>
      <c r="AP907" s="6"/>
      <c r="AQ907" s="6"/>
      <c r="AR907" s="6"/>
      <c r="AS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11"/>
      <c r="X908" s="11"/>
      <c r="Y908" s="11"/>
      <c r="Z908" s="11"/>
      <c r="AA908" s="11"/>
      <c r="AB908" s="11"/>
      <c r="AC908" s="11"/>
      <c r="AD908" s="11"/>
      <c r="AE908" s="11"/>
      <c r="AF908" s="11"/>
      <c r="AG908" s="6"/>
      <c r="AH908" s="6"/>
      <c r="AI908" s="6"/>
      <c r="AJ908" s="6"/>
      <c r="AK908" s="6"/>
      <c r="AL908" s="6"/>
      <c r="AM908" s="6"/>
      <c r="AN908" s="6"/>
      <c r="AO908" s="6"/>
      <c r="AP908" s="6"/>
      <c r="AQ908" s="6"/>
      <c r="AR908" s="6"/>
      <c r="AS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11"/>
      <c r="X909" s="11"/>
      <c r="Y909" s="11"/>
      <c r="Z909" s="11"/>
      <c r="AA909" s="11"/>
      <c r="AB909" s="11"/>
      <c r="AC909" s="11"/>
      <c r="AD909" s="11"/>
      <c r="AE909" s="11"/>
      <c r="AF909" s="11"/>
      <c r="AG909" s="6"/>
      <c r="AH909" s="6"/>
      <c r="AI909" s="6"/>
      <c r="AJ909" s="6"/>
      <c r="AK909" s="6"/>
      <c r="AL909" s="6"/>
      <c r="AM909" s="6"/>
      <c r="AN909" s="6"/>
      <c r="AO909" s="6"/>
      <c r="AP909" s="6"/>
      <c r="AQ909" s="6"/>
      <c r="AR909" s="6"/>
      <c r="AS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11"/>
      <c r="X910" s="11"/>
      <c r="Y910" s="11"/>
      <c r="Z910" s="11"/>
      <c r="AA910" s="11"/>
      <c r="AB910" s="11"/>
      <c r="AC910" s="11"/>
      <c r="AD910" s="11"/>
      <c r="AE910" s="11"/>
      <c r="AF910" s="11"/>
      <c r="AG910" s="6"/>
      <c r="AH910" s="6"/>
      <c r="AI910" s="6"/>
      <c r="AJ910" s="6"/>
      <c r="AK910" s="6"/>
      <c r="AL910" s="6"/>
      <c r="AM910" s="6"/>
      <c r="AN910" s="6"/>
      <c r="AO910" s="6"/>
      <c r="AP910" s="6"/>
      <c r="AQ910" s="6"/>
      <c r="AR910" s="6"/>
      <c r="AS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11"/>
      <c r="X911" s="11"/>
      <c r="Y911" s="11"/>
      <c r="Z911" s="11"/>
      <c r="AA911" s="11"/>
      <c r="AB911" s="11"/>
      <c r="AC911" s="11"/>
      <c r="AD911" s="11"/>
      <c r="AE911" s="11"/>
      <c r="AF911" s="11"/>
      <c r="AG911" s="6"/>
      <c r="AH911" s="6"/>
      <c r="AI911" s="6"/>
      <c r="AJ911" s="6"/>
      <c r="AK911" s="6"/>
      <c r="AL911" s="6"/>
      <c r="AM911" s="6"/>
      <c r="AN911" s="6"/>
      <c r="AO911" s="6"/>
      <c r="AP911" s="6"/>
      <c r="AQ911" s="6"/>
      <c r="AR911" s="6"/>
      <c r="AS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11"/>
      <c r="X912" s="11"/>
      <c r="Y912" s="11"/>
      <c r="Z912" s="11"/>
      <c r="AA912" s="11"/>
      <c r="AB912" s="11"/>
      <c r="AC912" s="11"/>
      <c r="AD912" s="11"/>
      <c r="AE912" s="11"/>
      <c r="AF912" s="11"/>
      <c r="AG912" s="6"/>
      <c r="AH912" s="6"/>
      <c r="AI912" s="6"/>
      <c r="AJ912" s="6"/>
      <c r="AK912" s="6"/>
      <c r="AL912" s="6"/>
      <c r="AM912" s="6"/>
      <c r="AN912" s="6"/>
      <c r="AO912" s="6"/>
      <c r="AP912" s="6"/>
      <c r="AQ912" s="6"/>
      <c r="AR912" s="6"/>
      <c r="AS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11"/>
      <c r="X913" s="11"/>
      <c r="Y913" s="11"/>
      <c r="Z913" s="11"/>
      <c r="AA913" s="11"/>
      <c r="AB913" s="11"/>
      <c r="AC913" s="11"/>
      <c r="AD913" s="11"/>
      <c r="AE913" s="11"/>
      <c r="AF913" s="11"/>
      <c r="AG913" s="6"/>
      <c r="AH913" s="6"/>
      <c r="AI913" s="6"/>
      <c r="AJ913" s="6"/>
      <c r="AK913" s="6"/>
      <c r="AL913" s="6"/>
      <c r="AM913" s="6"/>
      <c r="AN913" s="6"/>
      <c r="AO913" s="6"/>
      <c r="AP913" s="6"/>
      <c r="AQ913" s="6"/>
      <c r="AR913" s="6"/>
      <c r="AS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11"/>
      <c r="X914" s="11"/>
      <c r="Y914" s="11"/>
      <c r="Z914" s="11"/>
      <c r="AA914" s="11"/>
      <c r="AB914" s="11"/>
      <c r="AC914" s="11"/>
      <c r="AD914" s="11"/>
      <c r="AE914" s="11"/>
      <c r="AF914" s="11"/>
      <c r="AG914" s="6"/>
      <c r="AH914" s="6"/>
      <c r="AI914" s="6"/>
      <c r="AJ914" s="6"/>
      <c r="AK914" s="6"/>
      <c r="AL914" s="6"/>
      <c r="AM914" s="6"/>
      <c r="AN914" s="6"/>
      <c r="AO914" s="6"/>
      <c r="AP914" s="6"/>
      <c r="AQ914" s="6"/>
      <c r="AR914" s="6"/>
      <c r="AS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11"/>
      <c r="X915" s="11"/>
      <c r="Y915" s="11"/>
      <c r="Z915" s="11"/>
      <c r="AA915" s="11"/>
      <c r="AB915" s="11"/>
      <c r="AC915" s="11"/>
      <c r="AD915" s="11"/>
      <c r="AE915" s="11"/>
      <c r="AF915" s="11"/>
      <c r="AG915" s="6"/>
      <c r="AH915" s="6"/>
      <c r="AI915" s="6"/>
      <c r="AJ915" s="6"/>
      <c r="AK915" s="6"/>
      <c r="AL915" s="6"/>
      <c r="AM915" s="6"/>
      <c r="AN915" s="6"/>
      <c r="AO915" s="6"/>
      <c r="AP915" s="6"/>
      <c r="AQ915" s="6"/>
      <c r="AR915" s="6"/>
      <c r="AS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11"/>
      <c r="X916" s="11"/>
      <c r="Y916" s="11"/>
      <c r="Z916" s="11"/>
      <c r="AA916" s="11"/>
      <c r="AB916" s="11"/>
      <c r="AC916" s="11"/>
      <c r="AD916" s="11"/>
      <c r="AE916" s="11"/>
      <c r="AF916" s="11"/>
      <c r="AG916" s="6"/>
      <c r="AH916" s="6"/>
      <c r="AI916" s="6"/>
      <c r="AJ916" s="6"/>
      <c r="AK916" s="6"/>
      <c r="AL916" s="6"/>
      <c r="AM916" s="6"/>
      <c r="AN916" s="6"/>
      <c r="AO916" s="6"/>
      <c r="AP916" s="6"/>
      <c r="AQ916" s="6"/>
      <c r="AR916" s="6"/>
      <c r="AS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11"/>
      <c r="X917" s="11"/>
      <c r="Y917" s="11"/>
      <c r="Z917" s="11"/>
      <c r="AA917" s="11"/>
      <c r="AB917" s="11"/>
      <c r="AC917" s="11"/>
      <c r="AD917" s="11"/>
      <c r="AE917" s="11"/>
      <c r="AF917" s="11"/>
      <c r="AG917" s="6"/>
      <c r="AH917" s="6"/>
      <c r="AI917" s="6"/>
      <c r="AJ917" s="6"/>
      <c r="AK917" s="6"/>
      <c r="AL917" s="6"/>
      <c r="AM917" s="6"/>
      <c r="AN917" s="6"/>
      <c r="AO917" s="6"/>
      <c r="AP917" s="6"/>
      <c r="AQ917" s="6"/>
      <c r="AR917" s="6"/>
      <c r="AS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11"/>
      <c r="X918" s="11"/>
      <c r="Y918" s="11"/>
      <c r="Z918" s="11"/>
      <c r="AA918" s="11"/>
      <c r="AB918" s="11"/>
      <c r="AC918" s="11"/>
      <c r="AD918" s="11"/>
      <c r="AE918" s="11"/>
      <c r="AF918" s="11"/>
      <c r="AG918" s="6"/>
      <c r="AH918" s="6"/>
      <c r="AI918" s="6"/>
      <c r="AJ918" s="6"/>
      <c r="AK918" s="6"/>
      <c r="AL918" s="6"/>
      <c r="AM918" s="6"/>
      <c r="AN918" s="6"/>
      <c r="AO918" s="6"/>
      <c r="AP918" s="6"/>
      <c r="AQ918" s="6"/>
      <c r="AR918" s="6"/>
      <c r="AS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11"/>
      <c r="X919" s="11"/>
      <c r="Y919" s="11"/>
      <c r="Z919" s="11"/>
      <c r="AA919" s="11"/>
      <c r="AB919" s="11"/>
      <c r="AC919" s="11"/>
      <c r="AD919" s="11"/>
      <c r="AE919" s="11"/>
      <c r="AF919" s="11"/>
      <c r="AG919" s="6"/>
      <c r="AH919" s="6"/>
      <c r="AI919" s="6"/>
      <c r="AJ919" s="6"/>
      <c r="AK919" s="6"/>
      <c r="AL919" s="6"/>
      <c r="AM919" s="6"/>
      <c r="AN919" s="6"/>
      <c r="AO919" s="6"/>
      <c r="AP919" s="6"/>
      <c r="AQ919" s="6"/>
      <c r="AR919" s="6"/>
      <c r="AS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11"/>
      <c r="X920" s="11"/>
      <c r="Y920" s="11"/>
      <c r="Z920" s="11"/>
      <c r="AA920" s="11"/>
      <c r="AB920" s="11"/>
      <c r="AC920" s="11"/>
      <c r="AD920" s="11"/>
      <c r="AE920" s="11"/>
      <c r="AF920" s="11"/>
      <c r="AG920" s="6"/>
      <c r="AH920" s="6"/>
      <c r="AI920" s="6"/>
      <c r="AJ920" s="6"/>
      <c r="AK920" s="6"/>
      <c r="AL920" s="6"/>
      <c r="AM920" s="6"/>
      <c r="AN920" s="6"/>
      <c r="AO920" s="6"/>
      <c r="AP920" s="6"/>
      <c r="AQ920" s="6"/>
      <c r="AR920" s="6"/>
      <c r="AS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11"/>
      <c r="X921" s="11"/>
      <c r="Y921" s="11"/>
      <c r="Z921" s="11"/>
      <c r="AA921" s="11"/>
      <c r="AB921" s="11"/>
      <c r="AC921" s="11"/>
      <c r="AD921" s="11"/>
      <c r="AE921" s="11"/>
      <c r="AF921" s="11"/>
      <c r="AG921" s="6"/>
      <c r="AH921" s="6"/>
      <c r="AI921" s="6"/>
      <c r="AJ921" s="6"/>
      <c r="AK921" s="6"/>
      <c r="AL921" s="6"/>
      <c r="AM921" s="6"/>
      <c r="AN921" s="6"/>
      <c r="AO921" s="6"/>
      <c r="AP921" s="6"/>
      <c r="AQ921" s="6"/>
      <c r="AR921" s="6"/>
      <c r="AS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11"/>
      <c r="X922" s="11"/>
      <c r="Y922" s="11"/>
      <c r="Z922" s="11"/>
      <c r="AA922" s="11"/>
      <c r="AB922" s="11"/>
      <c r="AC922" s="11"/>
      <c r="AD922" s="11"/>
      <c r="AE922" s="11"/>
      <c r="AF922" s="11"/>
      <c r="AG922" s="6"/>
      <c r="AH922" s="6"/>
      <c r="AI922" s="6"/>
      <c r="AJ922" s="6"/>
      <c r="AK922" s="6"/>
      <c r="AL922" s="6"/>
      <c r="AM922" s="6"/>
      <c r="AN922" s="6"/>
      <c r="AO922" s="6"/>
      <c r="AP922" s="6"/>
      <c r="AQ922" s="6"/>
      <c r="AR922" s="6"/>
      <c r="AS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11"/>
      <c r="X923" s="11"/>
      <c r="Y923" s="11"/>
      <c r="Z923" s="11"/>
      <c r="AA923" s="11"/>
      <c r="AB923" s="11"/>
      <c r="AC923" s="11"/>
      <c r="AD923" s="11"/>
      <c r="AE923" s="11"/>
      <c r="AF923" s="11"/>
      <c r="AG923" s="6"/>
      <c r="AH923" s="6"/>
      <c r="AI923" s="6"/>
      <c r="AJ923" s="6"/>
      <c r="AK923" s="6"/>
      <c r="AL923" s="6"/>
      <c r="AM923" s="6"/>
      <c r="AN923" s="6"/>
      <c r="AO923" s="6"/>
      <c r="AP923" s="6"/>
      <c r="AQ923" s="6"/>
      <c r="AR923" s="6"/>
      <c r="AS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11"/>
      <c r="X924" s="11"/>
      <c r="Y924" s="11"/>
      <c r="Z924" s="11"/>
      <c r="AA924" s="11"/>
      <c r="AB924" s="11"/>
      <c r="AC924" s="11"/>
      <c r="AD924" s="11"/>
      <c r="AE924" s="11"/>
      <c r="AF924" s="11"/>
      <c r="AG924" s="6"/>
      <c r="AH924" s="6"/>
      <c r="AI924" s="6"/>
      <c r="AJ924" s="6"/>
      <c r="AK924" s="6"/>
      <c r="AL924" s="6"/>
      <c r="AM924" s="6"/>
      <c r="AN924" s="6"/>
      <c r="AO924" s="6"/>
      <c r="AP924" s="6"/>
      <c r="AQ924" s="6"/>
      <c r="AR924" s="6"/>
      <c r="AS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11"/>
      <c r="X925" s="11"/>
      <c r="Y925" s="11"/>
      <c r="Z925" s="11"/>
      <c r="AA925" s="11"/>
      <c r="AB925" s="11"/>
      <c r="AC925" s="11"/>
      <c r="AD925" s="11"/>
      <c r="AE925" s="11"/>
      <c r="AF925" s="11"/>
      <c r="AG925" s="6"/>
      <c r="AH925" s="6"/>
      <c r="AI925" s="6"/>
      <c r="AJ925" s="6"/>
      <c r="AK925" s="6"/>
      <c r="AL925" s="6"/>
      <c r="AM925" s="6"/>
      <c r="AN925" s="6"/>
      <c r="AO925" s="6"/>
      <c r="AP925" s="6"/>
      <c r="AQ925" s="6"/>
      <c r="AR925" s="6"/>
      <c r="AS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11"/>
      <c r="X926" s="11"/>
      <c r="Y926" s="11"/>
      <c r="Z926" s="11"/>
      <c r="AA926" s="11"/>
      <c r="AB926" s="11"/>
      <c r="AC926" s="11"/>
      <c r="AD926" s="11"/>
      <c r="AE926" s="11"/>
      <c r="AF926" s="11"/>
      <c r="AG926" s="6"/>
      <c r="AH926" s="6"/>
      <c r="AI926" s="6"/>
      <c r="AJ926" s="6"/>
      <c r="AK926" s="6"/>
      <c r="AL926" s="6"/>
      <c r="AM926" s="6"/>
      <c r="AN926" s="6"/>
      <c r="AO926" s="6"/>
      <c r="AP926" s="6"/>
      <c r="AQ926" s="6"/>
      <c r="AR926" s="6"/>
      <c r="AS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11"/>
      <c r="X927" s="11"/>
      <c r="Y927" s="11"/>
      <c r="Z927" s="11"/>
      <c r="AA927" s="11"/>
      <c r="AB927" s="11"/>
      <c r="AC927" s="11"/>
      <c r="AD927" s="11"/>
      <c r="AE927" s="11"/>
      <c r="AF927" s="11"/>
      <c r="AG927" s="6"/>
      <c r="AH927" s="6"/>
      <c r="AI927" s="6"/>
      <c r="AJ927" s="6"/>
      <c r="AK927" s="6"/>
      <c r="AL927" s="6"/>
      <c r="AM927" s="6"/>
      <c r="AN927" s="6"/>
      <c r="AO927" s="6"/>
      <c r="AP927" s="6"/>
      <c r="AQ927" s="6"/>
      <c r="AR927" s="6"/>
      <c r="AS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11"/>
      <c r="X928" s="11"/>
      <c r="Y928" s="11"/>
      <c r="Z928" s="11"/>
      <c r="AA928" s="11"/>
      <c r="AB928" s="11"/>
      <c r="AC928" s="11"/>
      <c r="AD928" s="11"/>
      <c r="AE928" s="11"/>
      <c r="AF928" s="11"/>
      <c r="AG928" s="6"/>
      <c r="AH928" s="6"/>
      <c r="AI928" s="6"/>
      <c r="AJ928" s="6"/>
      <c r="AK928" s="6"/>
      <c r="AL928" s="6"/>
      <c r="AM928" s="6"/>
      <c r="AN928" s="6"/>
      <c r="AO928" s="6"/>
      <c r="AP928" s="6"/>
      <c r="AQ928" s="6"/>
      <c r="AR928" s="6"/>
      <c r="AS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11"/>
      <c r="X929" s="11"/>
      <c r="Y929" s="11"/>
      <c r="Z929" s="11"/>
      <c r="AA929" s="11"/>
      <c r="AB929" s="11"/>
      <c r="AC929" s="11"/>
      <c r="AD929" s="11"/>
      <c r="AE929" s="11"/>
      <c r="AF929" s="11"/>
      <c r="AG929" s="6"/>
      <c r="AH929" s="6"/>
      <c r="AI929" s="6"/>
      <c r="AJ929" s="6"/>
      <c r="AK929" s="6"/>
      <c r="AL929" s="6"/>
      <c r="AM929" s="6"/>
      <c r="AN929" s="6"/>
      <c r="AO929" s="6"/>
      <c r="AP929" s="6"/>
      <c r="AQ929" s="6"/>
      <c r="AR929" s="6"/>
      <c r="AS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11"/>
      <c r="X930" s="11"/>
      <c r="Y930" s="11"/>
      <c r="Z930" s="11"/>
      <c r="AA930" s="11"/>
      <c r="AB930" s="11"/>
      <c r="AC930" s="11"/>
      <c r="AD930" s="11"/>
      <c r="AE930" s="11"/>
      <c r="AF930" s="11"/>
      <c r="AG930" s="6"/>
      <c r="AH930" s="6"/>
      <c r="AI930" s="6"/>
      <c r="AJ930" s="6"/>
      <c r="AK930" s="6"/>
      <c r="AL930" s="6"/>
      <c r="AM930" s="6"/>
      <c r="AN930" s="6"/>
      <c r="AO930" s="6"/>
      <c r="AP930" s="6"/>
      <c r="AQ930" s="6"/>
      <c r="AR930" s="6"/>
      <c r="AS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11"/>
      <c r="X931" s="11"/>
      <c r="Y931" s="11"/>
      <c r="Z931" s="11"/>
      <c r="AA931" s="11"/>
      <c r="AB931" s="11"/>
      <c r="AC931" s="11"/>
      <c r="AD931" s="11"/>
      <c r="AE931" s="11"/>
      <c r="AF931" s="11"/>
      <c r="AG931" s="6"/>
      <c r="AH931" s="6"/>
      <c r="AI931" s="6"/>
      <c r="AJ931" s="6"/>
      <c r="AK931" s="6"/>
      <c r="AL931" s="6"/>
      <c r="AM931" s="6"/>
      <c r="AN931" s="6"/>
      <c r="AO931" s="6"/>
      <c r="AP931" s="6"/>
      <c r="AQ931" s="6"/>
      <c r="AR931" s="6"/>
      <c r="AS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11"/>
      <c r="X932" s="11"/>
      <c r="Y932" s="11"/>
      <c r="Z932" s="11"/>
      <c r="AA932" s="11"/>
      <c r="AB932" s="11"/>
      <c r="AC932" s="11"/>
      <c r="AD932" s="11"/>
      <c r="AE932" s="11"/>
      <c r="AF932" s="11"/>
      <c r="AG932" s="6"/>
      <c r="AH932" s="6"/>
      <c r="AI932" s="6"/>
      <c r="AJ932" s="6"/>
      <c r="AK932" s="6"/>
      <c r="AL932" s="6"/>
      <c r="AM932" s="6"/>
      <c r="AN932" s="6"/>
      <c r="AO932" s="6"/>
      <c r="AP932" s="6"/>
      <c r="AQ932" s="6"/>
      <c r="AR932" s="6"/>
      <c r="AS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11"/>
      <c r="X933" s="11"/>
      <c r="Y933" s="11"/>
      <c r="Z933" s="11"/>
      <c r="AA933" s="11"/>
      <c r="AB933" s="11"/>
      <c r="AC933" s="11"/>
      <c r="AD933" s="11"/>
      <c r="AE933" s="11"/>
      <c r="AF933" s="11"/>
      <c r="AG933" s="6"/>
      <c r="AH933" s="6"/>
      <c r="AI933" s="6"/>
      <c r="AJ933" s="6"/>
      <c r="AK933" s="6"/>
      <c r="AL933" s="6"/>
      <c r="AM933" s="6"/>
      <c r="AN933" s="6"/>
      <c r="AO933" s="6"/>
      <c r="AP933" s="6"/>
      <c r="AQ933" s="6"/>
      <c r="AR933" s="6"/>
      <c r="AS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11"/>
      <c r="X934" s="11"/>
      <c r="Y934" s="11"/>
      <c r="Z934" s="11"/>
      <c r="AA934" s="11"/>
      <c r="AB934" s="11"/>
      <c r="AC934" s="11"/>
      <c r="AD934" s="11"/>
      <c r="AE934" s="11"/>
      <c r="AF934" s="11"/>
      <c r="AG934" s="6"/>
      <c r="AH934" s="6"/>
      <c r="AI934" s="6"/>
      <c r="AJ934" s="6"/>
      <c r="AK934" s="6"/>
      <c r="AL934" s="6"/>
      <c r="AM934" s="6"/>
      <c r="AN934" s="6"/>
      <c r="AO934" s="6"/>
      <c r="AP934" s="6"/>
      <c r="AQ934" s="6"/>
      <c r="AR934" s="6"/>
      <c r="AS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11"/>
      <c r="X935" s="11"/>
      <c r="Y935" s="11"/>
      <c r="Z935" s="11"/>
      <c r="AA935" s="11"/>
      <c r="AB935" s="11"/>
      <c r="AC935" s="11"/>
      <c r="AD935" s="11"/>
      <c r="AE935" s="11"/>
      <c r="AF935" s="11"/>
      <c r="AG935" s="6"/>
      <c r="AH935" s="6"/>
      <c r="AI935" s="6"/>
      <c r="AJ935" s="6"/>
      <c r="AK935" s="6"/>
      <c r="AL935" s="6"/>
      <c r="AM935" s="6"/>
      <c r="AN935" s="6"/>
      <c r="AO935" s="6"/>
      <c r="AP935" s="6"/>
      <c r="AQ935" s="6"/>
      <c r="AR935" s="6"/>
      <c r="AS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11"/>
      <c r="X936" s="11"/>
      <c r="Y936" s="11"/>
      <c r="Z936" s="11"/>
      <c r="AA936" s="11"/>
      <c r="AB936" s="11"/>
      <c r="AC936" s="11"/>
      <c r="AD936" s="11"/>
      <c r="AE936" s="11"/>
      <c r="AF936" s="11"/>
      <c r="AG936" s="6"/>
      <c r="AH936" s="6"/>
      <c r="AI936" s="6"/>
      <c r="AJ936" s="6"/>
      <c r="AK936" s="6"/>
      <c r="AL936" s="6"/>
      <c r="AM936" s="6"/>
      <c r="AN936" s="6"/>
      <c r="AO936" s="6"/>
      <c r="AP936" s="6"/>
      <c r="AQ936" s="6"/>
      <c r="AR936" s="6"/>
      <c r="AS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11"/>
      <c r="X937" s="11"/>
      <c r="Y937" s="11"/>
      <c r="Z937" s="11"/>
      <c r="AA937" s="11"/>
      <c r="AB937" s="11"/>
      <c r="AC937" s="11"/>
      <c r="AD937" s="11"/>
      <c r="AE937" s="11"/>
      <c r="AF937" s="11"/>
      <c r="AG937" s="6"/>
      <c r="AH937" s="6"/>
      <c r="AI937" s="6"/>
      <c r="AJ937" s="6"/>
      <c r="AK937" s="6"/>
      <c r="AL937" s="6"/>
      <c r="AM937" s="6"/>
      <c r="AN937" s="6"/>
      <c r="AO937" s="6"/>
      <c r="AP937" s="6"/>
      <c r="AQ937" s="6"/>
      <c r="AR937" s="6"/>
      <c r="AS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11"/>
      <c r="X938" s="11"/>
      <c r="Y938" s="11"/>
      <c r="Z938" s="11"/>
      <c r="AA938" s="11"/>
      <c r="AB938" s="11"/>
      <c r="AC938" s="11"/>
      <c r="AD938" s="11"/>
      <c r="AE938" s="11"/>
      <c r="AF938" s="11"/>
      <c r="AG938" s="6"/>
      <c r="AH938" s="6"/>
      <c r="AI938" s="6"/>
      <c r="AJ938" s="6"/>
      <c r="AK938" s="6"/>
      <c r="AL938" s="6"/>
      <c r="AM938" s="6"/>
      <c r="AN938" s="6"/>
      <c r="AO938" s="6"/>
      <c r="AP938" s="6"/>
      <c r="AQ938" s="6"/>
      <c r="AR938" s="6"/>
      <c r="AS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11"/>
      <c r="X939" s="11"/>
      <c r="Y939" s="11"/>
      <c r="Z939" s="11"/>
      <c r="AA939" s="11"/>
      <c r="AB939" s="11"/>
      <c r="AC939" s="11"/>
      <c r="AD939" s="11"/>
      <c r="AE939" s="11"/>
      <c r="AF939" s="11"/>
      <c r="AG939" s="6"/>
      <c r="AH939" s="6"/>
      <c r="AI939" s="6"/>
      <c r="AJ939" s="6"/>
      <c r="AK939" s="6"/>
      <c r="AL939" s="6"/>
      <c r="AM939" s="6"/>
      <c r="AN939" s="6"/>
      <c r="AO939" s="6"/>
      <c r="AP939" s="6"/>
      <c r="AQ939" s="6"/>
      <c r="AR939" s="6"/>
      <c r="AS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11"/>
      <c r="X940" s="11"/>
      <c r="Y940" s="11"/>
      <c r="Z940" s="11"/>
      <c r="AA940" s="11"/>
      <c r="AB940" s="11"/>
      <c r="AC940" s="11"/>
      <c r="AD940" s="11"/>
      <c r="AE940" s="11"/>
      <c r="AF940" s="11"/>
      <c r="AG940" s="6"/>
      <c r="AH940" s="6"/>
      <c r="AI940" s="6"/>
      <c r="AJ940" s="6"/>
      <c r="AK940" s="6"/>
      <c r="AL940" s="6"/>
      <c r="AM940" s="6"/>
      <c r="AN940" s="6"/>
      <c r="AO940" s="6"/>
      <c r="AP940" s="6"/>
      <c r="AQ940" s="6"/>
      <c r="AR940" s="6"/>
      <c r="AS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11"/>
      <c r="X941" s="11"/>
      <c r="Y941" s="11"/>
      <c r="Z941" s="11"/>
      <c r="AA941" s="11"/>
      <c r="AB941" s="11"/>
      <c r="AC941" s="11"/>
      <c r="AD941" s="11"/>
      <c r="AE941" s="11"/>
      <c r="AF941" s="11"/>
      <c r="AG941" s="6"/>
      <c r="AH941" s="6"/>
      <c r="AI941" s="6"/>
      <c r="AJ941" s="6"/>
      <c r="AK941" s="6"/>
      <c r="AL941" s="6"/>
      <c r="AM941" s="6"/>
      <c r="AN941" s="6"/>
      <c r="AO941" s="6"/>
      <c r="AP941" s="6"/>
      <c r="AQ941" s="6"/>
      <c r="AR941" s="6"/>
      <c r="AS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11"/>
      <c r="X942" s="11"/>
      <c r="Y942" s="11"/>
      <c r="Z942" s="11"/>
      <c r="AA942" s="11"/>
      <c r="AB942" s="11"/>
      <c r="AC942" s="11"/>
      <c r="AD942" s="11"/>
      <c r="AE942" s="11"/>
      <c r="AF942" s="11"/>
      <c r="AG942" s="6"/>
      <c r="AH942" s="6"/>
      <c r="AI942" s="6"/>
      <c r="AJ942" s="6"/>
      <c r="AK942" s="6"/>
      <c r="AL942" s="6"/>
      <c r="AM942" s="6"/>
      <c r="AN942" s="6"/>
      <c r="AO942" s="6"/>
      <c r="AP942" s="6"/>
      <c r="AQ942" s="6"/>
      <c r="AR942" s="6"/>
      <c r="AS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11"/>
      <c r="X943" s="11"/>
      <c r="Y943" s="11"/>
      <c r="Z943" s="11"/>
      <c r="AA943" s="11"/>
      <c r="AB943" s="11"/>
      <c r="AC943" s="11"/>
      <c r="AD943" s="11"/>
      <c r="AE943" s="11"/>
      <c r="AF943" s="11"/>
      <c r="AG943" s="6"/>
      <c r="AH943" s="6"/>
      <c r="AI943" s="6"/>
      <c r="AJ943" s="6"/>
      <c r="AK943" s="6"/>
      <c r="AL943" s="6"/>
      <c r="AM943" s="6"/>
      <c r="AN943" s="6"/>
      <c r="AO943" s="6"/>
      <c r="AP943" s="6"/>
      <c r="AQ943" s="6"/>
      <c r="AR943" s="6"/>
      <c r="AS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11"/>
      <c r="X944" s="11"/>
      <c r="Y944" s="11"/>
      <c r="Z944" s="11"/>
      <c r="AA944" s="11"/>
      <c r="AB944" s="11"/>
      <c r="AC944" s="11"/>
      <c r="AD944" s="11"/>
      <c r="AE944" s="11"/>
      <c r="AF944" s="11"/>
      <c r="AG944" s="6"/>
      <c r="AH944" s="6"/>
      <c r="AI944" s="6"/>
      <c r="AJ944" s="6"/>
      <c r="AK944" s="6"/>
      <c r="AL944" s="6"/>
      <c r="AM944" s="6"/>
      <c r="AN944" s="6"/>
      <c r="AO944" s="6"/>
      <c r="AP944" s="6"/>
      <c r="AQ944" s="6"/>
      <c r="AR944" s="6"/>
      <c r="AS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11"/>
      <c r="X945" s="11"/>
      <c r="Y945" s="11"/>
      <c r="Z945" s="11"/>
      <c r="AA945" s="11"/>
      <c r="AB945" s="11"/>
      <c r="AC945" s="11"/>
      <c r="AD945" s="11"/>
      <c r="AE945" s="11"/>
      <c r="AF945" s="11"/>
      <c r="AG945" s="6"/>
      <c r="AH945" s="6"/>
      <c r="AI945" s="6"/>
      <c r="AJ945" s="6"/>
      <c r="AK945" s="6"/>
      <c r="AL945" s="6"/>
      <c r="AM945" s="6"/>
      <c r="AN945" s="6"/>
      <c r="AO945" s="6"/>
      <c r="AP945" s="6"/>
      <c r="AQ945" s="6"/>
      <c r="AR945" s="6"/>
      <c r="AS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11"/>
      <c r="X946" s="11"/>
      <c r="Y946" s="11"/>
      <c r="Z946" s="11"/>
      <c r="AA946" s="11"/>
      <c r="AB946" s="11"/>
      <c r="AC946" s="11"/>
      <c r="AD946" s="11"/>
      <c r="AE946" s="11"/>
      <c r="AF946" s="11"/>
      <c r="AG946" s="6"/>
      <c r="AH946" s="6"/>
      <c r="AI946" s="6"/>
      <c r="AJ946" s="6"/>
      <c r="AK946" s="6"/>
      <c r="AL946" s="6"/>
      <c r="AM946" s="6"/>
      <c r="AN946" s="6"/>
      <c r="AO946" s="6"/>
      <c r="AP946" s="6"/>
      <c r="AQ946" s="6"/>
      <c r="AR946" s="6"/>
      <c r="AS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11"/>
      <c r="X947" s="11"/>
      <c r="Y947" s="11"/>
      <c r="Z947" s="11"/>
      <c r="AA947" s="11"/>
      <c r="AB947" s="11"/>
      <c r="AC947" s="11"/>
      <c r="AD947" s="11"/>
      <c r="AE947" s="11"/>
      <c r="AF947" s="11"/>
      <c r="AG947" s="6"/>
      <c r="AH947" s="6"/>
      <c r="AI947" s="6"/>
      <c r="AJ947" s="6"/>
      <c r="AK947" s="6"/>
      <c r="AL947" s="6"/>
      <c r="AM947" s="6"/>
      <c r="AN947" s="6"/>
      <c r="AO947" s="6"/>
      <c r="AP947" s="6"/>
      <c r="AQ947" s="6"/>
      <c r="AR947" s="6"/>
      <c r="AS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11"/>
      <c r="X948" s="11"/>
      <c r="Y948" s="11"/>
      <c r="Z948" s="11"/>
      <c r="AA948" s="11"/>
      <c r="AB948" s="11"/>
      <c r="AC948" s="11"/>
      <c r="AD948" s="11"/>
      <c r="AE948" s="11"/>
      <c r="AF948" s="11"/>
      <c r="AG948" s="6"/>
      <c r="AH948" s="6"/>
      <c r="AI948" s="6"/>
      <c r="AJ948" s="6"/>
      <c r="AK948" s="6"/>
      <c r="AL948" s="6"/>
      <c r="AM948" s="6"/>
      <c r="AN948" s="6"/>
      <c r="AO948" s="6"/>
      <c r="AP948" s="6"/>
      <c r="AQ948" s="6"/>
      <c r="AR948" s="6"/>
      <c r="AS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11"/>
      <c r="X949" s="11"/>
      <c r="Y949" s="11"/>
      <c r="Z949" s="11"/>
      <c r="AA949" s="11"/>
      <c r="AB949" s="11"/>
      <c r="AC949" s="11"/>
      <c r="AD949" s="11"/>
      <c r="AE949" s="11"/>
      <c r="AF949" s="11"/>
      <c r="AG949" s="6"/>
      <c r="AH949" s="6"/>
      <c r="AI949" s="6"/>
      <c r="AJ949" s="6"/>
      <c r="AK949" s="6"/>
      <c r="AL949" s="6"/>
      <c r="AM949" s="6"/>
      <c r="AN949" s="6"/>
      <c r="AO949" s="6"/>
      <c r="AP949" s="6"/>
      <c r="AQ949" s="6"/>
      <c r="AR949" s="6"/>
      <c r="AS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11"/>
      <c r="X950" s="11"/>
      <c r="Y950" s="11"/>
      <c r="Z950" s="11"/>
      <c r="AA950" s="11"/>
      <c r="AB950" s="11"/>
      <c r="AC950" s="11"/>
      <c r="AD950" s="11"/>
      <c r="AE950" s="11"/>
      <c r="AF950" s="11"/>
      <c r="AG950" s="6"/>
      <c r="AH950" s="6"/>
      <c r="AI950" s="6"/>
      <c r="AJ950" s="6"/>
      <c r="AK950" s="6"/>
      <c r="AL950" s="6"/>
      <c r="AM950" s="6"/>
      <c r="AN950" s="6"/>
      <c r="AO950" s="6"/>
      <c r="AP950" s="6"/>
      <c r="AQ950" s="6"/>
      <c r="AR950" s="6"/>
      <c r="AS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11"/>
      <c r="X951" s="11"/>
      <c r="Y951" s="11"/>
      <c r="Z951" s="11"/>
      <c r="AA951" s="11"/>
      <c r="AB951" s="11"/>
      <c r="AC951" s="11"/>
      <c r="AD951" s="11"/>
      <c r="AE951" s="11"/>
      <c r="AF951" s="11"/>
      <c r="AG951" s="6"/>
      <c r="AH951" s="6"/>
      <c r="AI951" s="6"/>
      <c r="AJ951" s="6"/>
      <c r="AK951" s="6"/>
      <c r="AL951" s="6"/>
      <c r="AM951" s="6"/>
      <c r="AN951" s="6"/>
      <c r="AO951" s="6"/>
      <c r="AP951" s="6"/>
      <c r="AQ951" s="6"/>
      <c r="AR951" s="6"/>
      <c r="AS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11"/>
      <c r="X952" s="11"/>
      <c r="Y952" s="11"/>
      <c r="Z952" s="11"/>
      <c r="AA952" s="11"/>
      <c r="AB952" s="11"/>
      <c r="AC952" s="11"/>
      <c r="AD952" s="11"/>
      <c r="AE952" s="11"/>
      <c r="AF952" s="11"/>
      <c r="AG952" s="6"/>
      <c r="AH952" s="6"/>
      <c r="AI952" s="6"/>
      <c r="AJ952" s="6"/>
      <c r="AK952" s="6"/>
      <c r="AL952" s="6"/>
      <c r="AM952" s="6"/>
      <c r="AN952" s="6"/>
      <c r="AO952" s="6"/>
      <c r="AP952" s="6"/>
      <c r="AQ952" s="6"/>
      <c r="AR952" s="6"/>
      <c r="AS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11"/>
      <c r="X953" s="11"/>
      <c r="Y953" s="11"/>
      <c r="Z953" s="11"/>
      <c r="AA953" s="11"/>
      <c r="AB953" s="11"/>
      <c r="AC953" s="11"/>
      <c r="AD953" s="11"/>
      <c r="AE953" s="11"/>
      <c r="AF953" s="11"/>
      <c r="AG953" s="6"/>
      <c r="AH953" s="6"/>
      <c r="AI953" s="6"/>
      <c r="AJ953" s="6"/>
      <c r="AK953" s="6"/>
      <c r="AL953" s="6"/>
      <c r="AM953" s="6"/>
      <c r="AN953" s="6"/>
      <c r="AO953" s="6"/>
      <c r="AP953" s="6"/>
      <c r="AQ953" s="6"/>
      <c r="AR953" s="6"/>
      <c r="AS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11"/>
      <c r="X954" s="11"/>
      <c r="Y954" s="11"/>
      <c r="Z954" s="11"/>
      <c r="AA954" s="11"/>
      <c r="AB954" s="11"/>
      <c r="AC954" s="11"/>
      <c r="AD954" s="11"/>
      <c r="AE954" s="11"/>
      <c r="AF954" s="11"/>
      <c r="AG954" s="6"/>
      <c r="AH954" s="6"/>
      <c r="AI954" s="6"/>
      <c r="AJ954" s="6"/>
      <c r="AK954" s="6"/>
      <c r="AL954" s="6"/>
      <c r="AM954" s="6"/>
      <c r="AN954" s="6"/>
      <c r="AO954" s="6"/>
      <c r="AP954" s="6"/>
      <c r="AQ954" s="6"/>
      <c r="AR954" s="6"/>
      <c r="AS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11"/>
      <c r="X955" s="11"/>
      <c r="Y955" s="11"/>
      <c r="Z955" s="11"/>
      <c r="AA955" s="11"/>
      <c r="AB955" s="11"/>
      <c r="AC955" s="11"/>
      <c r="AD955" s="11"/>
      <c r="AE955" s="11"/>
      <c r="AF955" s="11"/>
      <c r="AG955" s="6"/>
      <c r="AH955" s="6"/>
      <c r="AI955" s="6"/>
      <c r="AJ955" s="6"/>
      <c r="AK955" s="6"/>
      <c r="AL955" s="6"/>
      <c r="AM955" s="6"/>
      <c r="AN955" s="6"/>
      <c r="AO955" s="6"/>
      <c r="AP955" s="6"/>
      <c r="AQ955" s="6"/>
      <c r="AR955" s="6"/>
      <c r="AS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11"/>
      <c r="X956" s="11"/>
      <c r="Y956" s="11"/>
      <c r="Z956" s="11"/>
      <c r="AA956" s="11"/>
      <c r="AB956" s="11"/>
      <c r="AC956" s="11"/>
      <c r="AD956" s="11"/>
      <c r="AE956" s="11"/>
      <c r="AF956" s="11"/>
      <c r="AG956" s="6"/>
      <c r="AH956" s="6"/>
      <c r="AI956" s="6"/>
      <c r="AJ956" s="6"/>
      <c r="AK956" s="6"/>
      <c r="AL956" s="6"/>
      <c r="AM956" s="6"/>
      <c r="AN956" s="6"/>
      <c r="AO956" s="6"/>
      <c r="AP956" s="6"/>
      <c r="AQ956" s="6"/>
      <c r="AR956" s="6"/>
      <c r="AS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11"/>
      <c r="X957" s="11"/>
      <c r="Y957" s="11"/>
      <c r="Z957" s="11"/>
      <c r="AA957" s="11"/>
      <c r="AB957" s="11"/>
      <c r="AC957" s="11"/>
      <c r="AD957" s="11"/>
      <c r="AE957" s="11"/>
      <c r="AF957" s="11"/>
      <c r="AG957" s="6"/>
      <c r="AH957" s="6"/>
      <c r="AI957" s="6"/>
      <c r="AJ957" s="6"/>
      <c r="AK957" s="6"/>
      <c r="AL957" s="6"/>
      <c r="AM957" s="6"/>
      <c r="AN957" s="6"/>
      <c r="AO957" s="6"/>
      <c r="AP957" s="6"/>
      <c r="AQ957" s="6"/>
      <c r="AR957" s="6"/>
      <c r="AS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11"/>
      <c r="X958" s="11"/>
      <c r="Y958" s="11"/>
      <c r="Z958" s="11"/>
      <c r="AA958" s="11"/>
      <c r="AB958" s="11"/>
      <c r="AC958" s="11"/>
      <c r="AD958" s="11"/>
      <c r="AE958" s="11"/>
      <c r="AF958" s="11"/>
      <c r="AG958" s="6"/>
      <c r="AH958" s="6"/>
      <c r="AI958" s="6"/>
      <c r="AJ958" s="6"/>
      <c r="AK958" s="6"/>
      <c r="AL958" s="6"/>
      <c r="AM958" s="6"/>
      <c r="AN958" s="6"/>
      <c r="AO958" s="6"/>
      <c r="AP958" s="6"/>
      <c r="AQ958" s="6"/>
      <c r="AR958" s="6"/>
      <c r="AS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11"/>
      <c r="X959" s="11"/>
      <c r="Y959" s="11"/>
      <c r="Z959" s="11"/>
      <c r="AA959" s="11"/>
      <c r="AB959" s="11"/>
      <c r="AC959" s="11"/>
      <c r="AD959" s="11"/>
      <c r="AE959" s="11"/>
      <c r="AF959" s="11"/>
      <c r="AG959" s="6"/>
      <c r="AH959" s="6"/>
      <c r="AI959" s="6"/>
      <c r="AJ959" s="6"/>
      <c r="AK959" s="6"/>
      <c r="AL959" s="6"/>
      <c r="AM959" s="6"/>
      <c r="AN959" s="6"/>
      <c r="AO959" s="6"/>
      <c r="AP959" s="6"/>
      <c r="AQ959" s="6"/>
      <c r="AR959" s="6"/>
      <c r="AS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11"/>
      <c r="X960" s="11"/>
      <c r="Y960" s="11"/>
      <c r="Z960" s="11"/>
      <c r="AA960" s="11"/>
      <c r="AB960" s="11"/>
      <c r="AC960" s="11"/>
      <c r="AD960" s="11"/>
      <c r="AE960" s="11"/>
      <c r="AF960" s="11"/>
      <c r="AG960" s="6"/>
      <c r="AH960" s="6"/>
      <c r="AI960" s="6"/>
      <c r="AJ960" s="6"/>
      <c r="AK960" s="6"/>
      <c r="AL960" s="6"/>
      <c r="AM960" s="6"/>
      <c r="AN960" s="6"/>
      <c r="AO960" s="6"/>
      <c r="AP960" s="6"/>
      <c r="AQ960" s="6"/>
      <c r="AR960" s="6"/>
      <c r="AS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11"/>
      <c r="X961" s="11"/>
      <c r="Y961" s="11"/>
      <c r="Z961" s="11"/>
      <c r="AA961" s="11"/>
      <c r="AB961" s="11"/>
      <c r="AC961" s="11"/>
      <c r="AD961" s="11"/>
      <c r="AE961" s="11"/>
      <c r="AF961" s="11"/>
      <c r="AG961" s="6"/>
      <c r="AH961" s="6"/>
      <c r="AI961" s="6"/>
      <c r="AJ961" s="6"/>
      <c r="AK961" s="6"/>
      <c r="AL961" s="6"/>
      <c r="AM961" s="6"/>
      <c r="AN961" s="6"/>
      <c r="AO961" s="6"/>
      <c r="AP961" s="6"/>
      <c r="AQ961" s="6"/>
      <c r="AR961" s="6"/>
      <c r="AS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11"/>
      <c r="X962" s="11"/>
      <c r="Y962" s="11"/>
      <c r="Z962" s="11"/>
      <c r="AA962" s="11"/>
      <c r="AB962" s="11"/>
      <c r="AC962" s="11"/>
      <c r="AD962" s="11"/>
      <c r="AE962" s="11"/>
      <c r="AF962" s="11"/>
      <c r="AG962" s="6"/>
      <c r="AH962" s="6"/>
      <c r="AI962" s="6"/>
      <c r="AJ962" s="6"/>
      <c r="AK962" s="6"/>
      <c r="AL962" s="6"/>
      <c r="AM962" s="6"/>
      <c r="AN962" s="6"/>
      <c r="AO962" s="6"/>
      <c r="AP962" s="6"/>
      <c r="AQ962" s="6"/>
      <c r="AR962" s="6"/>
      <c r="AS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11"/>
      <c r="X963" s="11"/>
      <c r="Y963" s="11"/>
      <c r="Z963" s="11"/>
      <c r="AA963" s="11"/>
      <c r="AB963" s="11"/>
      <c r="AC963" s="11"/>
      <c r="AD963" s="11"/>
      <c r="AE963" s="11"/>
      <c r="AF963" s="11"/>
      <c r="AG963" s="6"/>
      <c r="AH963" s="6"/>
      <c r="AI963" s="6"/>
      <c r="AJ963" s="6"/>
      <c r="AK963" s="6"/>
      <c r="AL963" s="6"/>
      <c r="AM963" s="6"/>
      <c r="AN963" s="6"/>
      <c r="AO963" s="6"/>
      <c r="AP963" s="6"/>
      <c r="AQ963" s="6"/>
      <c r="AR963" s="6"/>
      <c r="AS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11"/>
      <c r="X964" s="11"/>
      <c r="Y964" s="11"/>
      <c r="Z964" s="11"/>
      <c r="AA964" s="11"/>
      <c r="AB964" s="11"/>
      <c r="AC964" s="11"/>
      <c r="AD964" s="11"/>
      <c r="AE964" s="11"/>
      <c r="AF964" s="11"/>
      <c r="AG964" s="6"/>
      <c r="AH964" s="6"/>
      <c r="AI964" s="6"/>
      <c r="AJ964" s="6"/>
      <c r="AK964" s="6"/>
      <c r="AL964" s="6"/>
      <c r="AM964" s="6"/>
      <c r="AN964" s="6"/>
      <c r="AO964" s="6"/>
      <c r="AP964" s="6"/>
      <c r="AQ964" s="6"/>
      <c r="AR964" s="6"/>
      <c r="AS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11"/>
      <c r="X965" s="11"/>
      <c r="Y965" s="11"/>
      <c r="Z965" s="11"/>
      <c r="AA965" s="11"/>
      <c r="AB965" s="11"/>
      <c r="AC965" s="11"/>
      <c r="AD965" s="11"/>
      <c r="AE965" s="11"/>
      <c r="AF965" s="11"/>
      <c r="AG965" s="6"/>
      <c r="AH965" s="6"/>
      <c r="AI965" s="6"/>
      <c r="AJ965" s="6"/>
      <c r="AK965" s="6"/>
      <c r="AL965" s="6"/>
      <c r="AM965" s="6"/>
      <c r="AN965" s="6"/>
      <c r="AO965" s="6"/>
      <c r="AP965" s="6"/>
      <c r="AQ965" s="6"/>
      <c r="AR965" s="6"/>
      <c r="AS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11"/>
      <c r="X966" s="11"/>
      <c r="Y966" s="11"/>
      <c r="Z966" s="11"/>
      <c r="AA966" s="11"/>
      <c r="AB966" s="11"/>
      <c r="AC966" s="11"/>
      <c r="AD966" s="11"/>
      <c r="AE966" s="11"/>
      <c r="AF966" s="11"/>
      <c r="AG966" s="6"/>
      <c r="AH966" s="6"/>
      <c r="AI966" s="6"/>
      <c r="AJ966" s="6"/>
      <c r="AK966" s="6"/>
      <c r="AL966" s="6"/>
      <c r="AM966" s="6"/>
      <c r="AN966" s="6"/>
      <c r="AO966" s="6"/>
      <c r="AP966" s="6"/>
      <c r="AQ966" s="6"/>
      <c r="AR966" s="6"/>
      <c r="AS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11"/>
      <c r="X967" s="11"/>
      <c r="Y967" s="11"/>
      <c r="Z967" s="11"/>
      <c r="AA967" s="11"/>
      <c r="AB967" s="11"/>
      <c r="AC967" s="11"/>
      <c r="AD967" s="11"/>
      <c r="AE967" s="11"/>
      <c r="AF967" s="11"/>
      <c r="AG967" s="6"/>
      <c r="AH967" s="6"/>
      <c r="AI967" s="6"/>
      <c r="AJ967" s="6"/>
      <c r="AK967" s="6"/>
      <c r="AL967" s="6"/>
      <c r="AM967" s="6"/>
      <c r="AN967" s="6"/>
      <c r="AO967" s="6"/>
      <c r="AP967" s="6"/>
      <c r="AQ967" s="6"/>
      <c r="AR967" s="6"/>
      <c r="AS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11"/>
      <c r="X968" s="11"/>
      <c r="Y968" s="11"/>
      <c r="Z968" s="11"/>
      <c r="AA968" s="11"/>
      <c r="AB968" s="11"/>
      <c r="AC968" s="11"/>
      <c r="AD968" s="11"/>
      <c r="AE968" s="11"/>
      <c r="AF968" s="11"/>
      <c r="AG968" s="6"/>
      <c r="AH968" s="6"/>
      <c r="AI968" s="6"/>
      <c r="AJ968" s="6"/>
      <c r="AK968" s="6"/>
      <c r="AL968" s="6"/>
      <c r="AM968" s="6"/>
      <c r="AN968" s="6"/>
      <c r="AO968" s="6"/>
      <c r="AP968" s="6"/>
      <c r="AQ968" s="6"/>
      <c r="AR968" s="6"/>
      <c r="AS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11"/>
      <c r="X969" s="11"/>
      <c r="Y969" s="11"/>
      <c r="Z969" s="11"/>
      <c r="AA969" s="11"/>
      <c r="AB969" s="11"/>
      <c r="AC969" s="11"/>
      <c r="AD969" s="11"/>
      <c r="AE969" s="11"/>
      <c r="AF969" s="11"/>
      <c r="AG969" s="6"/>
      <c r="AH969" s="6"/>
      <c r="AI969" s="6"/>
      <c r="AJ969" s="6"/>
      <c r="AK969" s="6"/>
      <c r="AL969" s="6"/>
      <c r="AM969" s="6"/>
      <c r="AN969" s="6"/>
      <c r="AO969" s="6"/>
      <c r="AP969" s="6"/>
      <c r="AQ969" s="6"/>
      <c r="AR969" s="6"/>
      <c r="AS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11"/>
      <c r="X970" s="11"/>
      <c r="Y970" s="11"/>
      <c r="Z970" s="11"/>
      <c r="AA970" s="11"/>
      <c r="AB970" s="11"/>
      <c r="AC970" s="11"/>
      <c r="AD970" s="11"/>
      <c r="AE970" s="11"/>
      <c r="AF970" s="11"/>
      <c r="AG970" s="6"/>
      <c r="AH970" s="6"/>
      <c r="AI970" s="6"/>
      <c r="AJ970" s="6"/>
      <c r="AK970" s="6"/>
      <c r="AL970" s="6"/>
      <c r="AM970" s="6"/>
      <c r="AN970" s="6"/>
      <c r="AO970" s="6"/>
      <c r="AP970" s="6"/>
      <c r="AQ970" s="6"/>
      <c r="AR970" s="6"/>
      <c r="AS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11"/>
      <c r="X971" s="11"/>
      <c r="Y971" s="11"/>
      <c r="Z971" s="11"/>
      <c r="AA971" s="11"/>
      <c r="AB971" s="11"/>
      <c r="AC971" s="11"/>
      <c r="AD971" s="11"/>
      <c r="AE971" s="11"/>
      <c r="AF971" s="11"/>
      <c r="AG971" s="6"/>
      <c r="AH971" s="6"/>
      <c r="AI971" s="6"/>
      <c r="AJ971" s="6"/>
      <c r="AK971" s="6"/>
      <c r="AL971" s="6"/>
      <c r="AM971" s="6"/>
      <c r="AN971" s="6"/>
      <c r="AO971" s="6"/>
      <c r="AP971" s="6"/>
      <c r="AQ971" s="6"/>
      <c r="AR971" s="6"/>
      <c r="AS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11"/>
      <c r="X972" s="11"/>
      <c r="Y972" s="11"/>
      <c r="Z972" s="11"/>
      <c r="AA972" s="11"/>
      <c r="AB972" s="11"/>
      <c r="AC972" s="11"/>
      <c r="AD972" s="11"/>
      <c r="AE972" s="11"/>
      <c r="AF972" s="11"/>
      <c r="AG972" s="6"/>
      <c r="AH972" s="6"/>
      <c r="AI972" s="6"/>
      <c r="AJ972" s="6"/>
      <c r="AK972" s="6"/>
      <c r="AL972" s="6"/>
      <c r="AM972" s="6"/>
      <c r="AN972" s="6"/>
      <c r="AO972" s="6"/>
      <c r="AP972" s="6"/>
      <c r="AQ972" s="6"/>
      <c r="AR972" s="6"/>
      <c r="AS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11"/>
      <c r="X973" s="11"/>
      <c r="Y973" s="11"/>
      <c r="Z973" s="11"/>
      <c r="AA973" s="11"/>
      <c r="AB973" s="11"/>
      <c r="AC973" s="11"/>
      <c r="AD973" s="11"/>
      <c r="AE973" s="11"/>
      <c r="AF973" s="11"/>
      <c r="AG973" s="6"/>
      <c r="AH973" s="6"/>
      <c r="AI973" s="6"/>
      <c r="AJ973" s="6"/>
      <c r="AK973" s="6"/>
      <c r="AL973" s="6"/>
      <c r="AM973" s="6"/>
      <c r="AN973" s="6"/>
      <c r="AO973" s="6"/>
      <c r="AP973" s="6"/>
      <c r="AQ973" s="6"/>
      <c r="AR973" s="6"/>
      <c r="AS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11"/>
      <c r="X974" s="11"/>
      <c r="Y974" s="11"/>
      <c r="Z974" s="11"/>
      <c r="AA974" s="11"/>
      <c r="AB974" s="11"/>
      <c r="AC974" s="11"/>
      <c r="AD974" s="11"/>
      <c r="AE974" s="11"/>
      <c r="AF974" s="11"/>
      <c r="AG974" s="6"/>
      <c r="AH974" s="6"/>
      <c r="AI974" s="6"/>
      <c r="AJ974" s="6"/>
      <c r="AK974" s="6"/>
      <c r="AL974" s="6"/>
      <c r="AM974" s="6"/>
      <c r="AN974" s="6"/>
      <c r="AO974" s="6"/>
      <c r="AP974" s="6"/>
      <c r="AQ974" s="6"/>
      <c r="AR974" s="6"/>
      <c r="AS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11"/>
      <c r="X975" s="11"/>
      <c r="Y975" s="11"/>
      <c r="Z975" s="11"/>
      <c r="AA975" s="11"/>
      <c r="AB975" s="11"/>
      <c r="AC975" s="11"/>
      <c r="AD975" s="11"/>
      <c r="AE975" s="11"/>
      <c r="AF975" s="11"/>
      <c r="AG975" s="6"/>
      <c r="AH975" s="6"/>
      <c r="AI975" s="6"/>
      <c r="AJ975" s="6"/>
      <c r="AK975" s="6"/>
      <c r="AL975" s="6"/>
      <c r="AM975" s="6"/>
      <c r="AN975" s="6"/>
      <c r="AO975" s="6"/>
      <c r="AP975" s="6"/>
      <c r="AQ975" s="6"/>
      <c r="AR975" s="6"/>
      <c r="AS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11"/>
      <c r="X976" s="11"/>
      <c r="Y976" s="11"/>
      <c r="Z976" s="11"/>
      <c r="AA976" s="11"/>
      <c r="AB976" s="11"/>
      <c r="AC976" s="11"/>
      <c r="AD976" s="11"/>
      <c r="AE976" s="11"/>
      <c r="AF976" s="11"/>
      <c r="AG976" s="6"/>
      <c r="AH976" s="6"/>
      <c r="AI976" s="6"/>
      <c r="AJ976" s="6"/>
      <c r="AK976" s="6"/>
      <c r="AL976" s="6"/>
      <c r="AM976" s="6"/>
      <c r="AN976" s="6"/>
      <c r="AO976" s="6"/>
      <c r="AP976" s="6"/>
      <c r="AQ976" s="6"/>
      <c r="AR976" s="6"/>
      <c r="AS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11"/>
      <c r="X977" s="11"/>
      <c r="Y977" s="11"/>
      <c r="Z977" s="11"/>
      <c r="AA977" s="11"/>
      <c r="AB977" s="11"/>
      <c r="AC977" s="11"/>
      <c r="AD977" s="11"/>
      <c r="AE977" s="11"/>
      <c r="AF977" s="11"/>
      <c r="AG977" s="6"/>
      <c r="AH977" s="6"/>
      <c r="AI977" s="6"/>
      <c r="AJ977" s="6"/>
      <c r="AK977" s="6"/>
      <c r="AL977" s="6"/>
      <c r="AM977" s="6"/>
      <c r="AN977" s="6"/>
      <c r="AO977" s="6"/>
      <c r="AP977" s="6"/>
      <c r="AQ977" s="6"/>
      <c r="AR977" s="6"/>
      <c r="AS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11"/>
      <c r="X978" s="11"/>
      <c r="Y978" s="11"/>
      <c r="Z978" s="11"/>
      <c r="AA978" s="11"/>
      <c r="AB978" s="11"/>
      <c r="AC978" s="11"/>
      <c r="AD978" s="11"/>
      <c r="AE978" s="11"/>
      <c r="AF978" s="11"/>
      <c r="AG978" s="6"/>
      <c r="AH978" s="6"/>
      <c r="AI978" s="6"/>
      <c r="AJ978" s="6"/>
      <c r="AK978" s="6"/>
      <c r="AL978" s="6"/>
      <c r="AM978" s="6"/>
      <c r="AN978" s="6"/>
      <c r="AO978" s="6"/>
      <c r="AP978" s="6"/>
      <c r="AQ978" s="6"/>
      <c r="AR978" s="6"/>
      <c r="AS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11"/>
      <c r="X979" s="11"/>
      <c r="Y979" s="11"/>
      <c r="Z979" s="11"/>
      <c r="AA979" s="11"/>
      <c r="AB979" s="11"/>
      <c r="AC979" s="11"/>
      <c r="AD979" s="11"/>
      <c r="AE979" s="11"/>
      <c r="AF979" s="11"/>
      <c r="AG979" s="6"/>
      <c r="AH979" s="6"/>
      <c r="AI979" s="6"/>
      <c r="AJ979" s="6"/>
      <c r="AK979" s="6"/>
      <c r="AL979" s="6"/>
      <c r="AM979" s="6"/>
      <c r="AN979" s="6"/>
      <c r="AO979" s="6"/>
      <c r="AP979" s="6"/>
      <c r="AQ979" s="6"/>
      <c r="AR979" s="6"/>
      <c r="AS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11"/>
      <c r="X980" s="11"/>
      <c r="Y980" s="11"/>
      <c r="Z980" s="11"/>
      <c r="AA980" s="11"/>
      <c r="AB980" s="11"/>
      <c r="AC980" s="11"/>
      <c r="AD980" s="11"/>
      <c r="AE980" s="11"/>
      <c r="AF980" s="11"/>
      <c r="AG980" s="6"/>
      <c r="AH980" s="6"/>
      <c r="AI980" s="6"/>
      <c r="AJ980" s="6"/>
      <c r="AK980" s="6"/>
      <c r="AL980" s="6"/>
      <c r="AM980" s="6"/>
      <c r="AN980" s="6"/>
      <c r="AO980" s="6"/>
      <c r="AP980" s="6"/>
      <c r="AQ980" s="6"/>
      <c r="AR980" s="6"/>
      <c r="AS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11"/>
      <c r="X981" s="11"/>
      <c r="Y981" s="11"/>
      <c r="Z981" s="11"/>
      <c r="AA981" s="11"/>
      <c r="AB981" s="11"/>
      <c r="AC981" s="11"/>
      <c r="AD981" s="11"/>
      <c r="AE981" s="11"/>
      <c r="AF981" s="11"/>
      <c r="AG981" s="6"/>
      <c r="AH981" s="6"/>
      <c r="AI981" s="6"/>
      <c r="AJ981" s="6"/>
      <c r="AK981" s="6"/>
      <c r="AL981" s="6"/>
      <c r="AM981" s="6"/>
      <c r="AN981" s="6"/>
      <c r="AO981" s="6"/>
      <c r="AP981" s="6"/>
      <c r="AQ981" s="6"/>
      <c r="AR981" s="6"/>
      <c r="AS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11"/>
      <c r="X982" s="11"/>
      <c r="Y982" s="11"/>
      <c r="Z982" s="11"/>
      <c r="AA982" s="11"/>
      <c r="AB982" s="11"/>
      <c r="AC982" s="11"/>
      <c r="AD982" s="11"/>
      <c r="AE982" s="11"/>
      <c r="AF982" s="11"/>
      <c r="AG982" s="6"/>
      <c r="AH982" s="6"/>
      <c r="AI982" s="6"/>
      <c r="AJ982" s="6"/>
      <c r="AK982" s="6"/>
      <c r="AL982" s="6"/>
      <c r="AM982" s="6"/>
      <c r="AN982" s="6"/>
      <c r="AO982" s="6"/>
      <c r="AP982" s="6"/>
      <c r="AQ982" s="6"/>
      <c r="AR982" s="6"/>
      <c r="AS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11"/>
      <c r="X983" s="11"/>
      <c r="Y983" s="11"/>
      <c r="Z983" s="11"/>
      <c r="AA983" s="11"/>
      <c r="AB983" s="11"/>
      <c r="AC983" s="11"/>
      <c r="AD983" s="11"/>
      <c r="AE983" s="11"/>
      <c r="AF983" s="11"/>
      <c r="AG983" s="6"/>
      <c r="AH983" s="6"/>
      <c r="AI983" s="6"/>
      <c r="AJ983" s="6"/>
      <c r="AK983" s="6"/>
      <c r="AL983" s="6"/>
      <c r="AM983" s="6"/>
      <c r="AN983" s="6"/>
      <c r="AO983" s="6"/>
      <c r="AP983" s="6"/>
      <c r="AQ983" s="6"/>
      <c r="AR983" s="6"/>
      <c r="AS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11"/>
      <c r="X984" s="11"/>
      <c r="Y984" s="11"/>
      <c r="Z984" s="11"/>
      <c r="AA984" s="11"/>
      <c r="AB984" s="11"/>
      <c r="AC984" s="11"/>
      <c r="AD984" s="11"/>
      <c r="AE984" s="11"/>
      <c r="AF984" s="11"/>
      <c r="AG984" s="6"/>
      <c r="AH984" s="6"/>
      <c r="AI984" s="6"/>
      <c r="AJ984" s="6"/>
      <c r="AK984" s="6"/>
      <c r="AL984" s="6"/>
      <c r="AM984" s="6"/>
      <c r="AN984" s="6"/>
      <c r="AO984" s="6"/>
      <c r="AP984" s="6"/>
      <c r="AQ984" s="6"/>
      <c r="AR984" s="6"/>
      <c r="AS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11"/>
      <c r="X985" s="11"/>
      <c r="Y985" s="11"/>
      <c r="Z985" s="11"/>
      <c r="AA985" s="11"/>
      <c r="AB985" s="11"/>
      <c r="AC985" s="11"/>
      <c r="AD985" s="11"/>
      <c r="AE985" s="11"/>
      <c r="AF985" s="11"/>
      <c r="AG985" s="6"/>
      <c r="AH985" s="6"/>
      <c r="AI985" s="6"/>
      <c r="AJ985" s="6"/>
      <c r="AK985" s="6"/>
      <c r="AL985" s="6"/>
      <c r="AM985" s="6"/>
      <c r="AN985" s="6"/>
      <c r="AO985" s="6"/>
      <c r="AP985" s="6"/>
      <c r="AQ985" s="6"/>
      <c r="AR985" s="6"/>
      <c r="AS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11"/>
      <c r="X986" s="11"/>
      <c r="Y986" s="11"/>
      <c r="Z986" s="11"/>
      <c r="AA986" s="11"/>
      <c r="AB986" s="11"/>
      <c r="AC986" s="11"/>
      <c r="AD986" s="11"/>
      <c r="AE986" s="11"/>
      <c r="AF986" s="11"/>
      <c r="AG986" s="6"/>
      <c r="AH986" s="6"/>
      <c r="AI986" s="6"/>
      <c r="AJ986" s="6"/>
      <c r="AK986" s="6"/>
      <c r="AL986" s="6"/>
      <c r="AM986" s="6"/>
      <c r="AN986" s="6"/>
      <c r="AO986" s="6"/>
      <c r="AP986" s="6"/>
      <c r="AQ986" s="6"/>
      <c r="AR986" s="6"/>
      <c r="AS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11"/>
      <c r="X987" s="11"/>
      <c r="Y987" s="11"/>
      <c r="Z987" s="11"/>
      <c r="AA987" s="11"/>
      <c r="AB987" s="11"/>
      <c r="AC987" s="11"/>
      <c r="AD987" s="11"/>
      <c r="AE987" s="11"/>
      <c r="AF987" s="11"/>
      <c r="AG987" s="6"/>
      <c r="AH987" s="6"/>
      <c r="AI987" s="6"/>
      <c r="AJ987" s="6"/>
      <c r="AK987" s="6"/>
      <c r="AL987" s="6"/>
      <c r="AM987" s="6"/>
      <c r="AN987" s="6"/>
      <c r="AO987" s="6"/>
      <c r="AP987" s="6"/>
      <c r="AQ987" s="6"/>
      <c r="AR987" s="6"/>
      <c r="AS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11"/>
      <c r="X988" s="11"/>
      <c r="Y988" s="11"/>
      <c r="Z988" s="11"/>
      <c r="AA988" s="11"/>
      <c r="AB988" s="11"/>
      <c r="AC988" s="11"/>
      <c r="AD988" s="11"/>
      <c r="AE988" s="11"/>
      <c r="AF988" s="11"/>
      <c r="AG988" s="6"/>
      <c r="AH988" s="6"/>
      <c r="AI988" s="6"/>
      <c r="AJ988" s="6"/>
      <c r="AK988" s="6"/>
      <c r="AL988" s="6"/>
      <c r="AM988" s="6"/>
      <c r="AN988" s="6"/>
      <c r="AO988" s="6"/>
      <c r="AP988" s="6"/>
      <c r="AQ988" s="6"/>
      <c r="AR988" s="6"/>
      <c r="AS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11"/>
      <c r="X989" s="11"/>
      <c r="Y989" s="11"/>
      <c r="Z989" s="11"/>
      <c r="AA989" s="11"/>
      <c r="AB989" s="11"/>
      <c r="AC989" s="11"/>
      <c r="AD989" s="11"/>
      <c r="AE989" s="11"/>
      <c r="AF989" s="11"/>
      <c r="AG989" s="6"/>
      <c r="AH989" s="6"/>
      <c r="AI989" s="6"/>
      <c r="AJ989" s="6"/>
      <c r="AK989" s="6"/>
      <c r="AL989" s="6"/>
      <c r="AM989" s="6"/>
      <c r="AN989" s="6"/>
      <c r="AO989" s="6"/>
      <c r="AP989" s="6"/>
      <c r="AQ989" s="6"/>
      <c r="AR989" s="6"/>
      <c r="AS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11"/>
      <c r="X990" s="11"/>
      <c r="Y990" s="11"/>
      <c r="Z990" s="11"/>
      <c r="AA990" s="11"/>
      <c r="AB990" s="11"/>
      <c r="AC990" s="11"/>
      <c r="AD990" s="11"/>
      <c r="AE990" s="11"/>
      <c r="AF990" s="11"/>
      <c r="AG990" s="6"/>
      <c r="AH990" s="6"/>
      <c r="AI990" s="6"/>
      <c r="AJ990" s="6"/>
      <c r="AK990" s="6"/>
      <c r="AL990" s="6"/>
      <c r="AM990" s="6"/>
      <c r="AN990" s="6"/>
      <c r="AO990" s="6"/>
      <c r="AP990" s="6"/>
      <c r="AQ990" s="6"/>
      <c r="AR990" s="6"/>
      <c r="AS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11"/>
      <c r="X991" s="11"/>
      <c r="Y991" s="11"/>
      <c r="Z991" s="11"/>
      <c r="AA991" s="11"/>
      <c r="AB991" s="11"/>
      <c r="AC991" s="11"/>
      <c r="AD991" s="11"/>
      <c r="AE991" s="11"/>
      <c r="AF991" s="11"/>
      <c r="AG991" s="6"/>
      <c r="AH991" s="6"/>
      <c r="AI991" s="6"/>
      <c r="AJ991" s="6"/>
      <c r="AK991" s="6"/>
      <c r="AL991" s="6"/>
      <c r="AM991" s="6"/>
      <c r="AN991" s="6"/>
      <c r="AO991" s="6"/>
      <c r="AP991" s="6"/>
      <c r="AQ991" s="6"/>
      <c r="AR991" s="6"/>
      <c r="AS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11"/>
      <c r="X992" s="11"/>
      <c r="Y992" s="11"/>
      <c r="Z992" s="11"/>
      <c r="AA992" s="11"/>
      <c r="AB992" s="11"/>
      <c r="AC992" s="11"/>
      <c r="AD992" s="11"/>
      <c r="AE992" s="11"/>
      <c r="AF992" s="11"/>
      <c r="AG992" s="6"/>
      <c r="AH992" s="6"/>
      <c r="AI992" s="6"/>
      <c r="AJ992" s="6"/>
      <c r="AK992" s="6"/>
      <c r="AL992" s="6"/>
      <c r="AM992" s="6"/>
      <c r="AN992" s="6"/>
      <c r="AO992" s="6"/>
      <c r="AP992" s="6"/>
      <c r="AQ992" s="6"/>
      <c r="AR992" s="6"/>
      <c r="AS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11"/>
      <c r="X993" s="11"/>
      <c r="Y993" s="11"/>
      <c r="Z993" s="11"/>
      <c r="AA993" s="11"/>
      <c r="AB993" s="11"/>
      <c r="AC993" s="11"/>
      <c r="AD993" s="11"/>
      <c r="AE993" s="11"/>
      <c r="AF993" s="11"/>
      <c r="AG993" s="6"/>
      <c r="AH993" s="6"/>
      <c r="AI993" s="6"/>
      <c r="AJ993" s="6"/>
      <c r="AK993" s="6"/>
      <c r="AL993" s="6"/>
      <c r="AM993" s="6"/>
      <c r="AN993" s="6"/>
      <c r="AO993" s="6"/>
      <c r="AP993" s="6"/>
      <c r="AQ993" s="6"/>
      <c r="AR993" s="6"/>
      <c r="AS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11"/>
      <c r="X994" s="11"/>
      <c r="Y994" s="11"/>
      <c r="Z994" s="11"/>
      <c r="AA994" s="11"/>
      <c r="AB994" s="11"/>
      <c r="AC994" s="11"/>
      <c r="AD994" s="11"/>
      <c r="AE994" s="11"/>
      <c r="AF994" s="11"/>
      <c r="AG994" s="6"/>
      <c r="AH994" s="6"/>
      <c r="AI994" s="6"/>
      <c r="AJ994" s="6"/>
      <c r="AK994" s="6"/>
      <c r="AL994" s="6"/>
      <c r="AM994" s="6"/>
      <c r="AN994" s="6"/>
      <c r="AO994" s="6"/>
      <c r="AP994" s="6"/>
      <c r="AQ994" s="6"/>
      <c r="AR994" s="6"/>
      <c r="AS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11"/>
      <c r="X995" s="11"/>
      <c r="Y995" s="11"/>
      <c r="Z995" s="11"/>
      <c r="AA995" s="11"/>
      <c r="AB995" s="11"/>
      <c r="AC995" s="11"/>
      <c r="AD995" s="11"/>
      <c r="AE995" s="11"/>
      <c r="AF995" s="11"/>
      <c r="AG995" s="6"/>
      <c r="AH995" s="6"/>
      <c r="AI995" s="6"/>
      <c r="AJ995" s="6"/>
      <c r="AK995" s="6"/>
      <c r="AL995" s="6"/>
      <c r="AM995" s="6"/>
      <c r="AN995" s="6"/>
      <c r="AO995" s="6"/>
      <c r="AP995" s="6"/>
      <c r="AQ995" s="6"/>
      <c r="AR995" s="6"/>
      <c r="AS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11"/>
      <c r="X996" s="11"/>
      <c r="Y996" s="11"/>
      <c r="Z996" s="11"/>
      <c r="AA996" s="11"/>
      <c r="AB996" s="11"/>
      <c r="AC996" s="11"/>
      <c r="AD996" s="11"/>
      <c r="AE996" s="11"/>
      <c r="AF996" s="11"/>
      <c r="AG996" s="6"/>
      <c r="AH996" s="6"/>
      <c r="AI996" s="6"/>
      <c r="AJ996" s="6"/>
      <c r="AK996" s="6"/>
      <c r="AL996" s="6"/>
      <c r="AM996" s="6"/>
      <c r="AN996" s="6"/>
      <c r="AO996" s="6"/>
      <c r="AP996" s="6"/>
      <c r="AQ996" s="6"/>
      <c r="AR996" s="6"/>
      <c r="AS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11"/>
      <c r="X997" s="11"/>
      <c r="Y997" s="11"/>
      <c r="Z997" s="11"/>
      <c r="AA997" s="11"/>
      <c r="AB997" s="11"/>
      <c r="AC997" s="11"/>
      <c r="AD997" s="11"/>
      <c r="AE997" s="11"/>
      <c r="AF997" s="11"/>
      <c r="AG997" s="6"/>
      <c r="AH997" s="6"/>
      <c r="AI997" s="6"/>
      <c r="AJ997" s="6"/>
      <c r="AK997" s="6"/>
      <c r="AL997" s="6"/>
      <c r="AM997" s="6"/>
      <c r="AN997" s="6"/>
      <c r="AO997" s="6"/>
      <c r="AP997" s="6"/>
      <c r="AQ997" s="6"/>
      <c r="AR997" s="6"/>
      <c r="AS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11"/>
      <c r="X998" s="11"/>
      <c r="Y998" s="11"/>
      <c r="Z998" s="11"/>
      <c r="AA998" s="11"/>
      <c r="AB998" s="11"/>
      <c r="AC998" s="11"/>
      <c r="AD998" s="11"/>
      <c r="AE998" s="11"/>
      <c r="AF998" s="11"/>
      <c r="AG998" s="6"/>
      <c r="AH998" s="6"/>
      <c r="AI998" s="6"/>
      <c r="AJ998" s="6"/>
      <c r="AK998" s="6"/>
      <c r="AL998" s="6"/>
      <c r="AM998" s="6"/>
      <c r="AN998" s="6"/>
      <c r="AO998" s="6"/>
      <c r="AP998" s="6"/>
      <c r="AQ998" s="6"/>
      <c r="AR998" s="6"/>
      <c r="AS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11"/>
      <c r="X999" s="11"/>
      <c r="Y999" s="11"/>
      <c r="Z999" s="11"/>
      <c r="AA999" s="11"/>
      <c r="AB999" s="11"/>
      <c r="AC999" s="11"/>
      <c r="AD999" s="11"/>
      <c r="AE999" s="11"/>
      <c r="AF999" s="11"/>
      <c r="AG999" s="6"/>
      <c r="AH999" s="6"/>
      <c r="AI999" s="6"/>
      <c r="AJ999" s="6"/>
      <c r="AK999" s="6"/>
      <c r="AL999" s="6"/>
      <c r="AM999" s="6"/>
      <c r="AN999" s="6"/>
      <c r="AO999" s="6"/>
      <c r="AP999" s="6"/>
      <c r="AQ999" s="6"/>
      <c r="AR999" s="6"/>
      <c r="AS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11"/>
      <c r="X1000" s="11"/>
      <c r="Y1000" s="11"/>
      <c r="Z1000" s="11"/>
      <c r="AA1000" s="11"/>
      <c r="AB1000" s="11"/>
      <c r="AC1000" s="11"/>
      <c r="AD1000" s="11"/>
      <c r="AE1000" s="11"/>
      <c r="AF1000" s="11"/>
      <c r="AG1000" s="6"/>
      <c r="AH1000" s="6"/>
      <c r="AI1000" s="6"/>
      <c r="AJ1000" s="6"/>
      <c r="AK1000" s="6"/>
      <c r="AL1000" s="6"/>
      <c r="AM1000" s="6"/>
      <c r="AN1000" s="6"/>
      <c r="AO1000" s="6"/>
      <c r="AP1000" s="6"/>
      <c r="AQ1000" s="6"/>
      <c r="AR1000" s="6"/>
      <c r="AS1000" s="6"/>
    </row>
  </sheetData>
  <mergeCells count="132">
    <mergeCell ref="B25:B26"/>
    <mergeCell ref="C25:C26"/>
    <mergeCell ref="D25:D26"/>
    <mergeCell ref="E25:F26"/>
    <mergeCell ref="G25:G26"/>
    <mergeCell ref="H25:J26"/>
    <mergeCell ref="K25:K26"/>
    <mergeCell ref="B7:B8"/>
    <mergeCell ref="B9:B10"/>
    <mergeCell ref="B22:B23"/>
    <mergeCell ref="C22:C23"/>
    <mergeCell ref="D22:D23"/>
    <mergeCell ref="E22:F23"/>
    <mergeCell ref="G22:G23"/>
    <mergeCell ref="L39:L40"/>
    <mergeCell ref="M39:M40"/>
    <mergeCell ref="N39:N40"/>
    <mergeCell ref="Q40:T41"/>
    <mergeCell ref="B39:B40"/>
    <mergeCell ref="C39:C40"/>
    <mergeCell ref="D39:D40"/>
    <mergeCell ref="E39:F40"/>
    <mergeCell ref="G39:G40"/>
    <mergeCell ref="H39:J40"/>
    <mergeCell ref="K39:K40"/>
    <mergeCell ref="L42:L43"/>
    <mergeCell ref="M42:M43"/>
    <mergeCell ref="N42:N43"/>
    <mergeCell ref="Q43:Q45"/>
    <mergeCell ref="R43:R45"/>
    <mergeCell ref="S43:S45"/>
    <mergeCell ref="T43:T45"/>
    <mergeCell ref="B42:B43"/>
    <mergeCell ref="C42:C43"/>
    <mergeCell ref="D42:D43"/>
    <mergeCell ref="E42:F43"/>
    <mergeCell ref="G42:G43"/>
    <mergeCell ref="H42:J43"/>
    <mergeCell ref="K42:K43"/>
    <mergeCell ref="L55:L56"/>
    <mergeCell ref="M55:M56"/>
    <mergeCell ref="N55:N56"/>
    <mergeCell ref="Q56:T57"/>
    <mergeCell ref="B55:B56"/>
    <mergeCell ref="C55:C56"/>
    <mergeCell ref="D55:D56"/>
    <mergeCell ref="E55:F56"/>
    <mergeCell ref="G55:G56"/>
    <mergeCell ref="H55:J56"/>
    <mergeCell ref="K55:K56"/>
    <mergeCell ref="X57:Z58"/>
    <mergeCell ref="Y59:Y61"/>
    <mergeCell ref="X24:Z25"/>
    <mergeCell ref="X37:Z37"/>
    <mergeCell ref="X38:Z40"/>
    <mergeCell ref="X41:Z42"/>
    <mergeCell ref="Y43:Y45"/>
    <mergeCell ref="X53:Z53"/>
    <mergeCell ref="X54:Z56"/>
    <mergeCell ref="L69:L70"/>
    <mergeCell ref="M69:M70"/>
    <mergeCell ref="N69:O70"/>
    <mergeCell ref="Q70:Q72"/>
    <mergeCell ref="R70:R72"/>
    <mergeCell ref="S70:S72"/>
    <mergeCell ref="T70:T72"/>
    <mergeCell ref="Y70:Y72"/>
    <mergeCell ref="B69:B70"/>
    <mergeCell ref="C69:C70"/>
    <mergeCell ref="D69:D70"/>
    <mergeCell ref="E69:F70"/>
    <mergeCell ref="G69:G70"/>
    <mergeCell ref="H69:J70"/>
    <mergeCell ref="K69:K70"/>
    <mergeCell ref="R84:R85"/>
    <mergeCell ref="S84:S85"/>
    <mergeCell ref="Y84:Y85"/>
    <mergeCell ref="B80:B81"/>
    <mergeCell ref="C80:D81"/>
    <mergeCell ref="E80:E81"/>
    <mergeCell ref="F80:L81"/>
    <mergeCell ref="Q81:T82"/>
    <mergeCell ref="C82:C84"/>
    <mergeCell ref="Q84:Q85"/>
    <mergeCell ref="T84:T85"/>
    <mergeCell ref="O7:P8"/>
    <mergeCell ref="O9:P10"/>
    <mergeCell ref="Q10:Q11"/>
    <mergeCell ref="A1:U3"/>
    <mergeCell ref="A4:U4"/>
    <mergeCell ref="Q6:T7"/>
    <mergeCell ref="C7:M8"/>
    <mergeCell ref="Q8:Q9"/>
    <mergeCell ref="T8:T9"/>
    <mergeCell ref="C9:M10"/>
    <mergeCell ref="H22:J23"/>
    <mergeCell ref="K22:K23"/>
    <mergeCell ref="L22:L23"/>
    <mergeCell ref="M22:M23"/>
    <mergeCell ref="N22:N23"/>
    <mergeCell ref="Q23:T24"/>
    <mergeCell ref="W23:W24"/>
    <mergeCell ref="L25:L26"/>
    <mergeCell ref="M25:M26"/>
    <mergeCell ref="N25:N26"/>
    <mergeCell ref="Q26:Q28"/>
    <mergeCell ref="R26:R28"/>
    <mergeCell ref="S26:S28"/>
    <mergeCell ref="T26:T28"/>
    <mergeCell ref="Y26:Y28"/>
    <mergeCell ref="R8:R9"/>
    <mergeCell ref="S8:S9"/>
    <mergeCell ref="R10:R11"/>
    <mergeCell ref="S10:S11"/>
    <mergeCell ref="T10:T11"/>
    <mergeCell ref="X20:Z20"/>
    <mergeCell ref="X21:Z23"/>
    <mergeCell ref="L58:L59"/>
    <mergeCell ref="M58:M59"/>
    <mergeCell ref="N58:O59"/>
    <mergeCell ref="Q59:Q61"/>
    <mergeCell ref="R59:R61"/>
    <mergeCell ref="S59:S61"/>
    <mergeCell ref="T59:T61"/>
    <mergeCell ref="Q68:T68"/>
    <mergeCell ref="B58:B59"/>
    <mergeCell ref="C58:C59"/>
    <mergeCell ref="D58:D59"/>
    <mergeCell ref="E58:F59"/>
    <mergeCell ref="G58:G59"/>
    <mergeCell ref="H58:J59"/>
    <mergeCell ref="K58:K59"/>
  </mergeCells>
  <conditionalFormatting sqref="Q10:T11 Q26:T28 Q43:T45 Q59:T61 Q70:T72 Q84:T85">
    <cfRule type="cellIs" dxfId="4" priority="1" operator="equal">
      <formula>"@"</formula>
    </cfRule>
  </conditionalFormatting>
  <dataValidations>
    <dataValidation type="list" allowBlank="1" showInputMessage="1" showErrorMessage="1" prompt="Data Entry Error - Please enter an &quot;X&quot; if the response iss correct or nearly so, otherwise leave the box Blank." sqref="B78 I78 B80 E80 B85">
      <formula1>"X"</formula1>
    </dataValidation>
    <dataValidation type="list" allowBlank="1" showInputMessage="1" showErrorMessage="1" prompt="Data Entry Error - Please enter an &quot;X&quot; or &quot;/&quot; according to the directions specified for this section." sqref="B18 D18 G18 K18 M18 B20 D20 G20 K20 M20 B22 D22 G22 K22 M22 B25 D25 G25 K25 M25 B28 D28 G28 K28 M28 B33 D33 G33 K33 M33 B35 D35 G35 K35 M35 B37 D37 G37 K37 M37 B39 D39 G39 K39 M39 B42 D42 G42 K42 M42 B45 D45 G45 K45 M45 B49 D49 G49 K49 M49 B51 D51 G51 K51 M51 B53 D53 G53 K53 M53 B55 D55 G55 K55 M55 B58 D58 G58 K58 M58 B61 D61 G61 K61 M61 B69 D69 G69 K69 M69 B72 D72 G72 K72 M72">
      <formula1>"X,/"</formula1>
    </dataValidation>
    <dataValidation type="decimal" operator="lessThanOrEqual" allowBlank="1" showInputMessage="1" showErrorMessage="1" prompt="Data Entry Error - The maximum score for this section is 5 and must be a whole number.  Please check your entry." sqref="Q84:T84">
      <formula1>5.0</formula1>
    </dataValidation>
    <dataValidation type="decimal" operator="lessThanOrEqual" allowBlank="1" showInputMessage="1" showErrorMessage="1" prompt="Data Entry Error - The maximum score for this section is 10.  Please check your entry." sqref="Q70:T70">
      <formula1>10.0</formula1>
    </dataValidation>
    <dataValidation type="decimal" operator="lessThanOrEqual" allowBlank="1" showInputMessage="1" showErrorMessage="1" prompt="Data Entry Error - The maximum score for this section is 25.  Please check your entry." sqref="Q26:T26">
      <formula1>25.0</formula1>
    </dataValidation>
    <dataValidation type="decimal" operator="lessThanOrEqual" allowBlank="1" showInputMessage="1" showErrorMessage="1" prompt="Data Entry Error - The maximum score for this section is 30.  Please check your entry." sqref="Q43:T43 Q59:T59">
      <formula1>30.0</formula1>
    </dataValidation>
  </dataValidations>
  <printOptions/>
  <pageMargins bottom="0.75" footer="0.0" header="0.0" left="0.25" right="0.25"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0070C0"/>
    <pageSetUpPr/>
  </sheetPr>
  <sheetViews>
    <sheetView workbookViewId="0"/>
  </sheetViews>
  <sheetFormatPr customHeight="1" defaultColWidth="14.43" defaultRowHeight="15.0"/>
  <cols>
    <col customWidth="1" min="1" max="1" width="8.86"/>
    <col customWidth="1" min="2" max="2" width="17.14"/>
    <col customWidth="1" min="3" max="3" width="4.86"/>
    <col customWidth="1" min="4" max="9" width="8.86"/>
    <col customWidth="1" min="10" max="10" width="4.43"/>
    <col customWidth="1" min="11" max="11" width="6.43"/>
    <col customWidth="1" min="12" max="12" width="3.71"/>
    <col customWidth="1" min="13" max="13" width="8.86"/>
    <col customWidth="1" min="14" max="14" width="1.43"/>
    <col customWidth="1" hidden="1" min="15" max="15" width="8.86"/>
    <col customWidth="1" min="16" max="16" width="8.86"/>
    <col customWidth="1" min="17" max="17" width="15.71"/>
    <col customWidth="1" min="18" max="28" width="8.86"/>
    <col customWidth="1" min="29" max="29" width="4.86"/>
    <col customWidth="1" min="30" max="35" width="8.86"/>
    <col customWidth="1" min="36" max="36" width="4.43"/>
    <col customWidth="1" min="37" max="37" width="6.43"/>
    <col customWidth="1" min="38" max="38" width="3.71"/>
    <col customWidth="1" min="39" max="42" width="8.86"/>
  </cols>
  <sheetData>
    <row r="1">
      <c r="P1" s="6"/>
      <c r="R1" s="11"/>
      <c r="S1" s="11"/>
      <c r="T1" s="11"/>
      <c r="U1" s="11"/>
      <c r="V1" s="11"/>
      <c r="W1" s="11"/>
      <c r="X1" s="11"/>
      <c r="Y1" s="11"/>
      <c r="Z1" s="11"/>
      <c r="AA1" s="11"/>
      <c r="AB1" s="11"/>
    </row>
    <row r="2">
      <c r="O2" s="14"/>
      <c r="P2" s="14"/>
      <c r="R2" s="11"/>
      <c r="S2" s="11"/>
      <c r="T2" s="11"/>
      <c r="U2" s="11"/>
      <c r="V2" s="11"/>
      <c r="W2" s="11"/>
      <c r="X2" s="11"/>
      <c r="Y2" s="11"/>
      <c r="Z2" s="11"/>
      <c r="AA2" s="11"/>
      <c r="AB2" s="11"/>
    </row>
    <row r="3">
      <c r="O3" s="14"/>
      <c r="P3" s="14"/>
      <c r="R3" s="11"/>
      <c r="S3" s="11"/>
      <c r="T3" s="11"/>
      <c r="U3" s="11"/>
      <c r="V3" s="11"/>
      <c r="W3" s="11"/>
      <c r="X3" s="11"/>
      <c r="Y3" s="11"/>
      <c r="Z3" s="11"/>
      <c r="AA3" s="11"/>
      <c r="AB3" s="11"/>
    </row>
    <row r="4" ht="19.5" customHeight="1">
      <c r="C4" s="257" t="s">
        <v>250</v>
      </c>
      <c r="D4" s="258"/>
      <c r="E4" s="258"/>
      <c r="F4" s="258"/>
      <c r="G4" s="258"/>
      <c r="H4" s="258"/>
      <c r="I4" s="258"/>
      <c r="J4" s="258"/>
      <c r="K4" s="258"/>
      <c r="L4" s="258"/>
      <c r="M4" s="259"/>
      <c r="N4" s="260"/>
      <c r="O4" s="14"/>
      <c r="P4" s="14"/>
      <c r="R4" s="11"/>
      <c r="S4" s="11"/>
      <c r="T4" s="11"/>
      <c r="U4" s="11"/>
      <c r="V4" s="11"/>
      <c r="W4" s="11"/>
      <c r="X4" s="11"/>
      <c r="Y4" s="11"/>
      <c r="Z4" s="11"/>
      <c r="AA4" s="11"/>
      <c r="AB4" s="11"/>
    </row>
    <row r="5" ht="12.0" customHeight="1">
      <c r="O5" s="14"/>
      <c r="P5" s="14"/>
      <c r="R5" s="11"/>
      <c r="S5" s="11"/>
      <c r="T5" s="11"/>
      <c r="U5" s="11"/>
      <c r="V5" s="11"/>
      <c r="W5" s="11"/>
      <c r="X5" s="11"/>
      <c r="Y5" s="11"/>
      <c r="Z5" s="11"/>
      <c r="AA5" s="11"/>
      <c r="AB5" s="11"/>
    </row>
    <row r="6" ht="93.75" customHeight="1">
      <c r="C6" s="261" t="s">
        <v>253</v>
      </c>
      <c r="N6" s="261"/>
      <c r="O6" s="14"/>
      <c r="P6" s="14"/>
      <c r="R6" s="11"/>
      <c r="S6" s="262"/>
      <c r="T6" s="11"/>
      <c r="U6" s="11"/>
      <c r="V6" s="11"/>
      <c r="W6" s="11"/>
      <c r="X6" s="11"/>
      <c r="Y6" s="11"/>
      <c r="Z6" s="11"/>
      <c r="AA6" s="11"/>
      <c r="AB6" s="11"/>
    </row>
    <row r="7">
      <c r="O7" s="14"/>
      <c r="P7" s="14"/>
      <c r="R7" s="11"/>
      <c r="S7" s="11"/>
      <c r="T7" s="11"/>
      <c r="U7" s="11"/>
      <c r="V7" s="11"/>
      <c r="W7" s="11"/>
      <c r="X7" s="11"/>
      <c r="Y7" s="11"/>
      <c r="Z7" s="11"/>
      <c r="AA7" s="11"/>
      <c r="AB7" s="11"/>
    </row>
    <row r="8">
      <c r="O8" s="14"/>
      <c r="P8" s="14"/>
      <c r="R8" s="11"/>
      <c r="S8" s="11"/>
      <c r="T8" s="11"/>
      <c r="U8" s="11"/>
      <c r="V8" s="11"/>
      <c r="W8" s="11"/>
      <c r="X8" s="11"/>
      <c r="Y8" s="11"/>
      <c r="Z8" s="11"/>
      <c r="AA8" s="11"/>
      <c r="AB8" s="11"/>
    </row>
    <row r="9">
      <c r="C9" s="263" t="s">
        <v>17</v>
      </c>
      <c r="E9" s="264" t="str">
        <f>'Milestones Grid'!$H$6</f>
        <v>TEST NAME- GOLF</v>
      </c>
      <c r="F9" s="265"/>
      <c r="G9" s="265"/>
      <c r="H9" s="265"/>
      <c r="J9" s="263" t="s">
        <v>22</v>
      </c>
      <c r="K9" s="266">
        <f>'Milestones Grid'!$H$7</f>
        <v>45108</v>
      </c>
      <c r="L9" s="265"/>
      <c r="M9" s="265"/>
      <c r="N9" s="267"/>
      <c r="O9" s="14"/>
      <c r="P9" s="14"/>
      <c r="R9" s="11"/>
      <c r="S9" s="11"/>
      <c r="T9" s="11"/>
      <c r="U9" s="11"/>
      <c r="V9" s="11"/>
      <c r="W9" s="11"/>
      <c r="X9" s="11"/>
      <c r="Y9" s="11"/>
      <c r="Z9" s="11"/>
      <c r="AA9" s="11"/>
      <c r="AB9" s="11"/>
    </row>
    <row r="10" ht="15.0" customHeight="1">
      <c r="O10" s="14"/>
      <c r="P10" s="14"/>
      <c r="R10" s="11"/>
      <c r="S10" s="11"/>
      <c r="T10" s="11"/>
      <c r="U10" s="11"/>
      <c r="V10" s="11"/>
      <c r="W10" s="11"/>
      <c r="X10" s="11"/>
      <c r="Y10" s="11"/>
      <c r="Z10" s="11"/>
      <c r="AA10" s="11"/>
      <c r="AB10" s="11"/>
    </row>
    <row r="11" ht="19.5" customHeight="1">
      <c r="C11" s="268" t="s">
        <v>261</v>
      </c>
      <c r="D11" s="269"/>
      <c r="E11" s="269"/>
      <c r="F11" s="269"/>
      <c r="G11" s="269"/>
      <c r="H11" s="269"/>
      <c r="I11" s="269"/>
      <c r="J11" s="269"/>
      <c r="K11" s="269"/>
      <c r="L11" s="269"/>
      <c r="M11" s="270"/>
      <c r="N11" s="271"/>
      <c r="O11" s="14"/>
      <c r="P11" s="14"/>
      <c r="R11" s="11"/>
      <c r="S11" s="11"/>
      <c r="T11" s="11"/>
      <c r="U11" s="11"/>
      <c r="V11" s="11"/>
      <c r="W11" s="11"/>
      <c r="X11" s="11"/>
      <c r="Y11" s="11"/>
      <c r="Z11" s="11"/>
      <c r="AA11" s="11"/>
      <c r="AB11" s="11"/>
    </row>
    <row r="12" ht="11.25" customHeight="1">
      <c r="D12" s="210"/>
      <c r="O12" s="14"/>
      <c r="P12" s="14"/>
      <c r="R12" s="11"/>
      <c r="S12" s="11"/>
      <c r="T12" s="11"/>
      <c r="U12" s="11"/>
      <c r="V12" s="11"/>
      <c r="W12" s="11"/>
      <c r="X12" s="11"/>
      <c r="Y12" s="11"/>
      <c r="Z12" s="11"/>
      <c r="AA12" s="11"/>
      <c r="AB12" s="11"/>
    </row>
    <row r="13" ht="17.25" customHeight="1">
      <c r="D13" s="210" t="s">
        <v>263</v>
      </c>
      <c r="O13" s="14" t="b">
        <v>0</v>
      </c>
      <c r="P13" s="14"/>
      <c r="R13" s="11"/>
      <c r="S13" s="11"/>
      <c r="T13" s="11"/>
      <c r="U13" s="11"/>
      <c r="V13" s="11"/>
      <c r="W13" s="11"/>
      <c r="X13" s="11"/>
      <c r="Y13" s="11"/>
      <c r="Z13" s="11"/>
      <c r="AA13" s="11"/>
      <c r="AB13" s="11"/>
    </row>
    <row r="14" ht="17.25" customHeight="1">
      <c r="D14" s="210" t="s">
        <v>264</v>
      </c>
      <c r="O14" s="14" t="b">
        <v>0</v>
      </c>
      <c r="P14" s="14"/>
      <c r="R14" s="11"/>
      <c r="S14" s="11"/>
      <c r="T14" s="11"/>
      <c r="U14" s="11"/>
      <c r="V14" s="11"/>
      <c r="W14" s="11"/>
      <c r="X14" s="11"/>
      <c r="Y14" s="11"/>
      <c r="Z14" s="11"/>
      <c r="AA14" s="11"/>
      <c r="AB14" s="11"/>
    </row>
    <row r="15" ht="17.25" customHeight="1">
      <c r="D15" s="210" t="s">
        <v>265</v>
      </c>
      <c r="O15" s="14" t="b">
        <v>0</v>
      </c>
      <c r="P15" s="14"/>
      <c r="R15" s="11"/>
      <c r="S15" s="11"/>
      <c r="T15" s="11"/>
      <c r="U15" s="11"/>
      <c r="V15" s="11"/>
      <c r="W15" s="11"/>
      <c r="X15" s="11"/>
      <c r="Y15" s="11"/>
      <c r="Z15" s="11"/>
      <c r="AA15" s="11"/>
      <c r="AB15" s="11"/>
    </row>
    <row r="16" ht="17.25" customHeight="1">
      <c r="D16" s="210" t="s">
        <v>266</v>
      </c>
      <c r="O16" s="14" t="b">
        <v>0</v>
      </c>
      <c r="P16" s="14"/>
      <c r="R16" s="11"/>
      <c r="S16" s="11"/>
      <c r="T16" s="11"/>
      <c r="U16" s="11"/>
      <c r="V16" s="11"/>
      <c r="W16" s="11"/>
      <c r="X16" s="11"/>
      <c r="Y16" s="11"/>
      <c r="Z16" s="11"/>
      <c r="AA16" s="11"/>
      <c r="AB16" s="11"/>
    </row>
    <row r="17" ht="17.25" customHeight="1">
      <c r="D17" s="210" t="s">
        <v>267</v>
      </c>
      <c r="O17" s="14" t="b">
        <v>0</v>
      </c>
      <c r="P17" s="14"/>
      <c r="R17" s="11"/>
      <c r="S17" s="11"/>
      <c r="T17" s="11"/>
      <c r="U17" s="11"/>
      <c r="V17" s="11"/>
      <c r="W17" s="11"/>
      <c r="X17" s="11"/>
      <c r="Y17" s="11"/>
      <c r="Z17" s="11"/>
      <c r="AA17" s="11"/>
      <c r="AB17" s="11"/>
    </row>
    <row r="18" ht="17.25" customHeight="1">
      <c r="D18" s="210" t="s">
        <v>268</v>
      </c>
      <c r="O18" s="14" t="b">
        <v>0</v>
      </c>
      <c r="P18" s="14"/>
      <c r="R18" s="11"/>
      <c r="S18" s="11"/>
      <c r="T18" s="11"/>
      <c r="U18" s="11"/>
      <c r="V18" s="11"/>
      <c r="W18" s="11"/>
      <c r="X18" s="11"/>
      <c r="Y18" s="11"/>
      <c r="Z18" s="11"/>
      <c r="AA18" s="11"/>
      <c r="AB18" s="11"/>
    </row>
    <row r="19" ht="17.25" customHeight="1">
      <c r="D19" s="272" t="s">
        <v>269</v>
      </c>
      <c r="O19" s="14" t="b">
        <v>0</v>
      </c>
      <c r="P19" s="14"/>
      <c r="R19" s="11"/>
      <c r="S19" s="11"/>
      <c r="T19" s="11"/>
      <c r="U19" s="11"/>
      <c r="V19" s="11"/>
      <c r="W19" s="11"/>
      <c r="X19" s="11"/>
      <c r="Y19" s="11"/>
      <c r="Z19" s="11"/>
      <c r="AA19" s="11"/>
      <c r="AB19" s="11"/>
    </row>
    <row r="20" ht="17.25" customHeight="1">
      <c r="D20" s="272" t="s">
        <v>272</v>
      </c>
      <c r="O20" s="14"/>
      <c r="P20" s="14"/>
      <c r="R20" s="11"/>
      <c r="S20" s="11"/>
      <c r="T20" s="11"/>
      <c r="U20" s="11"/>
      <c r="V20" s="11"/>
      <c r="W20" s="11"/>
      <c r="X20" s="11"/>
      <c r="Y20" s="11"/>
      <c r="Z20" s="11"/>
      <c r="AA20" s="11"/>
      <c r="AB20" s="11"/>
    </row>
    <row r="21" ht="15.0" customHeight="1">
      <c r="O21" s="14"/>
      <c r="P21" s="14"/>
      <c r="R21" s="11"/>
      <c r="S21" s="11"/>
      <c r="T21" s="11"/>
      <c r="U21" s="11"/>
      <c r="V21" s="11"/>
      <c r="W21" s="11"/>
      <c r="X21" s="11"/>
      <c r="Y21" s="11"/>
      <c r="Z21" s="11"/>
      <c r="AA21" s="11"/>
      <c r="AB21" s="11"/>
    </row>
    <row r="22" ht="19.5" customHeight="1">
      <c r="C22" s="273" t="s">
        <v>276</v>
      </c>
      <c r="D22" s="258"/>
      <c r="E22" s="258"/>
      <c r="F22" s="258"/>
      <c r="G22" s="258"/>
      <c r="H22" s="258"/>
      <c r="I22" s="258"/>
      <c r="J22" s="258"/>
      <c r="K22" s="258"/>
      <c r="L22" s="258"/>
      <c r="M22" s="259"/>
      <c r="N22" s="274"/>
      <c r="O22" s="14"/>
      <c r="P22" s="14"/>
      <c r="R22" s="11"/>
      <c r="S22" s="11"/>
      <c r="T22" s="11"/>
      <c r="U22" s="11"/>
      <c r="V22" s="11"/>
      <c r="W22" s="11"/>
      <c r="X22" s="11"/>
      <c r="Y22" s="11"/>
      <c r="Z22" s="11"/>
      <c r="AA22" s="11"/>
      <c r="AB22" s="11"/>
    </row>
    <row r="23" ht="11.25" customHeight="1">
      <c r="O23" s="14"/>
      <c r="P23" s="14"/>
      <c r="R23" s="11"/>
      <c r="S23" s="11"/>
      <c r="T23" s="11"/>
      <c r="U23" s="11"/>
      <c r="V23" s="11"/>
      <c r="W23" s="11"/>
      <c r="X23" s="11"/>
      <c r="Y23" s="11"/>
      <c r="Z23" s="11"/>
      <c r="AA23" s="11"/>
      <c r="AB23" s="11"/>
    </row>
    <row r="24" ht="17.25" customHeight="1">
      <c r="D24" s="210" t="s">
        <v>277</v>
      </c>
      <c r="O24" s="14" t="b">
        <v>0</v>
      </c>
      <c r="P24" s="14"/>
      <c r="R24" s="11"/>
      <c r="S24" s="11"/>
      <c r="T24" s="11"/>
      <c r="U24" s="11"/>
      <c r="V24" s="11"/>
      <c r="W24" s="11"/>
      <c r="X24" s="11"/>
      <c r="Y24" s="11"/>
      <c r="Z24" s="11"/>
      <c r="AA24" s="11"/>
      <c r="AB24" s="11"/>
    </row>
    <row r="25" ht="17.25" customHeight="1">
      <c r="D25" s="210" t="s">
        <v>278</v>
      </c>
      <c r="O25" s="14" t="b">
        <v>0</v>
      </c>
      <c r="P25" s="14"/>
      <c r="R25" s="11"/>
      <c r="S25" s="11"/>
      <c r="T25" s="11"/>
      <c r="U25" s="11"/>
      <c r="V25" s="11"/>
      <c r="W25" s="11"/>
      <c r="X25" s="11"/>
      <c r="Y25" s="11"/>
      <c r="Z25" s="11"/>
      <c r="AA25" s="11"/>
      <c r="AB25" s="11"/>
    </row>
    <row r="26" ht="17.25" customHeight="1">
      <c r="D26" s="210" t="s">
        <v>280</v>
      </c>
      <c r="O26" s="14" t="b">
        <v>0</v>
      </c>
      <c r="P26" s="14"/>
      <c r="R26" s="11"/>
      <c r="S26" s="11"/>
      <c r="T26" s="11"/>
      <c r="U26" s="11"/>
      <c r="V26" s="11"/>
      <c r="W26" s="11"/>
      <c r="X26" s="11"/>
      <c r="Y26" s="11"/>
      <c r="Z26" s="11"/>
      <c r="AA26" s="11"/>
      <c r="AB26" s="11"/>
    </row>
    <row r="27" ht="17.25" customHeight="1">
      <c r="D27" s="210" t="s">
        <v>281</v>
      </c>
      <c r="O27" s="14" t="b">
        <v>0</v>
      </c>
      <c r="P27" s="14"/>
      <c r="R27" s="11"/>
      <c r="S27" s="11"/>
      <c r="T27" s="11"/>
      <c r="U27" s="11"/>
      <c r="V27" s="11"/>
      <c r="W27" s="11"/>
      <c r="X27" s="11"/>
      <c r="Y27" s="11"/>
      <c r="Z27" s="11"/>
      <c r="AA27" s="11"/>
      <c r="AB27" s="11"/>
    </row>
    <row r="28" ht="17.25" customHeight="1">
      <c r="D28" s="210" t="s">
        <v>282</v>
      </c>
      <c r="O28" s="14" t="b">
        <v>0</v>
      </c>
      <c r="P28" s="14"/>
      <c r="R28" s="11"/>
      <c r="S28" s="11"/>
      <c r="T28" s="11"/>
      <c r="U28" s="11"/>
      <c r="V28" s="11"/>
      <c r="W28" s="11"/>
      <c r="X28" s="11"/>
      <c r="Y28" s="11"/>
      <c r="Z28" s="11"/>
      <c r="AA28" s="11"/>
      <c r="AB28" s="11"/>
    </row>
    <row r="29" ht="17.25" customHeight="1">
      <c r="D29" s="210" t="s">
        <v>284</v>
      </c>
      <c r="O29" s="14" t="b">
        <v>0</v>
      </c>
      <c r="P29" s="14"/>
      <c r="R29" s="11"/>
      <c r="S29" s="11"/>
      <c r="T29" s="11"/>
      <c r="U29" s="11"/>
      <c r="V29" s="11"/>
      <c r="W29" s="11"/>
      <c r="X29" s="11"/>
      <c r="Y29" s="11"/>
      <c r="Z29" s="11"/>
      <c r="AA29" s="11"/>
      <c r="AB29" s="11"/>
    </row>
    <row r="30" ht="17.25" customHeight="1">
      <c r="D30" s="210" t="s">
        <v>285</v>
      </c>
      <c r="O30" s="14" t="b">
        <v>0</v>
      </c>
      <c r="P30" s="14"/>
      <c r="R30" s="11"/>
      <c r="S30" s="11"/>
      <c r="T30" s="11"/>
      <c r="U30" s="11"/>
      <c r="V30" s="11"/>
      <c r="W30" s="11"/>
      <c r="X30" s="11"/>
      <c r="Y30" s="11"/>
      <c r="Z30" s="11"/>
      <c r="AA30" s="11"/>
      <c r="AB30" s="11"/>
    </row>
    <row r="31" ht="17.25" customHeight="1">
      <c r="D31" s="210" t="s">
        <v>286</v>
      </c>
      <c r="O31" s="14" t="b">
        <v>0</v>
      </c>
      <c r="P31" s="14"/>
      <c r="R31" s="11"/>
      <c r="S31" s="11"/>
      <c r="T31" s="11"/>
      <c r="U31" s="11"/>
      <c r="V31" s="11"/>
      <c r="W31" s="11"/>
      <c r="X31" s="11"/>
      <c r="Y31" s="11"/>
      <c r="Z31" s="11"/>
      <c r="AA31" s="11"/>
      <c r="AB31" s="11"/>
    </row>
    <row r="32" ht="17.25" customHeight="1">
      <c r="D32" s="210" t="s">
        <v>288</v>
      </c>
      <c r="O32" s="14" t="b">
        <v>0</v>
      </c>
      <c r="P32" s="14"/>
      <c r="R32" s="11"/>
      <c r="S32" s="11"/>
      <c r="T32" s="11"/>
      <c r="U32" s="11"/>
      <c r="V32" s="11"/>
      <c r="W32" s="11"/>
      <c r="X32" s="11"/>
      <c r="Y32" s="11"/>
      <c r="Z32" s="11"/>
      <c r="AA32" s="11"/>
      <c r="AB32" s="11"/>
    </row>
    <row r="33" ht="17.25" customHeight="1">
      <c r="D33" s="210" t="s">
        <v>290</v>
      </c>
      <c r="O33" s="14" t="b">
        <v>0</v>
      </c>
      <c r="P33" s="14"/>
      <c r="R33" s="11"/>
      <c r="S33" s="11"/>
      <c r="T33" s="11"/>
      <c r="U33" s="11"/>
      <c r="V33" s="11"/>
      <c r="W33" s="11"/>
      <c r="X33" s="11"/>
      <c r="Y33" s="11"/>
      <c r="Z33" s="11"/>
      <c r="AA33" s="11"/>
      <c r="AB33" s="11"/>
    </row>
    <row r="34" ht="17.25" customHeight="1">
      <c r="D34" s="210" t="s">
        <v>291</v>
      </c>
      <c r="O34" s="14" t="b">
        <v>0</v>
      </c>
      <c r="P34" s="14"/>
      <c r="R34" s="11"/>
      <c r="S34" s="11"/>
      <c r="T34" s="11"/>
      <c r="U34" s="11"/>
      <c r="V34" s="11"/>
      <c r="W34" s="11"/>
      <c r="X34" s="11"/>
      <c r="Y34" s="11"/>
      <c r="Z34" s="11"/>
      <c r="AA34" s="11"/>
      <c r="AB34" s="11"/>
    </row>
    <row r="35" ht="17.25" customHeight="1">
      <c r="D35" s="210" t="s">
        <v>292</v>
      </c>
      <c r="O35" s="14" t="b">
        <v>0</v>
      </c>
      <c r="P35" s="14"/>
      <c r="R35" s="11"/>
      <c r="S35" s="11"/>
      <c r="T35" s="11"/>
      <c r="U35" s="11"/>
      <c r="V35" s="11"/>
      <c r="W35" s="11"/>
      <c r="X35" s="11"/>
      <c r="Y35" s="11"/>
      <c r="Z35" s="11"/>
      <c r="AA35" s="11"/>
      <c r="AB35" s="11"/>
    </row>
    <row r="36" ht="17.25" customHeight="1">
      <c r="D36" s="210" t="s">
        <v>293</v>
      </c>
      <c r="O36" s="14" t="b">
        <v>0</v>
      </c>
      <c r="P36" s="14"/>
      <c r="R36" s="11"/>
      <c r="S36" s="11"/>
      <c r="T36" s="11"/>
      <c r="U36" s="11"/>
      <c r="V36" s="11"/>
      <c r="W36" s="11"/>
      <c r="X36" s="11"/>
      <c r="Y36" s="11"/>
      <c r="Z36" s="11"/>
      <c r="AA36" s="11"/>
      <c r="AB36" s="11"/>
    </row>
    <row r="37" ht="15.0" customHeight="1">
      <c r="O37" s="14"/>
      <c r="P37" s="14"/>
      <c r="R37" s="11"/>
      <c r="S37" s="11"/>
      <c r="T37" s="11"/>
      <c r="U37" s="11"/>
      <c r="V37" s="11"/>
      <c r="W37" s="11"/>
      <c r="X37" s="11"/>
      <c r="Y37" s="11"/>
      <c r="Z37" s="11"/>
      <c r="AA37" s="11"/>
      <c r="AB37" s="11"/>
    </row>
    <row r="38" ht="19.5" customHeight="1">
      <c r="C38" s="276" t="s">
        <v>294</v>
      </c>
      <c r="D38" s="277"/>
      <c r="E38" s="277"/>
      <c r="F38" s="277"/>
      <c r="G38" s="277"/>
      <c r="H38" s="277"/>
      <c r="I38" s="277"/>
      <c r="J38" s="277"/>
      <c r="K38" s="277"/>
      <c r="L38" s="277"/>
      <c r="M38" s="278"/>
      <c r="N38" s="280"/>
      <c r="O38" s="14"/>
      <c r="P38" s="14"/>
      <c r="R38" s="11"/>
      <c r="S38" s="11"/>
      <c r="T38" s="11"/>
      <c r="U38" s="11"/>
      <c r="V38" s="11"/>
      <c r="W38" s="11"/>
      <c r="X38" s="11"/>
      <c r="Y38" s="11"/>
      <c r="Z38" s="11"/>
      <c r="AA38" s="11"/>
      <c r="AB38" s="11"/>
    </row>
    <row r="39" ht="11.25" customHeight="1">
      <c r="O39" s="14"/>
      <c r="P39" s="14"/>
      <c r="R39" s="11"/>
      <c r="S39" s="11"/>
      <c r="T39" s="11"/>
      <c r="U39" s="11"/>
      <c r="V39" s="11"/>
      <c r="W39" s="11"/>
      <c r="X39" s="11"/>
      <c r="Y39" s="11"/>
      <c r="Z39" s="11"/>
      <c r="AA39" s="11"/>
      <c r="AB39" s="11"/>
    </row>
    <row r="40" ht="17.25" customHeight="1">
      <c r="D40" s="210" t="s">
        <v>295</v>
      </c>
      <c r="O40" s="14" t="b">
        <v>0</v>
      </c>
      <c r="P40" s="14"/>
      <c r="R40" s="11"/>
      <c r="S40" s="11"/>
      <c r="T40" s="11"/>
      <c r="U40" s="11"/>
      <c r="V40" s="11"/>
      <c r="W40" s="11"/>
      <c r="X40" s="11"/>
      <c r="Y40" s="11"/>
      <c r="Z40" s="11"/>
      <c r="AA40" s="11"/>
      <c r="AB40" s="11"/>
    </row>
    <row r="41" ht="17.25" customHeight="1">
      <c r="D41" s="210" t="s">
        <v>298</v>
      </c>
      <c r="O41" s="14" t="b">
        <v>0</v>
      </c>
      <c r="P41" s="14"/>
      <c r="R41" s="11"/>
      <c r="S41" s="11"/>
      <c r="T41" s="11"/>
      <c r="U41" s="11"/>
      <c r="V41" s="11"/>
      <c r="W41" s="11"/>
      <c r="X41" s="11"/>
      <c r="Y41" s="11"/>
      <c r="Z41" s="11"/>
      <c r="AA41" s="11"/>
      <c r="AB41" s="11"/>
    </row>
    <row r="42" ht="17.25" customHeight="1">
      <c r="D42" s="210" t="s">
        <v>300</v>
      </c>
      <c r="O42" s="14" t="b">
        <v>0</v>
      </c>
      <c r="P42" s="14"/>
      <c r="R42" s="11"/>
      <c r="S42" s="11"/>
      <c r="T42" s="11"/>
      <c r="U42" s="11"/>
      <c r="V42" s="11"/>
      <c r="W42" s="11"/>
      <c r="X42" s="11"/>
      <c r="Y42" s="11"/>
      <c r="Z42" s="11"/>
      <c r="AA42" s="11"/>
      <c r="AB42" s="11"/>
    </row>
    <row r="43" ht="17.25" customHeight="1">
      <c r="D43" s="210" t="s">
        <v>301</v>
      </c>
      <c r="O43" s="14" t="b">
        <v>0</v>
      </c>
      <c r="P43" s="14"/>
      <c r="R43" s="11"/>
      <c r="S43" s="11"/>
      <c r="T43" s="11"/>
      <c r="U43" s="11"/>
      <c r="V43" s="11"/>
      <c r="W43" s="11"/>
      <c r="X43" s="11"/>
      <c r="Y43" s="11"/>
      <c r="Z43" s="11"/>
      <c r="AA43" s="11"/>
      <c r="AB43" s="11"/>
    </row>
    <row r="44" ht="17.25" customHeight="1">
      <c r="D44" s="210" t="s">
        <v>302</v>
      </c>
      <c r="O44" s="14" t="b">
        <v>0</v>
      </c>
      <c r="P44" s="14"/>
      <c r="R44" s="11"/>
      <c r="S44" s="11"/>
      <c r="T44" s="11"/>
      <c r="U44" s="11"/>
      <c r="V44" s="11"/>
      <c r="W44" s="11"/>
      <c r="X44" s="11"/>
      <c r="Y44" s="11"/>
      <c r="Z44" s="11"/>
      <c r="AA44" s="11"/>
      <c r="AB44" s="11"/>
    </row>
    <row r="45" ht="17.25" customHeight="1">
      <c r="D45" s="210" t="s">
        <v>304</v>
      </c>
      <c r="O45" s="14" t="b">
        <v>0</v>
      </c>
      <c r="P45" s="14"/>
      <c r="R45" s="11"/>
      <c r="S45" s="11"/>
      <c r="T45" s="11"/>
      <c r="U45" s="11"/>
      <c r="V45" s="11"/>
      <c r="W45" s="11"/>
      <c r="X45" s="11"/>
      <c r="Y45" s="11"/>
      <c r="Z45" s="11"/>
      <c r="AA45" s="11"/>
      <c r="AB45" s="11"/>
    </row>
    <row r="46" ht="17.25" customHeight="1">
      <c r="D46" s="210" t="s">
        <v>305</v>
      </c>
      <c r="O46" s="14" t="b">
        <v>0</v>
      </c>
      <c r="P46" s="14"/>
      <c r="R46" s="11"/>
      <c r="S46" s="11"/>
      <c r="T46" s="11"/>
      <c r="U46" s="11"/>
      <c r="V46" s="11"/>
      <c r="W46" s="11"/>
      <c r="X46" s="11"/>
      <c r="Y46" s="11"/>
      <c r="Z46" s="11"/>
      <c r="AA46" s="11"/>
      <c r="AB46" s="11"/>
    </row>
    <row r="47" ht="17.25" customHeight="1">
      <c r="D47" s="210" t="s">
        <v>307</v>
      </c>
      <c r="O47" s="14" t="b">
        <v>0</v>
      </c>
      <c r="P47" s="14"/>
      <c r="R47" s="11"/>
      <c r="S47" s="11"/>
      <c r="T47" s="11"/>
      <c r="U47" s="11"/>
      <c r="V47" s="11"/>
      <c r="W47" s="11"/>
      <c r="X47" s="11"/>
      <c r="Y47" s="11"/>
      <c r="Z47" s="11"/>
      <c r="AA47" s="11"/>
      <c r="AB47" s="11"/>
    </row>
    <row r="48" ht="17.25" customHeight="1">
      <c r="D48" s="210" t="s">
        <v>309</v>
      </c>
      <c r="O48" s="14" t="b">
        <v>0</v>
      </c>
      <c r="P48" s="14"/>
      <c r="R48" s="11"/>
      <c r="S48" s="11"/>
      <c r="T48" s="11"/>
      <c r="U48" s="11"/>
      <c r="V48" s="11"/>
      <c r="W48" s="11"/>
      <c r="X48" s="11"/>
      <c r="Y48" s="11"/>
      <c r="Z48" s="11"/>
      <c r="AA48" s="11"/>
      <c r="AB48" s="11"/>
    </row>
    <row r="49" ht="17.25" customHeight="1">
      <c r="D49" s="210" t="s">
        <v>311</v>
      </c>
      <c r="O49" s="14" t="b">
        <v>0</v>
      </c>
      <c r="P49" s="14"/>
      <c r="R49" s="11"/>
      <c r="S49" s="11"/>
      <c r="T49" s="11"/>
      <c r="U49" s="11"/>
      <c r="V49" s="11"/>
      <c r="W49" s="11"/>
      <c r="X49" s="11"/>
      <c r="Y49" s="11"/>
      <c r="Z49" s="11"/>
      <c r="AA49" s="11"/>
      <c r="AB49" s="11"/>
    </row>
    <row r="50" ht="17.25" customHeight="1">
      <c r="D50" s="210" t="s">
        <v>312</v>
      </c>
      <c r="O50" s="14" t="b">
        <v>0</v>
      </c>
      <c r="P50" s="14"/>
      <c r="R50" s="11"/>
      <c r="S50" s="11"/>
      <c r="T50" s="11"/>
      <c r="U50" s="11"/>
      <c r="V50" s="11"/>
      <c r="W50" s="11"/>
      <c r="X50" s="11"/>
      <c r="Y50" s="11"/>
      <c r="Z50" s="11"/>
      <c r="AA50" s="11"/>
      <c r="AB50" s="11"/>
    </row>
    <row r="51" ht="17.25" customHeight="1">
      <c r="D51" s="210" t="s">
        <v>313</v>
      </c>
      <c r="O51" s="14" t="b">
        <v>0</v>
      </c>
      <c r="P51" s="14"/>
      <c r="R51" s="11"/>
      <c r="S51" s="11"/>
      <c r="T51" s="11"/>
      <c r="U51" s="11"/>
      <c r="V51" s="11"/>
      <c r="W51" s="11"/>
      <c r="X51" s="11"/>
      <c r="Y51" s="11"/>
      <c r="Z51" s="11"/>
      <c r="AA51" s="11"/>
      <c r="AB51" s="11"/>
    </row>
    <row r="52" ht="17.25" customHeight="1">
      <c r="D52" s="210" t="s">
        <v>314</v>
      </c>
      <c r="O52" s="14" t="b">
        <v>0</v>
      </c>
      <c r="P52" s="14"/>
      <c r="R52" s="11"/>
      <c r="S52" s="11"/>
      <c r="T52" s="11"/>
      <c r="U52" s="11"/>
      <c r="V52" s="11"/>
      <c r="W52" s="11"/>
      <c r="X52" s="11"/>
      <c r="Y52" s="11"/>
      <c r="Z52" s="11"/>
      <c r="AA52" s="11"/>
      <c r="AB52" s="11"/>
    </row>
    <row r="53" ht="17.25" customHeight="1">
      <c r="D53" s="210" t="s">
        <v>315</v>
      </c>
      <c r="O53" s="14" t="b">
        <v>0</v>
      </c>
      <c r="P53" s="14"/>
      <c r="R53" s="11"/>
      <c r="S53" s="11"/>
      <c r="T53" s="11"/>
      <c r="U53" s="11"/>
      <c r="V53" s="11"/>
      <c r="W53" s="11"/>
      <c r="X53" s="11"/>
      <c r="Y53" s="11"/>
      <c r="Z53" s="11"/>
      <c r="AA53" s="11"/>
      <c r="AB53" s="11"/>
    </row>
    <row r="54" ht="17.25" customHeight="1">
      <c r="D54" s="210" t="s">
        <v>316</v>
      </c>
      <c r="O54" s="14" t="b">
        <v>0</v>
      </c>
      <c r="P54" s="14"/>
      <c r="R54" s="11"/>
      <c r="S54" s="11"/>
      <c r="T54" s="11"/>
      <c r="U54" s="11"/>
      <c r="V54" s="11"/>
      <c r="W54" s="11"/>
      <c r="X54" s="11"/>
      <c r="Y54" s="11"/>
      <c r="Z54" s="11"/>
      <c r="AA54" s="11"/>
      <c r="AB54" s="11"/>
    </row>
    <row r="55" ht="17.25" customHeight="1">
      <c r="D55" s="210" t="s">
        <v>317</v>
      </c>
      <c r="O55" s="14" t="b">
        <v>0</v>
      </c>
      <c r="P55" s="14"/>
      <c r="R55" s="11"/>
      <c r="S55" s="11"/>
      <c r="T55" s="11"/>
      <c r="U55" s="11"/>
      <c r="V55" s="11"/>
      <c r="W55" s="11"/>
      <c r="X55" s="11"/>
      <c r="Y55" s="11"/>
      <c r="Z55" s="11"/>
      <c r="AA55" s="11"/>
      <c r="AB55" s="11"/>
    </row>
    <row r="56" ht="30.0" customHeight="1">
      <c r="D56" s="210"/>
      <c r="O56" s="14"/>
      <c r="P56" s="14"/>
      <c r="R56" s="11"/>
      <c r="S56" s="11"/>
      <c r="T56" s="11"/>
      <c r="U56" s="11"/>
      <c r="V56" s="11"/>
      <c r="W56" s="11"/>
      <c r="X56" s="11"/>
      <c r="Y56" s="11"/>
      <c r="Z56" s="11"/>
      <c r="AA56" s="11"/>
      <c r="AB56" s="11"/>
    </row>
    <row r="57" ht="22.5" customHeight="1">
      <c r="D57" s="210"/>
      <c r="O57" s="14"/>
      <c r="P57" s="14"/>
      <c r="R57" s="11"/>
      <c r="S57" s="11"/>
      <c r="T57" s="11"/>
      <c r="U57" s="11"/>
      <c r="V57" s="11"/>
      <c r="W57" s="11"/>
      <c r="X57" s="11"/>
      <c r="Y57" s="11"/>
      <c r="Z57" s="11"/>
      <c r="AA57" s="11"/>
      <c r="AB57" s="11"/>
    </row>
    <row r="58" ht="37.5" customHeight="1">
      <c r="D58" s="210"/>
      <c r="O58" s="14"/>
      <c r="P58" s="14"/>
      <c r="R58" s="11"/>
      <c r="S58" s="11"/>
      <c r="T58" s="11"/>
      <c r="U58" s="11"/>
      <c r="V58" s="11"/>
      <c r="W58" s="11"/>
      <c r="X58" s="11"/>
      <c r="Y58" s="11"/>
      <c r="Z58" s="11"/>
      <c r="AA58" s="11"/>
      <c r="AB58" s="11"/>
    </row>
    <row r="59" ht="17.25" customHeight="1">
      <c r="C59" s="263" t="s">
        <v>17</v>
      </c>
      <c r="E59" s="264" t="str">
        <f>'Milestones Grid'!$H$6</f>
        <v>TEST NAME- GOLF</v>
      </c>
      <c r="F59" s="265"/>
      <c r="G59" s="265"/>
      <c r="H59" s="265"/>
      <c r="I59" s="6"/>
      <c r="J59" s="263" t="s">
        <v>22</v>
      </c>
      <c r="K59" s="266">
        <f>'Milestones Grid'!$H$7</f>
        <v>45108</v>
      </c>
      <c r="L59" s="265"/>
      <c r="M59" s="265"/>
      <c r="O59" s="14"/>
      <c r="P59" s="14"/>
      <c r="R59" s="11"/>
      <c r="S59" s="11"/>
      <c r="T59" s="11"/>
      <c r="U59" s="11"/>
      <c r="V59" s="11"/>
      <c r="W59" s="11"/>
      <c r="X59" s="11"/>
      <c r="Y59" s="11"/>
      <c r="Z59" s="11"/>
      <c r="AA59" s="11"/>
      <c r="AB59" s="11"/>
    </row>
    <row r="60" ht="15.0" customHeight="1">
      <c r="O60" s="14"/>
      <c r="P60" s="14"/>
      <c r="R60" s="11"/>
      <c r="S60" s="11"/>
      <c r="T60" s="11"/>
      <c r="U60" s="11"/>
      <c r="V60" s="11"/>
      <c r="W60" s="11"/>
      <c r="X60" s="11"/>
      <c r="Y60" s="11"/>
      <c r="Z60" s="11"/>
      <c r="AA60" s="11"/>
      <c r="AB60" s="11"/>
    </row>
    <row r="61" ht="19.5" customHeight="1">
      <c r="C61" s="268" t="s">
        <v>323</v>
      </c>
      <c r="D61" s="269"/>
      <c r="E61" s="269"/>
      <c r="F61" s="269"/>
      <c r="G61" s="269"/>
      <c r="H61" s="269"/>
      <c r="I61" s="269"/>
      <c r="J61" s="269"/>
      <c r="K61" s="269"/>
      <c r="L61" s="269"/>
      <c r="M61" s="270"/>
      <c r="N61" s="271"/>
      <c r="O61" s="14"/>
      <c r="P61" s="14"/>
      <c r="R61" s="11"/>
      <c r="S61" s="11"/>
      <c r="T61" s="11"/>
      <c r="U61" s="11"/>
      <c r="V61" s="11"/>
      <c r="W61" s="11"/>
      <c r="X61" s="11"/>
      <c r="Y61" s="11"/>
      <c r="Z61" s="11"/>
      <c r="AA61" s="11"/>
      <c r="AB61" s="11"/>
    </row>
    <row r="62" ht="11.25" customHeight="1">
      <c r="O62" s="14"/>
      <c r="P62" s="14"/>
      <c r="R62" s="11"/>
      <c r="S62" s="11"/>
      <c r="T62" s="11"/>
      <c r="U62" s="11"/>
      <c r="V62" s="11"/>
      <c r="W62" s="11"/>
      <c r="X62" s="11"/>
      <c r="Y62" s="11"/>
      <c r="Z62" s="11"/>
      <c r="AA62" s="11"/>
      <c r="AB62" s="11"/>
    </row>
    <row r="63" ht="17.25" customHeight="1">
      <c r="D63" s="210" t="s">
        <v>324</v>
      </c>
      <c r="O63" s="14" t="b">
        <v>0</v>
      </c>
      <c r="P63" s="14"/>
      <c r="R63" s="11"/>
      <c r="S63" s="11"/>
      <c r="T63" s="11"/>
      <c r="U63" s="11"/>
      <c r="V63" s="11"/>
      <c r="W63" s="11"/>
      <c r="X63" s="11"/>
      <c r="Y63" s="11"/>
      <c r="Z63" s="11"/>
      <c r="AA63" s="11"/>
      <c r="AB63" s="11"/>
    </row>
    <row r="64" ht="17.25" customHeight="1">
      <c r="D64" s="210" t="s">
        <v>325</v>
      </c>
      <c r="O64" s="14" t="b">
        <v>0</v>
      </c>
      <c r="P64" s="14"/>
      <c r="R64" s="11"/>
      <c r="S64" s="11"/>
      <c r="T64" s="11"/>
      <c r="U64" s="11"/>
      <c r="V64" s="11"/>
      <c r="W64" s="11"/>
      <c r="X64" s="11"/>
      <c r="Y64" s="11"/>
      <c r="Z64" s="11"/>
      <c r="AA64" s="11"/>
      <c r="AB64" s="11"/>
    </row>
    <row r="65" ht="17.25" customHeight="1">
      <c r="D65" s="210" t="s">
        <v>326</v>
      </c>
      <c r="O65" s="14" t="b">
        <v>0</v>
      </c>
      <c r="P65" s="14"/>
      <c r="R65" s="11"/>
      <c r="S65" s="11"/>
      <c r="T65" s="11"/>
      <c r="U65" s="11"/>
      <c r="V65" s="11"/>
      <c r="W65" s="11"/>
      <c r="X65" s="11"/>
      <c r="Y65" s="11"/>
      <c r="Z65" s="11"/>
      <c r="AA65" s="11"/>
      <c r="AB65" s="11"/>
    </row>
    <row r="66" ht="17.25" customHeight="1">
      <c r="D66" s="210" t="s">
        <v>327</v>
      </c>
      <c r="O66" s="14" t="b">
        <v>0</v>
      </c>
      <c r="P66" s="14"/>
      <c r="R66" s="11"/>
      <c r="S66" s="11"/>
      <c r="T66" s="11"/>
      <c r="U66" s="11"/>
      <c r="V66" s="11"/>
      <c r="W66" s="11"/>
      <c r="X66" s="11"/>
      <c r="Y66" s="11"/>
      <c r="Z66" s="11"/>
      <c r="AA66" s="11"/>
      <c r="AB66" s="11"/>
    </row>
    <row r="67" ht="15.0" customHeight="1">
      <c r="O67" s="14"/>
      <c r="P67" s="14"/>
      <c r="R67" s="11"/>
      <c r="S67" s="11"/>
      <c r="T67" s="11"/>
      <c r="U67" s="11"/>
      <c r="V67" s="11"/>
      <c r="W67" s="11"/>
      <c r="X67" s="11"/>
      <c r="Y67" s="11"/>
      <c r="Z67" s="11"/>
      <c r="AA67" s="11"/>
      <c r="AB67" s="11"/>
    </row>
    <row r="68" ht="19.5" customHeight="1">
      <c r="C68" s="273" t="s">
        <v>328</v>
      </c>
      <c r="D68" s="258"/>
      <c r="E68" s="258"/>
      <c r="F68" s="258"/>
      <c r="G68" s="258"/>
      <c r="H68" s="258"/>
      <c r="I68" s="258"/>
      <c r="J68" s="258"/>
      <c r="K68" s="258"/>
      <c r="L68" s="258"/>
      <c r="M68" s="259"/>
      <c r="N68" s="274"/>
      <c r="O68" s="14"/>
      <c r="P68" s="14"/>
      <c r="R68" s="11"/>
      <c r="S68" s="11"/>
      <c r="T68" s="11"/>
      <c r="U68" s="11"/>
      <c r="V68" s="11"/>
      <c r="W68" s="11"/>
      <c r="X68" s="11"/>
      <c r="Y68" s="11"/>
      <c r="Z68" s="11"/>
      <c r="AA68" s="11"/>
      <c r="AB68" s="11"/>
    </row>
    <row r="69" ht="11.25" customHeight="1">
      <c r="O69" s="14"/>
      <c r="P69" s="14"/>
      <c r="R69" s="11"/>
      <c r="S69" s="11"/>
      <c r="T69" s="11"/>
      <c r="U69" s="11"/>
      <c r="V69" s="11"/>
      <c r="W69" s="11"/>
      <c r="X69" s="11"/>
      <c r="Y69" s="11"/>
      <c r="Z69" s="11"/>
      <c r="AA69" s="11"/>
      <c r="AB69" s="11"/>
    </row>
    <row r="70" ht="17.25" customHeight="1">
      <c r="D70" s="210" t="s">
        <v>330</v>
      </c>
      <c r="O70" s="14" t="b">
        <v>0</v>
      </c>
      <c r="P70" s="14"/>
      <c r="R70" s="11"/>
      <c r="S70" s="11"/>
      <c r="T70" s="11"/>
      <c r="U70" s="11"/>
      <c r="V70" s="11"/>
      <c r="W70" s="11"/>
      <c r="X70" s="11"/>
      <c r="Y70" s="11"/>
      <c r="Z70" s="11"/>
      <c r="AA70" s="11"/>
      <c r="AB70" s="11"/>
    </row>
    <row r="71" ht="17.25" customHeight="1">
      <c r="D71" s="210" t="s">
        <v>332</v>
      </c>
      <c r="O71" s="14" t="b">
        <v>0</v>
      </c>
      <c r="P71" s="14"/>
      <c r="R71" s="11"/>
      <c r="S71" s="11"/>
      <c r="T71" s="11"/>
      <c r="U71" s="11"/>
      <c r="V71" s="11"/>
      <c r="W71" s="11"/>
      <c r="X71" s="11"/>
      <c r="Y71" s="11"/>
      <c r="Z71" s="11"/>
      <c r="AA71" s="11"/>
      <c r="AB71" s="11"/>
    </row>
    <row r="72" ht="17.25" customHeight="1">
      <c r="D72" s="210" t="s">
        <v>333</v>
      </c>
      <c r="O72" s="14" t="b">
        <v>0</v>
      </c>
      <c r="P72" s="14"/>
      <c r="R72" s="11"/>
      <c r="S72" s="11"/>
      <c r="T72" s="11"/>
      <c r="U72" s="11"/>
      <c r="V72" s="11"/>
      <c r="W72" s="11"/>
      <c r="X72" s="11"/>
      <c r="Y72" s="11"/>
      <c r="Z72" s="11"/>
      <c r="AA72" s="11"/>
      <c r="AB72" s="11"/>
    </row>
    <row r="73" ht="17.25" customHeight="1">
      <c r="D73" s="210" t="s">
        <v>334</v>
      </c>
      <c r="O73" s="14" t="b">
        <v>0</v>
      </c>
      <c r="P73" s="14"/>
      <c r="R73" s="11"/>
      <c r="S73" s="11"/>
      <c r="T73" s="11"/>
      <c r="U73" s="11"/>
      <c r="V73" s="11"/>
      <c r="W73" s="11"/>
      <c r="X73" s="11"/>
      <c r="Y73" s="11"/>
      <c r="Z73" s="11"/>
      <c r="AA73" s="11"/>
      <c r="AB73" s="11"/>
    </row>
    <row r="74" ht="17.25" customHeight="1">
      <c r="D74" s="210" t="s">
        <v>336</v>
      </c>
      <c r="O74" s="14" t="b">
        <v>0</v>
      </c>
      <c r="P74" s="14"/>
      <c r="R74" s="11"/>
      <c r="S74" s="11"/>
      <c r="T74" s="11"/>
      <c r="U74" s="11"/>
      <c r="V74" s="11"/>
      <c r="W74" s="11"/>
      <c r="X74" s="11"/>
      <c r="Y74" s="11"/>
      <c r="Z74" s="11"/>
      <c r="AA74" s="11"/>
      <c r="AB74" s="11"/>
    </row>
    <row r="75" ht="17.25" customHeight="1">
      <c r="D75" s="210" t="s">
        <v>337</v>
      </c>
      <c r="O75" s="14" t="b">
        <v>0</v>
      </c>
      <c r="P75" s="14"/>
      <c r="R75" s="11"/>
      <c r="S75" s="11"/>
      <c r="T75" s="11"/>
      <c r="U75" s="11"/>
      <c r="V75" s="11"/>
      <c r="W75" s="11"/>
      <c r="X75" s="11"/>
      <c r="Y75" s="11"/>
      <c r="Z75" s="11"/>
      <c r="AA75" s="11"/>
      <c r="AB75" s="11"/>
    </row>
    <row r="76" ht="17.25" customHeight="1">
      <c r="D76" s="210" t="s">
        <v>338</v>
      </c>
      <c r="O76" s="14" t="b">
        <v>0</v>
      </c>
      <c r="P76" s="14"/>
      <c r="R76" s="11"/>
      <c r="S76" s="11"/>
      <c r="T76" s="11"/>
      <c r="U76" s="11"/>
      <c r="V76" s="11"/>
      <c r="W76" s="11"/>
      <c r="X76" s="11"/>
      <c r="Y76" s="11"/>
      <c r="Z76" s="11"/>
      <c r="AA76" s="11"/>
      <c r="AB76" s="11"/>
    </row>
    <row r="77" ht="15.0" customHeight="1">
      <c r="O77" s="14"/>
      <c r="P77" s="14"/>
      <c r="R77" s="11"/>
      <c r="S77" s="11"/>
      <c r="T77" s="11"/>
      <c r="U77" s="11"/>
      <c r="V77" s="11"/>
      <c r="W77" s="11"/>
      <c r="X77" s="11"/>
      <c r="Y77" s="11"/>
      <c r="Z77" s="11"/>
      <c r="AA77" s="11"/>
      <c r="AB77" s="11"/>
    </row>
    <row r="78" ht="19.5" customHeight="1">
      <c r="C78" s="276" t="s">
        <v>340</v>
      </c>
      <c r="D78" s="277"/>
      <c r="E78" s="277"/>
      <c r="F78" s="277"/>
      <c r="G78" s="277"/>
      <c r="H78" s="277"/>
      <c r="I78" s="277"/>
      <c r="J78" s="277"/>
      <c r="K78" s="277"/>
      <c r="L78" s="277"/>
      <c r="M78" s="278"/>
      <c r="N78" s="280"/>
      <c r="O78" s="14"/>
      <c r="P78" s="14"/>
      <c r="R78" s="11"/>
      <c r="S78" s="11"/>
      <c r="T78" s="11"/>
      <c r="U78" s="11"/>
      <c r="V78" s="11"/>
      <c r="W78" s="11"/>
      <c r="X78" s="11"/>
      <c r="Y78" s="11"/>
      <c r="Z78" s="11"/>
      <c r="AA78" s="11"/>
      <c r="AB78" s="11"/>
    </row>
    <row r="79" ht="11.25" customHeight="1">
      <c r="O79" s="14"/>
      <c r="P79" s="14"/>
      <c r="R79" s="11"/>
      <c r="S79" s="11"/>
      <c r="T79" s="11"/>
      <c r="U79" s="11"/>
      <c r="V79" s="11"/>
      <c r="W79" s="11"/>
      <c r="X79" s="11"/>
      <c r="Y79" s="11"/>
      <c r="Z79" s="11"/>
      <c r="AA79" s="11"/>
      <c r="AB79" s="11"/>
    </row>
    <row r="80" ht="17.25" customHeight="1">
      <c r="D80" s="210" t="s">
        <v>343</v>
      </c>
      <c r="O80" s="14" t="b">
        <v>0</v>
      </c>
      <c r="P80" s="14"/>
      <c r="R80" s="11"/>
      <c r="S80" s="11"/>
      <c r="T80" s="11"/>
      <c r="U80" s="11"/>
      <c r="V80" s="11"/>
      <c r="W80" s="11"/>
      <c r="X80" s="11"/>
      <c r="Y80" s="11"/>
      <c r="Z80" s="11"/>
      <c r="AA80" s="11"/>
      <c r="AB80" s="11"/>
    </row>
    <row r="81" ht="17.25" customHeight="1">
      <c r="D81" s="210" t="s">
        <v>344</v>
      </c>
      <c r="O81" s="14" t="b">
        <v>0</v>
      </c>
      <c r="P81" s="14"/>
      <c r="R81" s="11"/>
      <c r="S81" s="11"/>
      <c r="T81" s="11"/>
      <c r="U81" s="11"/>
      <c r="V81" s="11"/>
      <c r="W81" s="11"/>
      <c r="X81" s="11"/>
      <c r="Y81" s="11"/>
      <c r="Z81" s="11"/>
      <c r="AA81" s="11"/>
      <c r="AB81" s="11"/>
    </row>
    <row r="82" ht="17.25" customHeight="1">
      <c r="D82" s="210" t="s">
        <v>346</v>
      </c>
      <c r="O82" s="14" t="b">
        <v>0</v>
      </c>
      <c r="P82" s="14"/>
      <c r="R82" s="11"/>
      <c r="S82" s="11"/>
      <c r="T82" s="11"/>
      <c r="U82" s="11"/>
      <c r="V82" s="11"/>
      <c r="W82" s="11"/>
      <c r="X82" s="11"/>
      <c r="Y82" s="11"/>
      <c r="Z82" s="11"/>
      <c r="AA82" s="11"/>
      <c r="AB82" s="11"/>
    </row>
    <row r="83" ht="17.25" customHeight="1">
      <c r="D83" s="210" t="s">
        <v>347</v>
      </c>
      <c r="O83" s="14" t="b">
        <v>0</v>
      </c>
      <c r="P83" s="14"/>
      <c r="R83" s="11"/>
      <c r="S83" s="11"/>
      <c r="T83" s="11"/>
      <c r="U83" s="11"/>
      <c r="V83" s="11"/>
      <c r="W83" s="11"/>
      <c r="X83" s="11"/>
      <c r="Y83" s="11"/>
      <c r="Z83" s="11"/>
      <c r="AA83" s="11"/>
      <c r="AB83" s="11"/>
    </row>
    <row r="84" ht="17.25" customHeight="1">
      <c r="D84" s="210" t="s">
        <v>348</v>
      </c>
      <c r="O84" s="14" t="b">
        <v>0</v>
      </c>
      <c r="P84" s="14"/>
      <c r="R84" s="11"/>
      <c r="S84" s="11"/>
      <c r="T84" s="11"/>
      <c r="U84" s="11"/>
      <c r="V84" s="11"/>
      <c r="W84" s="11"/>
      <c r="X84" s="11"/>
      <c r="Y84" s="11"/>
      <c r="Z84" s="11"/>
      <c r="AA84" s="11"/>
      <c r="AB84" s="11"/>
    </row>
    <row r="85" ht="17.25" customHeight="1">
      <c r="D85" s="210" t="s">
        <v>350</v>
      </c>
      <c r="O85" s="14" t="b">
        <v>0</v>
      </c>
      <c r="P85" s="14"/>
      <c r="R85" s="11"/>
      <c r="S85" s="11"/>
      <c r="T85" s="11"/>
      <c r="U85" s="11"/>
      <c r="V85" s="11"/>
      <c r="W85" s="11"/>
      <c r="X85" s="11"/>
      <c r="Y85" s="11"/>
      <c r="Z85" s="11"/>
      <c r="AA85" s="11"/>
      <c r="AB85" s="11"/>
    </row>
    <row r="86" ht="17.25" customHeight="1">
      <c r="D86" s="210" t="s">
        <v>352</v>
      </c>
      <c r="O86" s="14" t="b">
        <v>0</v>
      </c>
      <c r="P86" s="14"/>
      <c r="R86" s="11"/>
      <c r="S86" s="11"/>
      <c r="T86" s="11"/>
      <c r="U86" s="11"/>
      <c r="V86" s="11"/>
      <c r="W86" s="11"/>
      <c r="X86" s="11"/>
      <c r="Y86" s="11"/>
      <c r="Z86" s="11"/>
      <c r="AA86" s="11"/>
      <c r="AB86" s="11"/>
    </row>
    <row r="87" ht="17.25" customHeight="1">
      <c r="D87" s="210" t="s">
        <v>353</v>
      </c>
      <c r="O87" s="14" t="b">
        <v>0</v>
      </c>
      <c r="P87" s="14"/>
      <c r="R87" s="11"/>
      <c r="S87" s="11"/>
      <c r="T87" s="11"/>
      <c r="U87" s="11"/>
      <c r="V87" s="11"/>
      <c r="W87" s="11"/>
      <c r="X87" s="11"/>
      <c r="Y87" s="11"/>
      <c r="Z87" s="11"/>
      <c r="AA87" s="11"/>
      <c r="AB87" s="11"/>
    </row>
    <row r="88" ht="17.25" customHeight="1">
      <c r="D88" s="210" t="s">
        <v>354</v>
      </c>
      <c r="O88" s="14" t="b">
        <v>0</v>
      </c>
      <c r="P88" s="14"/>
      <c r="R88" s="11"/>
      <c r="S88" s="11"/>
      <c r="T88" s="11"/>
      <c r="U88" s="11"/>
      <c r="V88" s="11"/>
      <c r="W88" s="11"/>
      <c r="X88" s="11"/>
      <c r="Y88" s="11"/>
      <c r="Z88" s="11"/>
      <c r="AA88" s="11"/>
      <c r="AB88" s="11"/>
    </row>
    <row r="89" ht="17.25" customHeight="1">
      <c r="D89" s="210" t="s">
        <v>355</v>
      </c>
      <c r="O89" s="14" t="b">
        <v>0</v>
      </c>
      <c r="P89" s="14"/>
      <c r="R89" s="11"/>
      <c r="S89" s="11"/>
      <c r="T89" s="11"/>
      <c r="U89" s="11"/>
      <c r="V89" s="11"/>
      <c r="W89" s="11"/>
      <c r="X89" s="11"/>
      <c r="Y89" s="11"/>
      <c r="Z89" s="11"/>
      <c r="AA89" s="11"/>
      <c r="AB89" s="11"/>
    </row>
    <row r="90" ht="30.0" customHeight="1">
      <c r="O90" s="14"/>
      <c r="P90" s="14"/>
      <c r="R90" s="11"/>
      <c r="S90" s="11"/>
      <c r="T90" s="11"/>
      <c r="U90" s="11"/>
      <c r="V90" s="11"/>
      <c r="W90" s="11"/>
      <c r="X90" s="11"/>
      <c r="Y90" s="11"/>
      <c r="Z90" s="11"/>
      <c r="AA90" s="11"/>
      <c r="AB90" s="11"/>
    </row>
    <row r="91" ht="22.5" customHeight="1">
      <c r="O91" s="14"/>
      <c r="P91" s="14"/>
      <c r="R91" s="11"/>
      <c r="S91" s="11"/>
      <c r="T91" s="11"/>
      <c r="U91" s="11"/>
      <c r="V91" s="11"/>
      <c r="W91" s="11"/>
      <c r="X91" s="11"/>
      <c r="Y91" s="11"/>
      <c r="Z91" s="11"/>
      <c r="AA91" s="11"/>
      <c r="AB91" s="11"/>
    </row>
    <row r="92" ht="37.5" customHeight="1">
      <c r="O92" s="14"/>
      <c r="P92" s="14"/>
      <c r="R92" s="11"/>
      <c r="S92" s="11"/>
      <c r="T92" s="11"/>
      <c r="U92" s="11"/>
      <c r="V92" s="11"/>
      <c r="W92" s="11"/>
      <c r="X92" s="11"/>
      <c r="Y92" s="11"/>
      <c r="Z92" s="11"/>
      <c r="AA92" s="11"/>
      <c r="AB92" s="11"/>
    </row>
    <row r="93" ht="17.25" customHeight="1">
      <c r="C93" s="263" t="s">
        <v>17</v>
      </c>
      <c r="E93" s="264" t="str">
        <f>'Milestones Grid'!$H$6</f>
        <v>TEST NAME- GOLF</v>
      </c>
      <c r="F93" s="265"/>
      <c r="G93" s="265"/>
      <c r="H93" s="265"/>
      <c r="I93" s="6"/>
      <c r="J93" s="263" t="s">
        <v>22</v>
      </c>
      <c r="K93" s="266">
        <f>'Milestones Grid'!$H$7</f>
        <v>45108</v>
      </c>
      <c r="L93" s="265"/>
      <c r="M93" s="265"/>
      <c r="O93" s="14"/>
      <c r="P93" s="14"/>
      <c r="R93" s="11"/>
      <c r="S93" s="11"/>
      <c r="T93" s="11"/>
      <c r="U93" s="11"/>
      <c r="V93" s="11"/>
      <c r="W93" s="11"/>
      <c r="X93" s="11"/>
      <c r="Y93" s="11"/>
      <c r="Z93" s="11"/>
      <c r="AA93" s="11"/>
      <c r="AB93" s="11"/>
    </row>
    <row r="94" ht="15.0" customHeight="1">
      <c r="O94" s="14"/>
      <c r="P94" s="14"/>
      <c r="R94" s="11"/>
      <c r="S94" s="11"/>
      <c r="T94" s="11"/>
      <c r="U94" s="11"/>
      <c r="V94" s="11"/>
      <c r="W94" s="11"/>
      <c r="X94" s="11"/>
      <c r="Y94" s="11"/>
      <c r="Z94" s="11"/>
      <c r="AA94" s="11"/>
      <c r="AB94" s="11"/>
    </row>
    <row r="95" ht="19.5" customHeight="1">
      <c r="C95" s="268" t="s">
        <v>357</v>
      </c>
      <c r="D95" s="269"/>
      <c r="E95" s="269"/>
      <c r="F95" s="269"/>
      <c r="G95" s="269"/>
      <c r="H95" s="269"/>
      <c r="I95" s="269"/>
      <c r="J95" s="269"/>
      <c r="K95" s="269"/>
      <c r="L95" s="269"/>
      <c r="M95" s="270"/>
      <c r="N95" s="271"/>
      <c r="O95" s="14"/>
      <c r="P95" s="14"/>
      <c r="R95" s="11"/>
      <c r="S95" s="11"/>
      <c r="T95" s="11"/>
      <c r="U95" s="11"/>
      <c r="V95" s="11"/>
      <c r="W95" s="11"/>
      <c r="X95" s="11"/>
      <c r="Y95" s="11"/>
      <c r="Z95" s="11"/>
      <c r="AA95" s="11"/>
      <c r="AB95" s="11"/>
    </row>
    <row r="96" ht="11.25" customHeight="1">
      <c r="O96" s="14"/>
      <c r="P96" s="14"/>
      <c r="R96" s="11"/>
      <c r="S96" s="11"/>
      <c r="T96" s="11"/>
      <c r="U96" s="11"/>
      <c r="V96" s="11"/>
      <c r="W96" s="11"/>
      <c r="X96" s="11"/>
      <c r="Y96" s="11"/>
      <c r="Z96" s="11"/>
      <c r="AA96" s="11"/>
      <c r="AB96" s="11"/>
    </row>
    <row r="97" ht="17.25" customHeight="1">
      <c r="D97" s="210" t="s">
        <v>358</v>
      </c>
      <c r="O97" s="14" t="b">
        <v>0</v>
      </c>
      <c r="P97" s="14"/>
      <c r="R97" s="11"/>
      <c r="S97" s="11"/>
      <c r="T97" s="11"/>
      <c r="U97" s="11"/>
      <c r="V97" s="11"/>
      <c r="W97" s="11"/>
      <c r="X97" s="11"/>
      <c r="Y97" s="11"/>
      <c r="Z97" s="11"/>
      <c r="AA97" s="11"/>
      <c r="AB97" s="11"/>
    </row>
    <row r="98" ht="17.25" customHeight="1">
      <c r="D98" s="210" t="s">
        <v>359</v>
      </c>
      <c r="O98" s="14" t="b">
        <v>0</v>
      </c>
      <c r="P98" s="14"/>
      <c r="R98" s="11"/>
      <c r="S98" s="11"/>
      <c r="T98" s="11"/>
      <c r="U98" s="11"/>
      <c r="V98" s="11"/>
      <c r="W98" s="11"/>
      <c r="X98" s="11"/>
      <c r="Y98" s="11"/>
      <c r="Z98" s="11"/>
      <c r="AA98" s="11"/>
      <c r="AB98" s="11"/>
    </row>
    <row r="99" ht="17.25" customHeight="1">
      <c r="D99" s="210" t="s">
        <v>360</v>
      </c>
      <c r="O99" s="14" t="b">
        <v>0</v>
      </c>
      <c r="P99" s="14"/>
      <c r="R99" s="11"/>
      <c r="S99" s="11"/>
      <c r="T99" s="11"/>
      <c r="U99" s="11"/>
      <c r="V99" s="11"/>
      <c r="W99" s="11"/>
      <c r="X99" s="11"/>
      <c r="Y99" s="11"/>
      <c r="Z99" s="11"/>
      <c r="AA99" s="11"/>
      <c r="AB99" s="11"/>
    </row>
    <row r="100" ht="17.25" customHeight="1">
      <c r="D100" s="210" t="s">
        <v>362</v>
      </c>
      <c r="O100" s="14" t="b">
        <v>0</v>
      </c>
      <c r="P100" s="14"/>
      <c r="R100" s="11"/>
      <c r="S100" s="11"/>
      <c r="T100" s="11"/>
      <c r="U100" s="11"/>
      <c r="V100" s="11"/>
      <c r="W100" s="11"/>
      <c r="X100" s="11"/>
      <c r="Y100" s="11"/>
      <c r="Z100" s="11"/>
      <c r="AA100" s="11"/>
      <c r="AB100" s="11"/>
    </row>
    <row r="101" ht="15.0" customHeight="1">
      <c r="O101" s="14"/>
      <c r="P101" s="14"/>
      <c r="R101" s="11"/>
      <c r="S101" s="11"/>
      <c r="T101" s="11"/>
      <c r="U101" s="11"/>
      <c r="V101" s="11"/>
      <c r="W101" s="11"/>
      <c r="X101" s="11"/>
      <c r="Y101" s="11"/>
      <c r="Z101" s="11"/>
      <c r="AA101" s="11"/>
      <c r="AB101" s="11"/>
    </row>
    <row r="102" ht="19.5" customHeight="1">
      <c r="C102" s="273" t="s">
        <v>364</v>
      </c>
      <c r="D102" s="258"/>
      <c r="E102" s="258"/>
      <c r="F102" s="258"/>
      <c r="G102" s="258"/>
      <c r="H102" s="258"/>
      <c r="I102" s="258"/>
      <c r="J102" s="258"/>
      <c r="K102" s="258"/>
      <c r="L102" s="258"/>
      <c r="M102" s="259"/>
      <c r="N102" s="274"/>
      <c r="O102" s="14"/>
      <c r="P102" s="14"/>
      <c r="R102" s="11"/>
      <c r="S102" s="11"/>
      <c r="T102" s="11"/>
      <c r="U102" s="11"/>
      <c r="V102" s="11"/>
      <c r="W102" s="11"/>
      <c r="X102" s="11"/>
      <c r="Y102" s="11"/>
      <c r="Z102" s="11"/>
      <c r="AA102" s="11"/>
      <c r="AB102" s="11"/>
    </row>
    <row r="103" ht="11.25" customHeight="1">
      <c r="O103" s="14"/>
      <c r="P103" s="14"/>
      <c r="R103" s="11"/>
      <c r="S103" s="11"/>
      <c r="T103" s="11"/>
      <c r="U103" s="11"/>
      <c r="V103" s="11"/>
      <c r="W103" s="11"/>
      <c r="X103" s="11"/>
      <c r="Y103" s="11"/>
      <c r="Z103" s="11"/>
      <c r="AA103" s="11"/>
      <c r="AB103" s="11"/>
    </row>
    <row r="104" ht="17.25" customHeight="1">
      <c r="D104" s="210" t="s">
        <v>365</v>
      </c>
      <c r="O104" s="14" t="b">
        <v>0</v>
      </c>
      <c r="P104" s="14"/>
      <c r="R104" s="11"/>
      <c r="S104" s="11"/>
      <c r="T104" s="11"/>
      <c r="U104" s="11"/>
      <c r="V104" s="11"/>
      <c r="W104" s="11"/>
      <c r="X104" s="11"/>
      <c r="Y104" s="11"/>
      <c r="Z104" s="11"/>
      <c r="AA104" s="11"/>
      <c r="AB104" s="11"/>
    </row>
    <row r="105" ht="17.25" customHeight="1">
      <c r="D105" s="210" t="s">
        <v>367</v>
      </c>
      <c r="O105" s="14" t="b">
        <v>0</v>
      </c>
      <c r="P105" s="14"/>
      <c r="R105" s="11"/>
      <c r="S105" s="11"/>
      <c r="T105" s="11"/>
      <c r="U105" s="11"/>
      <c r="V105" s="11"/>
      <c r="W105" s="11"/>
      <c r="X105" s="11"/>
      <c r="Y105" s="11"/>
      <c r="Z105" s="11"/>
      <c r="AA105" s="11"/>
      <c r="AB105" s="11"/>
    </row>
    <row r="106" ht="17.25" customHeight="1">
      <c r="D106" s="210" t="s">
        <v>368</v>
      </c>
      <c r="O106" s="14" t="b">
        <v>0</v>
      </c>
      <c r="P106" s="14"/>
      <c r="R106" s="11"/>
      <c r="S106" s="11"/>
      <c r="T106" s="11"/>
      <c r="U106" s="11"/>
      <c r="V106" s="11"/>
      <c r="W106" s="11"/>
      <c r="X106" s="11"/>
      <c r="Y106" s="11"/>
      <c r="Z106" s="11"/>
      <c r="AA106" s="11"/>
      <c r="AB106" s="11"/>
    </row>
    <row r="107" ht="17.25" customHeight="1">
      <c r="D107" s="210" t="s">
        <v>369</v>
      </c>
      <c r="O107" s="14" t="b">
        <v>0</v>
      </c>
      <c r="P107" s="14"/>
      <c r="R107" s="11"/>
      <c r="S107" s="11"/>
      <c r="T107" s="11"/>
      <c r="U107" s="11"/>
      <c r="V107" s="11"/>
      <c r="W107" s="11"/>
      <c r="X107" s="11"/>
      <c r="Y107" s="11"/>
      <c r="Z107" s="11"/>
      <c r="AA107" s="11"/>
      <c r="AB107" s="11"/>
    </row>
    <row r="108" ht="17.25" customHeight="1">
      <c r="D108" s="210" t="s">
        <v>370</v>
      </c>
      <c r="O108" s="14" t="b">
        <v>0</v>
      </c>
      <c r="P108" s="14"/>
      <c r="R108" s="11"/>
      <c r="S108" s="11"/>
      <c r="T108" s="11"/>
      <c r="U108" s="11"/>
      <c r="V108" s="11"/>
      <c r="W108" s="11"/>
      <c r="X108" s="11"/>
      <c r="Y108" s="11"/>
      <c r="Z108" s="11"/>
      <c r="AA108" s="11"/>
      <c r="AB108" s="11"/>
    </row>
    <row r="109" ht="17.25" customHeight="1">
      <c r="D109" s="210" t="s">
        <v>371</v>
      </c>
      <c r="O109" s="14" t="b">
        <v>0</v>
      </c>
      <c r="P109" s="14"/>
      <c r="R109" s="11"/>
      <c r="S109" s="11"/>
      <c r="T109" s="11"/>
      <c r="U109" s="11"/>
      <c r="V109" s="11"/>
      <c r="W109" s="11"/>
      <c r="X109" s="11"/>
      <c r="Y109" s="11"/>
      <c r="Z109" s="11"/>
      <c r="AA109" s="11"/>
      <c r="AB109" s="11"/>
    </row>
    <row r="110" ht="17.25" customHeight="1">
      <c r="D110" s="210" t="s">
        <v>372</v>
      </c>
      <c r="O110" s="14" t="b">
        <v>0</v>
      </c>
      <c r="P110" s="14"/>
      <c r="R110" s="11"/>
      <c r="S110" s="11"/>
      <c r="T110" s="11"/>
      <c r="U110" s="11"/>
      <c r="V110" s="11"/>
      <c r="W110" s="11"/>
      <c r="X110" s="11"/>
      <c r="Y110" s="11"/>
      <c r="Z110" s="11"/>
      <c r="AA110" s="11"/>
      <c r="AB110" s="11"/>
    </row>
    <row r="111" ht="17.25" customHeight="1">
      <c r="D111" s="210" t="s">
        <v>373</v>
      </c>
      <c r="O111" s="14" t="b">
        <v>0</v>
      </c>
      <c r="P111" s="14"/>
      <c r="R111" s="11"/>
      <c r="S111" s="11"/>
      <c r="T111" s="11"/>
      <c r="U111" s="11"/>
      <c r="V111" s="11"/>
      <c r="W111" s="11"/>
      <c r="X111" s="11"/>
      <c r="Y111" s="11"/>
      <c r="Z111" s="11"/>
      <c r="AA111" s="11"/>
      <c r="AB111" s="11"/>
    </row>
    <row r="112" ht="17.25" customHeight="1">
      <c r="D112" s="210" t="s">
        <v>375</v>
      </c>
      <c r="O112" s="14" t="b">
        <v>0</v>
      </c>
      <c r="P112" s="14"/>
      <c r="R112" s="11"/>
      <c r="S112" s="11"/>
      <c r="T112" s="11"/>
      <c r="U112" s="11"/>
      <c r="V112" s="11"/>
      <c r="W112" s="11"/>
      <c r="X112" s="11"/>
      <c r="Y112" s="11"/>
      <c r="Z112" s="11"/>
      <c r="AA112" s="11"/>
      <c r="AB112" s="11"/>
    </row>
    <row r="113" ht="15.0" customHeight="1">
      <c r="O113" s="14"/>
      <c r="P113" s="14"/>
      <c r="R113" s="11"/>
      <c r="S113" s="11"/>
      <c r="T113" s="11"/>
      <c r="U113" s="11"/>
      <c r="V113" s="11"/>
      <c r="W113" s="11"/>
      <c r="X113" s="11"/>
      <c r="Y113" s="11"/>
      <c r="Z113" s="11"/>
      <c r="AA113" s="11"/>
      <c r="AB113" s="11"/>
    </row>
    <row r="114" ht="19.5" customHeight="1">
      <c r="C114" s="276" t="s">
        <v>377</v>
      </c>
      <c r="D114" s="277"/>
      <c r="E114" s="277"/>
      <c r="F114" s="277"/>
      <c r="G114" s="277"/>
      <c r="H114" s="277"/>
      <c r="I114" s="277"/>
      <c r="J114" s="277"/>
      <c r="K114" s="277"/>
      <c r="L114" s="277"/>
      <c r="M114" s="278"/>
      <c r="N114" s="280"/>
      <c r="O114" s="14"/>
      <c r="P114" s="14"/>
      <c r="R114" s="11"/>
      <c r="S114" s="11"/>
      <c r="T114" s="11"/>
      <c r="U114" s="11"/>
      <c r="V114" s="11"/>
      <c r="W114" s="11"/>
      <c r="X114" s="11"/>
      <c r="Y114" s="11"/>
      <c r="Z114" s="11"/>
      <c r="AA114" s="11"/>
      <c r="AB114" s="11"/>
    </row>
    <row r="115" ht="11.25" customHeight="1">
      <c r="O115" s="14"/>
      <c r="P115" s="14"/>
      <c r="R115" s="11"/>
      <c r="S115" s="11"/>
      <c r="T115" s="11"/>
      <c r="U115" s="11"/>
      <c r="V115" s="11"/>
      <c r="W115" s="11"/>
      <c r="X115" s="11"/>
      <c r="Y115" s="11"/>
      <c r="Z115" s="11"/>
      <c r="AA115" s="11"/>
      <c r="AB115" s="11"/>
    </row>
    <row r="116" ht="17.25" customHeight="1">
      <c r="D116" s="210" t="s">
        <v>379</v>
      </c>
      <c r="O116" s="14" t="b">
        <v>0</v>
      </c>
      <c r="P116" s="14"/>
      <c r="R116" s="11"/>
      <c r="S116" s="11"/>
      <c r="T116" s="11"/>
      <c r="U116" s="11"/>
      <c r="V116" s="11"/>
      <c r="W116" s="11"/>
      <c r="X116" s="11"/>
      <c r="Y116" s="11"/>
      <c r="Z116" s="11"/>
      <c r="AA116" s="11"/>
      <c r="AB116" s="11"/>
    </row>
    <row r="117" ht="17.25" customHeight="1">
      <c r="D117" s="210" t="s">
        <v>380</v>
      </c>
      <c r="O117" s="14" t="b">
        <v>0</v>
      </c>
      <c r="P117" s="14"/>
      <c r="R117" s="11"/>
      <c r="S117" s="11"/>
      <c r="T117" s="11"/>
      <c r="U117" s="11"/>
      <c r="V117" s="11"/>
      <c r="W117" s="11"/>
      <c r="X117" s="11"/>
      <c r="Y117" s="11"/>
      <c r="Z117" s="11"/>
      <c r="AA117" s="11"/>
      <c r="AB117" s="11"/>
    </row>
    <row r="118" ht="17.25" customHeight="1">
      <c r="D118" s="210" t="s">
        <v>381</v>
      </c>
      <c r="O118" s="14" t="b">
        <v>0</v>
      </c>
      <c r="P118" s="14"/>
      <c r="R118" s="11"/>
      <c r="S118" s="11"/>
      <c r="T118" s="11"/>
      <c r="U118" s="11"/>
      <c r="V118" s="11"/>
      <c r="W118" s="11"/>
      <c r="X118" s="11"/>
      <c r="Y118" s="11"/>
      <c r="Z118" s="11"/>
      <c r="AA118" s="11"/>
      <c r="AB118" s="11"/>
    </row>
    <row r="119" ht="17.25" customHeight="1">
      <c r="D119" s="210" t="s">
        <v>383</v>
      </c>
      <c r="O119" s="14" t="b">
        <v>0</v>
      </c>
      <c r="P119" s="14"/>
      <c r="R119" s="11"/>
      <c r="S119" s="11"/>
      <c r="T119" s="11"/>
      <c r="U119" s="11"/>
      <c r="V119" s="11"/>
      <c r="W119" s="11"/>
      <c r="X119" s="11"/>
      <c r="Y119" s="11"/>
      <c r="Z119" s="11"/>
      <c r="AA119" s="11"/>
      <c r="AB119" s="11"/>
    </row>
    <row r="120" ht="17.25" customHeight="1">
      <c r="D120" s="210" t="s">
        <v>384</v>
      </c>
      <c r="O120" s="14" t="b">
        <v>0</v>
      </c>
      <c r="P120" s="14"/>
      <c r="R120" s="11"/>
      <c r="S120" s="11"/>
      <c r="T120" s="11"/>
      <c r="U120" s="11"/>
      <c r="V120" s="11"/>
      <c r="W120" s="11"/>
      <c r="X120" s="11"/>
      <c r="Y120" s="11"/>
      <c r="Z120" s="11"/>
      <c r="AA120" s="11"/>
      <c r="AB120" s="11"/>
    </row>
    <row r="121" ht="17.25" customHeight="1">
      <c r="D121" s="210" t="s">
        <v>385</v>
      </c>
      <c r="O121" s="14" t="b">
        <v>0</v>
      </c>
      <c r="P121" s="14"/>
      <c r="R121" s="11"/>
      <c r="S121" s="11"/>
      <c r="T121" s="11"/>
      <c r="U121" s="11"/>
      <c r="V121" s="11"/>
      <c r="W121" s="11"/>
      <c r="X121" s="11"/>
      <c r="Y121" s="11"/>
      <c r="Z121" s="11"/>
      <c r="AA121" s="11"/>
      <c r="AB121" s="11"/>
    </row>
    <row r="122" ht="17.25" customHeight="1">
      <c r="D122" s="210" t="s">
        <v>386</v>
      </c>
      <c r="O122" s="14" t="b">
        <v>0</v>
      </c>
      <c r="P122" s="14"/>
      <c r="R122" s="11"/>
      <c r="S122" s="11"/>
      <c r="T122" s="11"/>
      <c r="U122" s="11"/>
      <c r="V122" s="11"/>
      <c r="W122" s="11"/>
      <c r="X122" s="11"/>
      <c r="Y122" s="11"/>
      <c r="Z122" s="11"/>
      <c r="AA122" s="11"/>
      <c r="AB122" s="11"/>
    </row>
    <row r="123" ht="17.25" customHeight="1">
      <c r="D123" s="210" t="s">
        <v>387</v>
      </c>
      <c r="O123" s="14" t="b">
        <v>0</v>
      </c>
      <c r="P123" s="14"/>
      <c r="R123" s="11"/>
      <c r="S123" s="11"/>
      <c r="T123" s="11"/>
      <c r="U123" s="11"/>
      <c r="V123" s="11"/>
      <c r="W123" s="11"/>
      <c r="X123" s="11"/>
      <c r="Y123" s="11"/>
      <c r="Z123" s="11"/>
      <c r="AA123" s="11"/>
      <c r="AB123" s="11"/>
    </row>
    <row r="124" ht="17.25" customHeight="1">
      <c r="D124" s="210" t="s">
        <v>388</v>
      </c>
      <c r="O124" s="14"/>
      <c r="P124" s="14"/>
      <c r="R124" s="11"/>
      <c r="S124" s="11"/>
      <c r="T124" s="11"/>
      <c r="U124" s="11"/>
      <c r="V124" s="11"/>
      <c r="W124" s="11"/>
      <c r="X124" s="11"/>
      <c r="Y124" s="11"/>
      <c r="Z124" s="11"/>
      <c r="AA124" s="11"/>
      <c r="AB124" s="11"/>
    </row>
    <row r="125" ht="17.25" customHeight="1">
      <c r="D125" s="210" t="s">
        <v>389</v>
      </c>
      <c r="O125" s="14" t="b">
        <v>0</v>
      </c>
      <c r="P125" s="14"/>
      <c r="R125" s="11"/>
      <c r="S125" s="11"/>
      <c r="T125" s="11"/>
      <c r="U125" s="11"/>
      <c r="V125" s="11"/>
      <c r="W125" s="11"/>
      <c r="X125" s="11"/>
      <c r="Y125" s="11"/>
      <c r="Z125" s="11"/>
      <c r="AA125" s="11"/>
      <c r="AB125" s="11"/>
    </row>
    <row r="126" ht="17.25" customHeight="1">
      <c r="D126" s="210" t="s">
        <v>391</v>
      </c>
      <c r="O126" s="14" t="b">
        <v>0</v>
      </c>
      <c r="P126" s="14"/>
      <c r="R126" s="11"/>
      <c r="S126" s="11"/>
      <c r="T126" s="11"/>
      <c r="U126" s="11"/>
      <c r="V126" s="11"/>
      <c r="W126" s="11"/>
      <c r="X126" s="11"/>
      <c r="Y126" s="11"/>
      <c r="Z126" s="11"/>
      <c r="AA126" s="11"/>
      <c r="AB126" s="11"/>
    </row>
    <row r="127" ht="17.25" customHeight="1">
      <c r="D127" s="210" t="s">
        <v>392</v>
      </c>
      <c r="O127" s="14" t="b">
        <v>0</v>
      </c>
      <c r="P127" s="14"/>
      <c r="R127" s="11"/>
      <c r="S127" s="11"/>
      <c r="T127" s="11"/>
      <c r="U127" s="11"/>
      <c r="V127" s="11"/>
      <c r="W127" s="11"/>
      <c r="X127" s="11"/>
      <c r="Y127" s="11"/>
      <c r="Z127" s="11"/>
      <c r="AA127" s="11"/>
      <c r="AB127" s="11"/>
    </row>
    <row r="128" ht="30.0" customHeight="1">
      <c r="O128" s="14"/>
      <c r="P128" s="14"/>
      <c r="R128" s="11"/>
      <c r="S128" s="11"/>
      <c r="T128" s="11"/>
      <c r="U128" s="11"/>
      <c r="V128" s="11"/>
      <c r="W128" s="11"/>
      <c r="X128" s="11"/>
      <c r="Y128" s="11"/>
      <c r="Z128" s="11"/>
      <c r="AA128" s="11"/>
      <c r="AB128" s="11"/>
    </row>
    <row r="129" ht="22.5" customHeight="1">
      <c r="O129" s="14"/>
      <c r="P129" s="14"/>
      <c r="R129" s="11"/>
      <c r="S129" s="11"/>
      <c r="T129" s="11"/>
      <c r="U129" s="11"/>
      <c r="V129" s="11"/>
      <c r="W129" s="11"/>
      <c r="X129" s="11"/>
      <c r="Y129" s="11"/>
      <c r="Z129" s="11"/>
      <c r="AA129" s="11"/>
      <c r="AB129" s="11"/>
    </row>
    <row r="130" ht="37.5" customHeight="1">
      <c r="O130" s="14"/>
      <c r="P130" s="14"/>
      <c r="R130" s="11"/>
      <c r="S130" s="11"/>
      <c r="T130" s="11"/>
      <c r="U130" s="11"/>
      <c r="V130" s="11"/>
      <c r="W130" s="11"/>
      <c r="X130" s="11"/>
      <c r="Y130" s="11"/>
      <c r="Z130" s="11"/>
      <c r="AA130" s="11"/>
      <c r="AB130" s="11"/>
    </row>
    <row r="131" ht="17.25" customHeight="1">
      <c r="C131" s="263" t="s">
        <v>17</v>
      </c>
      <c r="E131" s="264" t="str">
        <f>'Milestones Grid'!$H$6</f>
        <v>TEST NAME- GOLF</v>
      </c>
      <c r="F131" s="265"/>
      <c r="G131" s="265"/>
      <c r="H131" s="265"/>
      <c r="I131" s="6"/>
      <c r="J131" s="263" t="s">
        <v>22</v>
      </c>
      <c r="K131" s="266">
        <f>'Milestones Grid'!$H$7</f>
        <v>45108</v>
      </c>
      <c r="L131" s="265"/>
      <c r="M131" s="265"/>
      <c r="O131" s="14"/>
      <c r="P131" s="14"/>
      <c r="R131" s="11"/>
      <c r="S131" s="11"/>
      <c r="T131" s="11"/>
      <c r="U131" s="11"/>
      <c r="V131" s="11"/>
      <c r="W131" s="11"/>
      <c r="X131" s="11"/>
      <c r="Y131" s="11"/>
      <c r="Z131" s="11"/>
      <c r="AA131" s="11"/>
      <c r="AB131" s="11"/>
    </row>
    <row r="132" ht="15.0" customHeight="1">
      <c r="O132" s="14"/>
      <c r="P132" s="14"/>
      <c r="R132" s="11"/>
      <c r="S132" s="11"/>
      <c r="T132" s="11"/>
      <c r="U132" s="11"/>
      <c r="V132" s="11"/>
      <c r="W132" s="11"/>
      <c r="X132" s="11"/>
      <c r="Y132" s="11"/>
      <c r="Z132" s="11"/>
      <c r="AA132" s="11"/>
      <c r="AB132" s="11"/>
    </row>
    <row r="133" ht="19.5" customHeight="1">
      <c r="C133" s="268" t="s">
        <v>393</v>
      </c>
      <c r="D133" s="269"/>
      <c r="E133" s="269"/>
      <c r="F133" s="269"/>
      <c r="G133" s="269"/>
      <c r="H133" s="269"/>
      <c r="I133" s="269"/>
      <c r="J133" s="269"/>
      <c r="K133" s="269"/>
      <c r="L133" s="269"/>
      <c r="M133" s="270"/>
      <c r="N133" s="271"/>
      <c r="O133" s="14"/>
      <c r="P133" s="14"/>
      <c r="R133" s="11"/>
      <c r="S133" s="11"/>
      <c r="T133" s="11"/>
      <c r="U133" s="11"/>
      <c r="V133" s="11"/>
      <c r="W133" s="11"/>
      <c r="X133" s="11"/>
      <c r="Y133" s="11"/>
      <c r="Z133" s="11"/>
      <c r="AA133" s="11"/>
      <c r="AB133" s="11"/>
    </row>
    <row r="134" ht="11.25" customHeight="1">
      <c r="O134" s="14"/>
      <c r="P134" s="14"/>
      <c r="R134" s="11"/>
      <c r="S134" s="11"/>
      <c r="T134" s="11"/>
      <c r="U134" s="11"/>
      <c r="V134" s="11"/>
      <c r="W134" s="11"/>
      <c r="X134" s="11"/>
      <c r="Y134" s="11"/>
      <c r="Z134" s="11"/>
      <c r="AA134" s="11"/>
      <c r="AB134" s="11"/>
    </row>
    <row r="135" ht="17.25" customHeight="1">
      <c r="D135" s="210" t="s">
        <v>394</v>
      </c>
      <c r="O135" s="14" t="b">
        <v>0</v>
      </c>
      <c r="P135" s="14"/>
      <c r="R135" s="11"/>
      <c r="S135" s="11"/>
      <c r="T135" s="11"/>
      <c r="U135" s="11"/>
      <c r="V135" s="11"/>
      <c r="W135" s="11"/>
      <c r="X135" s="11"/>
      <c r="Y135" s="11"/>
      <c r="Z135" s="11"/>
      <c r="AA135" s="11"/>
      <c r="AB135" s="11"/>
    </row>
    <row r="136" ht="17.25" customHeight="1">
      <c r="D136" s="210" t="s">
        <v>395</v>
      </c>
      <c r="O136" s="14" t="b">
        <v>0</v>
      </c>
      <c r="P136" s="14"/>
      <c r="R136" s="11"/>
      <c r="S136" s="11"/>
      <c r="T136" s="11"/>
      <c r="U136" s="11"/>
      <c r="V136" s="11"/>
      <c r="W136" s="11"/>
      <c r="X136" s="11"/>
      <c r="Y136" s="11"/>
      <c r="Z136" s="11"/>
      <c r="AA136" s="11"/>
      <c r="AB136" s="11"/>
    </row>
    <row r="137" ht="17.25" customHeight="1">
      <c r="D137" s="210" t="s">
        <v>396</v>
      </c>
      <c r="O137" s="14" t="b">
        <v>0</v>
      </c>
      <c r="P137" s="14"/>
      <c r="R137" s="11"/>
      <c r="S137" s="11"/>
      <c r="T137" s="11"/>
      <c r="U137" s="11"/>
      <c r="V137" s="11"/>
      <c r="W137" s="11"/>
      <c r="X137" s="11"/>
      <c r="Y137" s="11"/>
      <c r="Z137" s="11"/>
      <c r="AA137" s="11"/>
      <c r="AB137" s="11"/>
    </row>
    <row r="138" ht="17.25" customHeight="1">
      <c r="D138" s="210" t="s">
        <v>397</v>
      </c>
      <c r="O138" s="14" t="b">
        <v>0</v>
      </c>
      <c r="P138" s="14"/>
      <c r="R138" s="11"/>
      <c r="S138" s="11"/>
      <c r="T138" s="11"/>
      <c r="U138" s="11"/>
      <c r="V138" s="11"/>
      <c r="W138" s="11"/>
      <c r="X138" s="11"/>
      <c r="Y138" s="11"/>
      <c r="Z138" s="11"/>
      <c r="AA138" s="11"/>
      <c r="AB138" s="11"/>
    </row>
    <row r="139" ht="17.25" customHeight="1">
      <c r="D139" s="210" t="s">
        <v>398</v>
      </c>
      <c r="O139" s="14" t="b">
        <v>0</v>
      </c>
      <c r="P139" s="14"/>
      <c r="R139" s="11"/>
      <c r="S139" s="11"/>
      <c r="T139" s="11"/>
      <c r="U139" s="11"/>
      <c r="V139" s="11"/>
      <c r="W139" s="11"/>
      <c r="X139" s="11"/>
      <c r="Y139" s="11"/>
      <c r="Z139" s="11"/>
      <c r="AA139" s="11"/>
      <c r="AB139" s="11"/>
    </row>
    <row r="140" ht="17.25" customHeight="1">
      <c r="D140" s="210" t="s">
        <v>399</v>
      </c>
      <c r="O140" s="14" t="b">
        <v>0</v>
      </c>
      <c r="P140" s="14"/>
      <c r="R140" s="11"/>
      <c r="S140" s="11"/>
      <c r="T140" s="11"/>
      <c r="U140" s="11"/>
      <c r="V140" s="11"/>
      <c r="W140" s="11"/>
      <c r="X140" s="11"/>
      <c r="Y140" s="11"/>
      <c r="Z140" s="11"/>
      <c r="AA140" s="11"/>
      <c r="AB140" s="11"/>
    </row>
    <row r="141" ht="17.25" customHeight="1">
      <c r="D141" s="210" t="s">
        <v>400</v>
      </c>
      <c r="O141" s="14" t="b">
        <v>0</v>
      </c>
      <c r="P141" s="14"/>
      <c r="R141" s="11"/>
      <c r="S141" s="11"/>
      <c r="T141" s="11"/>
      <c r="U141" s="11"/>
      <c r="V141" s="11"/>
      <c r="W141" s="11"/>
      <c r="X141" s="11"/>
      <c r="Y141" s="11"/>
      <c r="Z141" s="11"/>
      <c r="AA141" s="11"/>
      <c r="AB141" s="11"/>
    </row>
    <row r="142" ht="17.25" customHeight="1">
      <c r="D142" s="210" t="s">
        <v>401</v>
      </c>
      <c r="O142" s="14" t="b">
        <v>0</v>
      </c>
      <c r="P142" s="14"/>
      <c r="R142" s="11"/>
      <c r="S142" s="11"/>
      <c r="T142" s="11"/>
      <c r="U142" s="11"/>
      <c r="V142" s="11"/>
      <c r="W142" s="11"/>
      <c r="X142" s="11"/>
      <c r="Y142" s="11"/>
      <c r="Z142" s="11"/>
      <c r="AA142" s="11"/>
      <c r="AB142" s="11"/>
    </row>
    <row r="143" ht="15.0" customHeight="1">
      <c r="O143" s="14"/>
      <c r="P143" s="14"/>
      <c r="R143" s="11"/>
      <c r="S143" s="11"/>
      <c r="T143" s="11"/>
      <c r="U143" s="11"/>
      <c r="V143" s="11"/>
      <c r="W143" s="11"/>
      <c r="X143" s="11"/>
      <c r="Y143" s="11"/>
      <c r="Z143" s="11"/>
      <c r="AA143" s="11"/>
      <c r="AB143" s="11"/>
    </row>
    <row r="144" ht="19.5" customHeight="1">
      <c r="C144" s="273" t="s">
        <v>402</v>
      </c>
      <c r="D144" s="258"/>
      <c r="E144" s="258"/>
      <c r="F144" s="258"/>
      <c r="G144" s="258"/>
      <c r="H144" s="258"/>
      <c r="I144" s="258"/>
      <c r="J144" s="258"/>
      <c r="K144" s="258"/>
      <c r="L144" s="258"/>
      <c r="M144" s="259"/>
      <c r="N144" s="274"/>
      <c r="O144" s="14"/>
      <c r="P144" s="14"/>
      <c r="R144" s="11"/>
      <c r="S144" s="11"/>
      <c r="T144" s="11"/>
      <c r="U144" s="11"/>
      <c r="V144" s="11"/>
      <c r="W144" s="11"/>
      <c r="X144" s="11"/>
      <c r="Y144" s="11"/>
      <c r="Z144" s="11"/>
      <c r="AA144" s="11"/>
      <c r="AB144" s="11"/>
    </row>
    <row r="145" ht="11.25" customHeight="1">
      <c r="O145" s="14"/>
      <c r="P145" s="14"/>
      <c r="R145" s="11"/>
      <c r="S145" s="11"/>
      <c r="T145" s="11"/>
      <c r="U145" s="11"/>
      <c r="V145" s="11"/>
      <c r="W145" s="11"/>
      <c r="X145" s="11"/>
      <c r="Y145" s="11"/>
      <c r="Z145" s="11"/>
      <c r="AA145" s="11"/>
      <c r="AB145" s="11"/>
    </row>
    <row r="146" ht="17.25" customHeight="1">
      <c r="D146" s="210" t="s">
        <v>403</v>
      </c>
      <c r="O146" s="14" t="b">
        <v>0</v>
      </c>
      <c r="P146" s="14"/>
      <c r="R146" s="11"/>
      <c r="S146" s="11"/>
      <c r="T146" s="11"/>
      <c r="U146" s="11"/>
      <c r="V146" s="11"/>
      <c r="W146" s="11"/>
      <c r="X146" s="11"/>
      <c r="Y146" s="11"/>
      <c r="Z146" s="11"/>
      <c r="AA146" s="11"/>
      <c r="AB146" s="11"/>
    </row>
    <row r="147" ht="17.25" customHeight="1">
      <c r="D147" s="210" t="s">
        <v>404</v>
      </c>
      <c r="O147" s="14"/>
      <c r="P147" s="14"/>
      <c r="R147" s="11"/>
      <c r="S147" s="11"/>
      <c r="T147" s="11"/>
      <c r="U147" s="11"/>
      <c r="V147" s="11"/>
      <c r="W147" s="11"/>
      <c r="X147" s="11"/>
      <c r="Y147" s="11"/>
      <c r="Z147" s="11"/>
      <c r="AA147" s="11"/>
      <c r="AB147" s="11"/>
    </row>
    <row r="148" ht="17.25" customHeight="1">
      <c r="D148" s="210" t="s">
        <v>405</v>
      </c>
      <c r="O148" s="14" t="b">
        <v>0</v>
      </c>
      <c r="P148" s="14"/>
      <c r="R148" s="11"/>
      <c r="S148" s="11"/>
      <c r="T148" s="11"/>
      <c r="U148" s="11"/>
      <c r="V148" s="11"/>
      <c r="W148" s="11"/>
      <c r="X148" s="11"/>
      <c r="Y148" s="11"/>
      <c r="Z148" s="11"/>
      <c r="AA148" s="11"/>
      <c r="AB148" s="11"/>
    </row>
    <row r="149" ht="17.25" customHeight="1">
      <c r="D149" s="210" t="s">
        <v>406</v>
      </c>
      <c r="O149" s="14" t="b">
        <v>0</v>
      </c>
      <c r="P149" s="14"/>
      <c r="R149" s="11"/>
      <c r="S149" s="11"/>
      <c r="T149" s="11"/>
      <c r="U149" s="11"/>
      <c r="V149" s="11"/>
      <c r="W149" s="11"/>
      <c r="X149" s="11"/>
      <c r="Y149" s="11"/>
      <c r="Z149" s="11"/>
      <c r="AA149" s="11"/>
      <c r="AB149" s="11"/>
    </row>
    <row r="150" ht="17.25" customHeight="1">
      <c r="D150" s="210" t="s">
        <v>407</v>
      </c>
      <c r="O150" s="14" t="b">
        <v>0</v>
      </c>
      <c r="P150" s="14"/>
      <c r="R150" s="11"/>
      <c r="S150" s="11"/>
      <c r="T150" s="11"/>
      <c r="U150" s="11"/>
      <c r="V150" s="11"/>
      <c r="W150" s="11"/>
      <c r="X150" s="11"/>
      <c r="Y150" s="11"/>
      <c r="Z150" s="11"/>
      <c r="AA150" s="11"/>
      <c r="AB150" s="11"/>
    </row>
    <row r="151" ht="17.25" customHeight="1">
      <c r="D151" s="210" t="s">
        <v>408</v>
      </c>
      <c r="O151" s="14" t="b">
        <v>0</v>
      </c>
      <c r="P151" s="14"/>
      <c r="R151" s="11"/>
      <c r="S151" s="11"/>
      <c r="T151" s="11"/>
      <c r="U151" s="11"/>
      <c r="V151" s="11"/>
      <c r="W151" s="11"/>
      <c r="X151" s="11"/>
      <c r="Y151" s="11"/>
      <c r="Z151" s="11"/>
      <c r="AA151" s="11"/>
      <c r="AB151" s="11"/>
    </row>
    <row r="152" ht="17.25" customHeight="1">
      <c r="D152" s="210" t="s">
        <v>409</v>
      </c>
      <c r="O152" s="14" t="b">
        <v>0</v>
      </c>
      <c r="P152" s="14"/>
      <c r="R152" s="11"/>
      <c r="S152" s="11"/>
      <c r="T152" s="11"/>
      <c r="U152" s="11"/>
      <c r="V152" s="11"/>
      <c r="W152" s="11"/>
      <c r="X152" s="11"/>
      <c r="Y152" s="11"/>
      <c r="Z152" s="11"/>
      <c r="AA152" s="11"/>
      <c r="AB152" s="11"/>
    </row>
    <row r="153" ht="17.25" customHeight="1">
      <c r="D153" s="210" t="s">
        <v>410</v>
      </c>
      <c r="O153" s="14" t="b">
        <v>0</v>
      </c>
      <c r="P153" s="14"/>
      <c r="R153" s="11"/>
      <c r="S153" s="11"/>
      <c r="T153" s="11"/>
      <c r="U153" s="11"/>
      <c r="V153" s="11"/>
      <c r="W153" s="11"/>
      <c r="X153" s="11"/>
      <c r="Y153" s="11"/>
      <c r="Z153" s="11"/>
      <c r="AA153" s="11"/>
      <c r="AB153" s="11"/>
    </row>
    <row r="154" ht="17.25" customHeight="1">
      <c r="D154" s="210" t="s">
        <v>411</v>
      </c>
      <c r="O154" s="14" t="b">
        <v>0</v>
      </c>
      <c r="P154" s="14"/>
      <c r="R154" s="11"/>
      <c r="S154" s="11"/>
      <c r="T154" s="11"/>
      <c r="U154" s="11"/>
      <c r="V154" s="11"/>
      <c r="W154" s="11"/>
      <c r="X154" s="11"/>
      <c r="Y154" s="11"/>
      <c r="Z154" s="11"/>
      <c r="AA154" s="11"/>
      <c r="AB154" s="11"/>
    </row>
    <row r="155" ht="17.25" customHeight="1">
      <c r="D155" s="210" t="s">
        <v>400</v>
      </c>
      <c r="O155" s="14" t="b">
        <v>0</v>
      </c>
      <c r="P155" s="14"/>
      <c r="R155" s="11"/>
      <c r="S155" s="11"/>
      <c r="T155" s="11"/>
      <c r="U155" s="11"/>
      <c r="V155" s="11"/>
      <c r="W155" s="11"/>
      <c r="X155" s="11"/>
      <c r="Y155" s="11"/>
      <c r="Z155" s="11"/>
      <c r="AA155" s="11"/>
      <c r="AB155" s="11"/>
    </row>
    <row r="156" ht="17.25" customHeight="1">
      <c r="D156" s="210" t="s">
        <v>412</v>
      </c>
      <c r="O156" s="14" t="b">
        <v>0</v>
      </c>
      <c r="P156" s="14"/>
      <c r="R156" s="11"/>
      <c r="S156" s="11"/>
      <c r="T156" s="11"/>
      <c r="U156" s="11"/>
      <c r="V156" s="11"/>
      <c r="W156" s="11"/>
      <c r="X156" s="11"/>
      <c r="Y156" s="11"/>
      <c r="Z156" s="11"/>
      <c r="AA156" s="11"/>
      <c r="AB156" s="11"/>
    </row>
    <row r="157" ht="17.25" customHeight="1">
      <c r="D157" s="210" t="s">
        <v>413</v>
      </c>
      <c r="O157" s="14" t="b">
        <v>0</v>
      </c>
      <c r="P157" s="14"/>
      <c r="R157" s="11"/>
      <c r="S157" s="11"/>
      <c r="T157" s="11"/>
      <c r="U157" s="11"/>
      <c r="V157" s="11"/>
      <c r="W157" s="11"/>
      <c r="X157" s="11"/>
      <c r="Y157" s="11"/>
      <c r="Z157" s="11"/>
      <c r="AA157" s="11"/>
      <c r="AB157" s="11"/>
    </row>
    <row r="158" ht="17.25" customHeight="1">
      <c r="D158" s="210" t="s">
        <v>414</v>
      </c>
      <c r="O158" s="14" t="b">
        <v>0</v>
      </c>
      <c r="P158" s="14"/>
      <c r="R158" s="11"/>
      <c r="S158" s="11"/>
      <c r="T158" s="11"/>
      <c r="U158" s="11"/>
      <c r="V158" s="11"/>
      <c r="W158" s="11"/>
      <c r="X158" s="11"/>
      <c r="Y158" s="11"/>
      <c r="Z158" s="11"/>
      <c r="AA158" s="11"/>
      <c r="AB158" s="11"/>
    </row>
    <row r="159" ht="15.75" customHeight="1">
      <c r="D159" s="210" t="s">
        <v>337</v>
      </c>
      <c r="O159" s="14" t="b">
        <v>0</v>
      </c>
      <c r="P159" s="14"/>
      <c r="R159" s="11"/>
      <c r="S159" s="11"/>
      <c r="T159" s="11"/>
      <c r="U159" s="11"/>
      <c r="V159" s="11"/>
      <c r="W159" s="11"/>
      <c r="X159" s="11"/>
      <c r="Y159" s="11"/>
      <c r="Z159" s="11"/>
      <c r="AA159" s="11"/>
      <c r="AB159" s="11"/>
    </row>
    <row r="160" ht="15.0" customHeight="1">
      <c r="O160" s="14"/>
      <c r="P160" s="14"/>
      <c r="R160" s="11"/>
      <c r="S160" s="11"/>
      <c r="T160" s="11"/>
      <c r="U160" s="11"/>
      <c r="V160" s="11"/>
      <c r="W160" s="11"/>
      <c r="X160" s="11"/>
      <c r="Y160" s="11"/>
      <c r="Z160" s="11"/>
      <c r="AA160" s="11"/>
      <c r="AB160" s="11"/>
    </row>
    <row r="161" ht="19.5" customHeight="1">
      <c r="C161" s="276" t="s">
        <v>415</v>
      </c>
      <c r="D161" s="277"/>
      <c r="E161" s="277"/>
      <c r="F161" s="277"/>
      <c r="G161" s="277"/>
      <c r="H161" s="277"/>
      <c r="I161" s="277"/>
      <c r="J161" s="277"/>
      <c r="K161" s="277"/>
      <c r="L161" s="277"/>
      <c r="M161" s="278"/>
      <c r="N161" s="280"/>
      <c r="O161" s="14"/>
      <c r="P161" s="14"/>
      <c r="R161" s="11"/>
      <c r="S161" s="11"/>
      <c r="T161" s="11"/>
      <c r="U161" s="11"/>
      <c r="V161" s="11"/>
      <c r="W161" s="11"/>
      <c r="X161" s="11"/>
      <c r="Y161" s="11"/>
      <c r="Z161" s="11"/>
      <c r="AA161" s="11"/>
      <c r="AB161" s="11"/>
    </row>
    <row r="162" ht="11.25" customHeight="1">
      <c r="O162" s="14"/>
      <c r="P162" s="14"/>
      <c r="R162" s="11"/>
      <c r="S162" s="11"/>
      <c r="T162" s="11"/>
      <c r="U162" s="11"/>
      <c r="V162" s="11"/>
      <c r="W162" s="11"/>
      <c r="X162" s="11"/>
      <c r="Y162" s="11"/>
      <c r="Z162" s="11"/>
      <c r="AA162" s="11"/>
      <c r="AB162" s="11"/>
    </row>
    <row r="163" ht="17.25" customHeight="1">
      <c r="D163" s="210" t="s">
        <v>416</v>
      </c>
      <c r="O163" s="14" t="b">
        <v>0</v>
      </c>
      <c r="P163" s="14"/>
      <c r="R163" s="11"/>
      <c r="S163" s="11"/>
      <c r="T163" s="11"/>
      <c r="U163" s="11"/>
      <c r="V163" s="11"/>
      <c r="W163" s="11"/>
      <c r="X163" s="11"/>
      <c r="Y163" s="11"/>
      <c r="Z163" s="11"/>
      <c r="AA163" s="11"/>
      <c r="AB163" s="11"/>
    </row>
    <row r="164" ht="17.25" customHeight="1">
      <c r="D164" s="210" t="s">
        <v>417</v>
      </c>
      <c r="O164" s="14" t="b">
        <v>0</v>
      </c>
      <c r="P164" s="14"/>
      <c r="R164" s="11"/>
      <c r="S164" s="11"/>
      <c r="T164" s="11"/>
      <c r="U164" s="11"/>
      <c r="V164" s="11"/>
      <c r="W164" s="11"/>
      <c r="X164" s="11"/>
      <c r="Y164" s="11"/>
      <c r="Z164" s="11"/>
      <c r="AA164" s="11"/>
      <c r="AB164" s="11"/>
    </row>
    <row r="165" ht="17.25" customHeight="1">
      <c r="D165" s="210" t="s">
        <v>418</v>
      </c>
      <c r="O165" s="14" t="b">
        <v>0</v>
      </c>
      <c r="P165" s="14"/>
      <c r="R165" s="11"/>
      <c r="S165" s="11"/>
      <c r="T165" s="11"/>
      <c r="U165" s="11"/>
      <c r="V165" s="11"/>
      <c r="W165" s="11"/>
      <c r="X165" s="11"/>
      <c r="Y165" s="11"/>
      <c r="Z165" s="11"/>
      <c r="AA165" s="11"/>
      <c r="AB165" s="11"/>
      <c r="AD165" s="6"/>
      <c r="AE165" s="6"/>
      <c r="AF165" s="6"/>
      <c r="AG165" s="6"/>
      <c r="AH165" s="6"/>
      <c r="AI165" s="6"/>
      <c r="AJ165" s="6"/>
      <c r="AK165" s="6"/>
      <c r="AL165" s="6"/>
      <c r="AM165" s="6"/>
      <c r="AN165" s="6"/>
      <c r="AO165" s="6"/>
      <c r="AP165" s="6"/>
    </row>
    <row r="166" ht="17.25" customHeight="1">
      <c r="D166" s="210" t="s">
        <v>419</v>
      </c>
      <c r="O166" s="14" t="b">
        <v>0</v>
      </c>
      <c r="P166" s="14"/>
      <c r="R166" s="11"/>
      <c r="S166" s="11"/>
      <c r="T166" s="11"/>
      <c r="U166" s="11"/>
      <c r="V166" s="11"/>
      <c r="W166" s="11"/>
      <c r="X166" s="11"/>
      <c r="Y166" s="11"/>
      <c r="Z166" s="11"/>
      <c r="AA166" s="11"/>
      <c r="AB166" s="11"/>
      <c r="AD166" s="6"/>
      <c r="AE166" s="6"/>
      <c r="AF166" s="6"/>
      <c r="AG166" s="6"/>
      <c r="AH166" s="6"/>
      <c r="AI166" s="6"/>
      <c r="AJ166" s="6"/>
      <c r="AK166" s="6"/>
      <c r="AL166" s="6"/>
      <c r="AM166" s="6"/>
      <c r="AN166" s="14"/>
      <c r="AO166" s="6"/>
      <c r="AP166" s="6"/>
    </row>
    <row r="167" ht="15.75" customHeight="1">
      <c r="D167" s="210"/>
      <c r="O167" s="6"/>
      <c r="P167" s="6"/>
      <c r="R167" s="11"/>
      <c r="S167" s="11"/>
      <c r="T167" s="11"/>
      <c r="U167" s="11"/>
      <c r="V167" s="11"/>
      <c r="W167" s="11"/>
      <c r="X167" s="11"/>
      <c r="Y167" s="11"/>
      <c r="Z167" s="11"/>
      <c r="AA167" s="11"/>
      <c r="AB167" s="11"/>
      <c r="AD167" s="6"/>
      <c r="AE167" s="263"/>
      <c r="AF167" s="263"/>
      <c r="AG167" s="6"/>
      <c r="AH167" s="6"/>
      <c r="AI167" s="6"/>
      <c r="AJ167" s="6"/>
      <c r="AK167" s="6"/>
      <c r="AL167" s="263"/>
      <c r="AM167" s="267"/>
      <c r="AN167" s="267"/>
      <c r="AO167" s="267"/>
      <c r="AP167" s="14"/>
    </row>
    <row r="168" ht="15.75" customHeight="1">
      <c r="O168" s="6"/>
      <c r="P168" s="6"/>
      <c r="R168" s="11"/>
      <c r="S168" s="11"/>
      <c r="T168" s="11"/>
      <c r="U168" s="11"/>
      <c r="V168" s="11"/>
      <c r="W168" s="11"/>
      <c r="X168" s="11"/>
      <c r="Y168" s="11"/>
      <c r="Z168" s="11"/>
      <c r="AA168" s="11"/>
      <c r="AB168" s="11"/>
      <c r="AD168" s="6"/>
      <c r="AE168" s="6"/>
      <c r="AF168" s="6"/>
      <c r="AG168" s="6"/>
      <c r="AH168" s="6"/>
      <c r="AI168" s="6"/>
      <c r="AJ168" s="6"/>
      <c r="AK168" s="6"/>
      <c r="AL168" s="6"/>
      <c r="AM168" s="6"/>
      <c r="AN168" s="6"/>
      <c r="AO168" s="6"/>
      <c r="AP168" s="14"/>
    </row>
    <row r="169" ht="20.25" customHeight="1">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D169" s="6"/>
      <c r="AE169" s="308"/>
      <c r="AF169" s="308"/>
      <c r="AG169" s="308"/>
      <c r="AH169" s="308"/>
      <c r="AI169" s="308"/>
      <c r="AJ169" s="308"/>
      <c r="AK169" s="308"/>
      <c r="AL169" s="308"/>
      <c r="AM169" s="308"/>
      <c r="AN169" s="308"/>
      <c r="AO169" s="308"/>
      <c r="AP169" s="14"/>
    </row>
    <row r="170" ht="15.75" customHeight="1">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row>
    <row r="171" ht="15.75" customHeight="1">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row>
    <row r="172" ht="15.75" customHeight="1">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N172" s="11"/>
      <c r="AO172" s="11"/>
      <c r="AP172" s="11"/>
    </row>
    <row r="173" ht="15.75" customHeight="1">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263" t="s">
        <v>17</v>
      </c>
      <c r="AE173" s="264" t="str">
        <f>E9</f>
        <v>TEST NAME- GOLF</v>
      </c>
      <c r="AF173" s="265"/>
      <c r="AG173" s="265"/>
      <c r="AH173" s="265"/>
      <c r="AJ173" s="263" t="s">
        <v>22</v>
      </c>
      <c r="AK173" s="266">
        <f>K9</f>
        <v>45108</v>
      </c>
      <c r="AL173" s="265"/>
      <c r="AM173" s="265"/>
      <c r="AN173" s="11"/>
      <c r="AO173" s="11"/>
      <c r="AP173" s="11"/>
    </row>
    <row r="174" ht="15.75" customHeight="1">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N174" s="11"/>
      <c r="AO174" s="11"/>
      <c r="AP174" s="11"/>
    </row>
    <row r="175" ht="15.75" customHeight="1">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268" t="s">
        <v>261</v>
      </c>
      <c r="AD175" s="269"/>
      <c r="AE175" s="269"/>
      <c r="AF175" s="269"/>
      <c r="AG175" s="269"/>
      <c r="AH175" s="269"/>
      <c r="AI175" s="269"/>
      <c r="AJ175" s="269"/>
      <c r="AK175" s="269"/>
      <c r="AL175" s="269"/>
      <c r="AM175" s="270"/>
      <c r="AN175" s="11"/>
      <c r="AO175" s="11"/>
      <c r="AP175" s="11"/>
    </row>
    <row r="176" ht="15.75" customHeight="1">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D176" s="210"/>
      <c r="AN176" s="11"/>
      <c r="AO176" s="11"/>
      <c r="AP176" s="11"/>
    </row>
    <row r="177" ht="15.75" customHeight="1">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D177" s="309" t="s">
        <v>263</v>
      </c>
      <c r="AE177" s="310"/>
      <c r="AF177" s="310"/>
      <c r="AG177" s="310"/>
      <c r="AH177" s="310"/>
      <c r="AI177" s="310"/>
      <c r="AJ177" s="310"/>
      <c r="AK177" s="310"/>
      <c r="AN177" s="11"/>
      <c r="AO177" s="11"/>
      <c r="AP177" s="11"/>
    </row>
    <row r="178" ht="15.75" customHeight="1">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D178" s="309" t="s">
        <v>264</v>
      </c>
      <c r="AE178" s="310"/>
      <c r="AF178" s="310"/>
      <c r="AG178" s="310"/>
      <c r="AH178" s="310"/>
      <c r="AI178" s="310"/>
      <c r="AJ178" s="310"/>
      <c r="AK178" s="310"/>
      <c r="AN178" s="11"/>
      <c r="AO178" s="11"/>
      <c r="AP178" s="11"/>
    </row>
    <row r="179" ht="15.75" customHeight="1">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D179" s="309" t="s">
        <v>265</v>
      </c>
      <c r="AE179" s="310"/>
      <c r="AF179" s="310"/>
      <c r="AG179" s="310"/>
      <c r="AH179" s="310"/>
      <c r="AI179" s="310"/>
      <c r="AJ179" s="310"/>
      <c r="AK179" s="310"/>
      <c r="AN179" s="11"/>
      <c r="AO179" s="11"/>
      <c r="AP179" s="11"/>
    </row>
    <row r="180" ht="15.75" customHeight="1">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D180" s="309" t="s">
        <v>266</v>
      </c>
      <c r="AE180" s="310"/>
      <c r="AF180" s="310"/>
      <c r="AG180" s="310"/>
      <c r="AH180" s="310"/>
      <c r="AI180" s="310"/>
      <c r="AJ180" s="310"/>
      <c r="AK180" s="310"/>
      <c r="AN180" s="11"/>
      <c r="AO180" s="11"/>
      <c r="AP180" s="11"/>
    </row>
    <row r="181" ht="15.75" customHeight="1">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D181" s="309" t="s">
        <v>267</v>
      </c>
      <c r="AE181" s="310"/>
      <c r="AF181" s="310"/>
      <c r="AG181" s="310"/>
      <c r="AH181" s="310"/>
      <c r="AI181" s="310"/>
      <c r="AJ181" s="310"/>
      <c r="AK181" s="310"/>
      <c r="AN181" s="11"/>
      <c r="AO181" s="11"/>
      <c r="AP181" s="11"/>
    </row>
    <row r="182" ht="15.75" customHeight="1">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D182" s="309" t="s">
        <v>268</v>
      </c>
      <c r="AE182" s="310"/>
      <c r="AF182" s="310"/>
      <c r="AG182" s="310"/>
      <c r="AH182" s="310"/>
      <c r="AI182" s="310"/>
      <c r="AJ182" s="310"/>
      <c r="AK182" s="310"/>
      <c r="AN182" s="11"/>
      <c r="AO182" s="11"/>
      <c r="AP182" s="11"/>
    </row>
    <row r="183" ht="15.75" customHeight="1">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D183" s="311" t="s">
        <v>269</v>
      </c>
      <c r="AN183" s="11"/>
      <c r="AO183" s="11"/>
      <c r="AP183" s="11"/>
    </row>
    <row r="184" ht="15.75" customHeight="1">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D184" s="311" t="s">
        <v>272</v>
      </c>
      <c r="AN184" s="11"/>
      <c r="AO184" s="11"/>
      <c r="AP184" s="11"/>
    </row>
    <row r="185" ht="15.75" customHeight="1">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N185" s="11"/>
      <c r="AO185" s="11"/>
      <c r="AP185" s="11"/>
    </row>
    <row r="186" ht="15.75" customHeight="1">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273" t="s">
        <v>276</v>
      </c>
      <c r="AD186" s="258"/>
      <c r="AE186" s="258"/>
      <c r="AF186" s="258"/>
      <c r="AG186" s="258"/>
      <c r="AH186" s="258"/>
      <c r="AI186" s="258"/>
      <c r="AJ186" s="258"/>
      <c r="AK186" s="258"/>
      <c r="AL186" s="258"/>
      <c r="AM186" s="259"/>
      <c r="AN186" s="11"/>
      <c r="AO186" s="11"/>
      <c r="AP186" s="11"/>
    </row>
    <row r="187" ht="15.75" customHeight="1">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N187" s="11"/>
      <c r="AO187" s="11"/>
      <c r="AP187" s="11"/>
    </row>
    <row r="188" ht="15.75" customHeight="1">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D188" s="309" t="s">
        <v>277</v>
      </c>
      <c r="AN188" s="11"/>
      <c r="AO188" s="11"/>
      <c r="AP188" s="11"/>
    </row>
    <row r="189" ht="15.75" customHeight="1">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D189" s="309" t="s">
        <v>278</v>
      </c>
      <c r="AN189" s="11"/>
      <c r="AO189" s="11"/>
      <c r="AP189" s="11"/>
    </row>
    <row r="190" ht="15.75" customHeight="1">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D190" s="309" t="s">
        <v>280</v>
      </c>
      <c r="AN190" s="11"/>
      <c r="AO190" s="11"/>
      <c r="AP190" s="11"/>
    </row>
    <row r="191" ht="15.75" customHeight="1">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D191" s="309" t="s">
        <v>281</v>
      </c>
      <c r="AN191" s="11"/>
      <c r="AO191" s="11"/>
      <c r="AP191" s="11"/>
    </row>
    <row r="192" ht="15.75" customHeight="1">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D192" s="309" t="s">
        <v>282</v>
      </c>
      <c r="AN192" s="11"/>
      <c r="AO192" s="11"/>
      <c r="AP192" s="11"/>
    </row>
    <row r="193" ht="15.75" customHeight="1">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D193" s="309" t="s">
        <v>284</v>
      </c>
      <c r="AN193" s="11"/>
      <c r="AO193" s="11"/>
      <c r="AP193" s="11"/>
    </row>
    <row r="194" ht="15.75" customHeight="1">
      <c r="P194" s="6"/>
      <c r="R194" s="6"/>
      <c r="AD194" s="309" t="s">
        <v>285</v>
      </c>
    </row>
    <row r="195" ht="15.75" customHeight="1">
      <c r="P195" s="6"/>
      <c r="R195" s="6"/>
      <c r="AD195" s="309" t="s">
        <v>286</v>
      </c>
    </row>
    <row r="196" ht="15.75" customHeight="1">
      <c r="P196" s="6"/>
      <c r="R196" s="6"/>
      <c r="AD196" s="309" t="s">
        <v>288</v>
      </c>
    </row>
    <row r="197" ht="15.75" customHeight="1">
      <c r="P197" s="6"/>
      <c r="R197" s="6"/>
      <c r="AD197" s="309" t="s">
        <v>290</v>
      </c>
    </row>
    <row r="198" ht="15.75" customHeight="1">
      <c r="P198" s="6"/>
      <c r="R198" s="6"/>
      <c r="AD198" s="309" t="s">
        <v>291</v>
      </c>
    </row>
    <row r="199" ht="15.75" customHeight="1">
      <c r="P199" s="6"/>
      <c r="R199" s="6"/>
      <c r="AD199" s="309" t="s">
        <v>292</v>
      </c>
    </row>
    <row r="200" ht="15.75" customHeight="1">
      <c r="P200" s="6"/>
      <c r="R200" s="6"/>
      <c r="AD200" s="309" t="s">
        <v>293</v>
      </c>
    </row>
    <row r="201" ht="15.75" customHeight="1">
      <c r="P201" s="6"/>
      <c r="R201" s="6"/>
    </row>
    <row r="202" ht="15.75" customHeight="1">
      <c r="P202" s="6"/>
      <c r="R202" s="6"/>
      <c r="AC202" s="276" t="s">
        <v>294</v>
      </c>
      <c r="AD202" s="277"/>
      <c r="AE202" s="277"/>
      <c r="AF202" s="277"/>
      <c r="AG202" s="277"/>
      <c r="AH202" s="277"/>
      <c r="AI202" s="277"/>
      <c r="AJ202" s="277"/>
      <c r="AK202" s="277"/>
      <c r="AL202" s="277"/>
      <c r="AM202" s="278"/>
    </row>
    <row r="203" ht="15.75" customHeight="1">
      <c r="P203" s="6"/>
      <c r="R203" s="6"/>
    </row>
    <row r="204" ht="15.75" customHeight="1">
      <c r="P204" s="6"/>
      <c r="R204" s="6"/>
      <c r="AD204" s="309" t="s">
        <v>295</v>
      </c>
    </row>
    <row r="205" ht="15.75" customHeight="1">
      <c r="P205" s="6"/>
      <c r="R205" s="6"/>
      <c r="AD205" s="309" t="s">
        <v>298</v>
      </c>
    </row>
    <row r="206" ht="15.75" customHeight="1">
      <c r="P206" s="6"/>
      <c r="R206" s="6"/>
      <c r="AD206" s="309" t="s">
        <v>300</v>
      </c>
    </row>
    <row r="207" ht="15.75" customHeight="1">
      <c r="P207" s="6"/>
      <c r="R207" s="6"/>
      <c r="AD207" s="309" t="s">
        <v>301</v>
      </c>
    </row>
    <row r="208" ht="15.75" customHeight="1">
      <c r="P208" s="6"/>
      <c r="R208" s="6"/>
      <c r="AD208" s="309" t="s">
        <v>302</v>
      </c>
    </row>
    <row r="209" ht="15.75" customHeight="1">
      <c r="P209" s="6"/>
      <c r="R209" s="6"/>
      <c r="AD209" s="309" t="s">
        <v>304</v>
      </c>
    </row>
    <row r="210" ht="15.75" customHeight="1">
      <c r="P210" s="6"/>
      <c r="R210" s="6"/>
      <c r="AD210" s="309" t="s">
        <v>305</v>
      </c>
    </row>
    <row r="211" ht="15.75" customHeight="1">
      <c r="P211" s="6"/>
      <c r="R211" s="6"/>
      <c r="AD211" s="309" t="s">
        <v>307</v>
      </c>
    </row>
    <row r="212" ht="15.75" customHeight="1">
      <c r="P212" s="6"/>
      <c r="R212" s="6"/>
      <c r="AD212" s="309" t="s">
        <v>309</v>
      </c>
    </row>
    <row r="213" ht="15.75" customHeight="1">
      <c r="P213" s="6"/>
      <c r="R213" s="6"/>
      <c r="AD213" s="309" t="s">
        <v>311</v>
      </c>
    </row>
    <row r="214" ht="15.75" customHeight="1">
      <c r="P214" s="6"/>
      <c r="R214" s="6"/>
      <c r="AD214" s="309" t="s">
        <v>312</v>
      </c>
    </row>
    <row r="215" ht="15.75" customHeight="1">
      <c r="P215" s="6"/>
      <c r="R215" s="6"/>
      <c r="AD215" s="309" t="s">
        <v>313</v>
      </c>
    </row>
    <row r="216" ht="15.75" customHeight="1">
      <c r="P216" s="6"/>
      <c r="R216" s="6"/>
      <c r="AD216" s="309" t="s">
        <v>314</v>
      </c>
    </row>
    <row r="217" ht="15.75" customHeight="1">
      <c r="P217" s="6"/>
      <c r="R217" s="6"/>
      <c r="AD217" s="309" t="s">
        <v>315</v>
      </c>
    </row>
    <row r="218" ht="15.75" customHeight="1">
      <c r="P218" s="6"/>
      <c r="R218" s="6"/>
      <c r="AD218" s="309" t="s">
        <v>316</v>
      </c>
    </row>
    <row r="219" ht="15.75" customHeight="1">
      <c r="P219" s="6"/>
      <c r="R219" s="6"/>
      <c r="AD219" s="309" t="s">
        <v>317</v>
      </c>
    </row>
    <row r="220" ht="15.75" customHeight="1">
      <c r="P220" s="6"/>
      <c r="R220" s="6"/>
      <c r="AD220" s="210"/>
    </row>
    <row r="221" ht="15.75" customHeight="1">
      <c r="P221" s="6"/>
      <c r="R221" s="6"/>
      <c r="AD221" s="210"/>
    </row>
    <row r="222" ht="15.75" customHeight="1">
      <c r="P222" s="6"/>
      <c r="R222" s="6"/>
      <c r="AC222" s="263" t="s">
        <v>17</v>
      </c>
      <c r="AE222" s="264" t="str">
        <f>E59</f>
        <v>TEST NAME- GOLF</v>
      </c>
      <c r="AF222" s="265"/>
      <c r="AG222" s="265"/>
      <c r="AH222" s="265"/>
      <c r="AJ222" s="263" t="s">
        <v>22</v>
      </c>
      <c r="AK222" s="266">
        <f>K59</f>
        <v>45108</v>
      </c>
      <c r="AL222" s="265"/>
      <c r="AM222" s="265"/>
    </row>
    <row r="223" ht="15.75" customHeight="1">
      <c r="P223" s="6"/>
      <c r="R223" s="6"/>
    </row>
    <row r="224" ht="15.75" customHeight="1">
      <c r="P224" s="6"/>
      <c r="R224" s="6"/>
      <c r="AC224" s="268" t="s">
        <v>323</v>
      </c>
      <c r="AD224" s="269"/>
      <c r="AE224" s="269"/>
      <c r="AF224" s="269"/>
      <c r="AG224" s="269"/>
      <c r="AH224" s="269"/>
      <c r="AI224" s="269"/>
      <c r="AJ224" s="269"/>
      <c r="AK224" s="269"/>
      <c r="AL224" s="269"/>
      <c r="AM224" s="270"/>
    </row>
    <row r="225" ht="15.75" customHeight="1">
      <c r="P225" s="6"/>
      <c r="R225" s="6"/>
    </row>
    <row r="226" ht="15.75" customHeight="1">
      <c r="P226" s="6"/>
      <c r="R226" s="6"/>
      <c r="AD226" s="309" t="s">
        <v>324</v>
      </c>
    </row>
    <row r="227" ht="15.75" customHeight="1">
      <c r="P227" s="6"/>
      <c r="R227" s="6"/>
      <c r="AD227" s="309" t="s">
        <v>325</v>
      </c>
    </row>
    <row r="228" ht="15.75" customHeight="1">
      <c r="P228" s="6"/>
      <c r="R228" s="6"/>
      <c r="AD228" s="309" t="s">
        <v>326</v>
      </c>
    </row>
    <row r="229" ht="15.75" customHeight="1">
      <c r="P229" s="6"/>
      <c r="R229" s="6"/>
      <c r="AD229" s="309" t="s">
        <v>327</v>
      </c>
    </row>
    <row r="230" ht="15.75" customHeight="1">
      <c r="P230" s="6"/>
      <c r="R230" s="6"/>
    </row>
    <row r="231" ht="15.75" customHeight="1">
      <c r="P231" s="6"/>
      <c r="R231" s="6"/>
      <c r="AC231" s="273" t="s">
        <v>328</v>
      </c>
      <c r="AD231" s="258"/>
      <c r="AE231" s="258"/>
      <c r="AF231" s="258"/>
      <c r="AG231" s="258"/>
      <c r="AH231" s="258"/>
      <c r="AI231" s="258"/>
      <c r="AJ231" s="258"/>
      <c r="AK231" s="258"/>
      <c r="AL231" s="258"/>
      <c r="AM231" s="259"/>
    </row>
    <row r="232" ht="15.75" customHeight="1">
      <c r="P232" s="6"/>
      <c r="R232" s="6"/>
    </row>
    <row r="233" ht="15.75" customHeight="1">
      <c r="P233" s="6"/>
      <c r="R233" s="6"/>
      <c r="AD233" s="309" t="s">
        <v>330</v>
      </c>
    </row>
    <row r="234" ht="15.75" customHeight="1">
      <c r="P234" s="6"/>
      <c r="R234" s="6"/>
      <c r="AD234" s="309" t="s">
        <v>332</v>
      </c>
    </row>
    <row r="235" ht="15.75" customHeight="1">
      <c r="P235" s="6"/>
      <c r="R235" s="6"/>
      <c r="AD235" s="309" t="s">
        <v>333</v>
      </c>
    </row>
    <row r="236" ht="15.75" customHeight="1">
      <c r="P236" s="6"/>
      <c r="R236" s="6"/>
      <c r="AD236" s="309" t="s">
        <v>334</v>
      </c>
    </row>
    <row r="237" ht="15.75" customHeight="1">
      <c r="P237" s="6"/>
      <c r="R237" s="6"/>
      <c r="AD237" s="309" t="s">
        <v>336</v>
      </c>
    </row>
    <row r="238" ht="15.75" customHeight="1">
      <c r="P238" s="6"/>
      <c r="R238" s="6"/>
      <c r="AD238" s="309" t="s">
        <v>337</v>
      </c>
    </row>
    <row r="239" ht="15.75" customHeight="1">
      <c r="P239" s="6"/>
      <c r="R239" s="6"/>
      <c r="AD239" s="309" t="s">
        <v>338</v>
      </c>
    </row>
    <row r="240" ht="15.75" customHeight="1">
      <c r="P240" s="6"/>
      <c r="R240" s="6"/>
    </row>
    <row r="241" ht="15.75" customHeight="1">
      <c r="P241" s="6"/>
      <c r="R241" s="6"/>
      <c r="AC241" s="276" t="s">
        <v>340</v>
      </c>
      <c r="AD241" s="277"/>
      <c r="AE241" s="277"/>
      <c r="AF241" s="277"/>
      <c r="AG241" s="277"/>
      <c r="AH241" s="277"/>
      <c r="AI241" s="277"/>
      <c r="AJ241" s="277"/>
      <c r="AK241" s="277"/>
      <c r="AL241" s="277"/>
      <c r="AM241" s="278"/>
    </row>
    <row r="242" ht="15.75" customHeight="1">
      <c r="P242" s="6"/>
      <c r="R242" s="6"/>
    </row>
    <row r="243" ht="15.75" customHeight="1">
      <c r="P243" s="6"/>
      <c r="R243" s="6"/>
      <c r="AD243" s="309" t="s">
        <v>343</v>
      </c>
    </row>
    <row r="244" ht="15.75" customHeight="1">
      <c r="P244" s="6"/>
      <c r="R244" s="6"/>
      <c r="AD244" s="309" t="s">
        <v>344</v>
      </c>
    </row>
    <row r="245" ht="15.75" customHeight="1">
      <c r="P245" s="6"/>
      <c r="R245" s="6"/>
      <c r="AD245" s="309" t="s">
        <v>346</v>
      </c>
    </row>
    <row r="246" ht="15.75" customHeight="1">
      <c r="P246" s="6"/>
      <c r="R246" s="6"/>
      <c r="AD246" s="309" t="s">
        <v>347</v>
      </c>
    </row>
    <row r="247" ht="15.75" customHeight="1">
      <c r="P247" s="6"/>
      <c r="R247" s="6"/>
      <c r="AD247" s="309" t="s">
        <v>348</v>
      </c>
    </row>
    <row r="248" ht="15.75" customHeight="1">
      <c r="P248" s="6"/>
      <c r="R248" s="6"/>
      <c r="AD248" s="309" t="s">
        <v>350</v>
      </c>
    </row>
    <row r="249" ht="15.75" customHeight="1">
      <c r="P249" s="6"/>
      <c r="R249" s="6"/>
      <c r="AD249" s="309" t="s">
        <v>352</v>
      </c>
    </row>
    <row r="250" ht="15.75" customHeight="1">
      <c r="P250" s="6"/>
      <c r="R250" s="6"/>
      <c r="AD250" s="309" t="s">
        <v>353</v>
      </c>
    </row>
    <row r="251" ht="15.75" customHeight="1">
      <c r="P251" s="6"/>
      <c r="R251" s="6"/>
      <c r="AD251" s="309" t="s">
        <v>354</v>
      </c>
    </row>
    <row r="252" ht="15.75" customHeight="1">
      <c r="P252" s="6"/>
      <c r="R252" s="6"/>
      <c r="AD252" s="309" t="s">
        <v>355</v>
      </c>
    </row>
    <row r="253" ht="15.75" customHeight="1">
      <c r="P253" s="6"/>
      <c r="R253" s="6"/>
    </row>
    <row r="254" ht="15.75" customHeight="1">
      <c r="P254" s="6"/>
      <c r="R254" s="6"/>
    </row>
    <row r="255" ht="15.75" customHeight="1">
      <c r="P255" s="6"/>
      <c r="R255" s="6"/>
      <c r="AC255" s="263" t="s">
        <v>17</v>
      </c>
      <c r="AE255" s="264" t="str">
        <f>E93</f>
        <v>TEST NAME- GOLF</v>
      </c>
      <c r="AF255" s="265"/>
      <c r="AG255" s="265"/>
      <c r="AH255" s="265"/>
      <c r="AJ255" s="263" t="s">
        <v>22</v>
      </c>
      <c r="AK255" s="266">
        <f>K93</f>
        <v>45108</v>
      </c>
      <c r="AL255" s="265"/>
      <c r="AM255" s="265"/>
    </row>
    <row r="256" ht="15.75" customHeight="1">
      <c r="P256" s="6"/>
      <c r="R256" s="6"/>
    </row>
    <row r="257" ht="15.75" customHeight="1">
      <c r="P257" s="6"/>
      <c r="R257" s="6"/>
      <c r="AC257" s="268" t="s">
        <v>357</v>
      </c>
      <c r="AD257" s="269"/>
      <c r="AE257" s="269"/>
      <c r="AF257" s="269"/>
      <c r="AG257" s="269"/>
      <c r="AH257" s="269"/>
      <c r="AI257" s="269"/>
      <c r="AJ257" s="269"/>
      <c r="AK257" s="269"/>
      <c r="AL257" s="269"/>
      <c r="AM257" s="270"/>
    </row>
    <row r="258" ht="15.75" customHeight="1">
      <c r="P258" s="6"/>
      <c r="R258" s="6"/>
    </row>
    <row r="259" ht="15.75" customHeight="1">
      <c r="P259" s="6"/>
      <c r="R259" s="6"/>
      <c r="AD259" s="309" t="s">
        <v>358</v>
      </c>
    </row>
    <row r="260" ht="15.75" customHeight="1">
      <c r="P260" s="6"/>
      <c r="R260" s="6"/>
      <c r="AD260" s="309" t="s">
        <v>359</v>
      </c>
    </row>
    <row r="261" ht="15.75" customHeight="1">
      <c r="P261" s="6"/>
      <c r="R261" s="6"/>
      <c r="AD261" s="309" t="s">
        <v>360</v>
      </c>
    </row>
    <row r="262" ht="15.75" customHeight="1">
      <c r="P262" s="6"/>
      <c r="R262" s="6"/>
      <c r="AD262" s="309" t="s">
        <v>362</v>
      </c>
    </row>
    <row r="263" ht="15.75" customHeight="1">
      <c r="P263" s="6"/>
      <c r="R263" s="6"/>
    </row>
    <row r="264" ht="15.75" customHeight="1">
      <c r="P264" s="6"/>
      <c r="R264" s="6"/>
      <c r="AC264" s="273" t="s">
        <v>364</v>
      </c>
      <c r="AD264" s="258"/>
      <c r="AE264" s="258"/>
      <c r="AF264" s="258"/>
      <c r="AG264" s="258"/>
      <c r="AH264" s="258"/>
      <c r="AI264" s="258"/>
      <c r="AJ264" s="258"/>
      <c r="AK264" s="258"/>
      <c r="AL264" s="258"/>
      <c r="AM264" s="259"/>
    </row>
    <row r="265" ht="15.75" customHeight="1">
      <c r="P265" s="6"/>
      <c r="R265" s="6"/>
    </row>
    <row r="266" ht="15.75" customHeight="1">
      <c r="P266" s="6"/>
      <c r="R266" s="6"/>
      <c r="AD266" s="309" t="s">
        <v>365</v>
      </c>
    </row>
    <row r="267" ht="15.75" customHeight="1">
      <c r="P267" s="6"/>
      <c r="R267" s="6"/>
      <c r="AD267" s="309" t="s">
        <v>367</v>
      </c>
    </row>
    <row r="268" ht="15.75" customHeight="1">
      <c r="P268" s="6"/>
      <c r="R268" s="6"/>
      <c r="AD268" s="309" t="s">
        <v>368</v>
      </c>
    </row>
    <row r="269" ht="15.75" customHeight="1">
      <c r="P269" s="6"/>
      <c r="R269" s="6"/>
      <c r="AD269" s="309" t="s">
        <v>369</v>
      </c>
    </row>
    <row r="270" ht="15.75" customHeight="1">
      <c r="P270" s="6"/>
      <c r="R270" s="6"/>
      <c r="AD270" s="309" t="s">
        <v>370</v>
      </c>
    </row>
    <row r="271" ht="15.75" customHeight="1">
      <c r="P271" s="6"/>
      <c r="R271" s="6"/>
      <c r="AD271" s="309" t="s">
        <v>371</v>
      </c>
    </row>
    <row r="272" ht="15.75" customHeight="1">
      <c r="P272" s="6"/>
      <c r="R272" s="6"/>
      <c r="AD272" s="309" t="s">
        <v>372</v>
      </c>
    </row>
    <row r="273" ht="15.75" customHeight="1">
      <c r="P273" s="6"/>
      <c r="R273" s="6"/>
      <c r="AD273" s="309" t="s">
        <v>373</v>
      </c>
    </row>
    <row r="274" ht="15.75" customHeight="1">
      <c r="P274" s="6"/>
      <c r="R274" s="6"/>
      <c r="AD274" s="309" t="s">
        <v>375</v>
      </c>
    </row>
    <row r="275" ht="15.75" customHeight="1">
      <c r="P275" s="6"/>
      <c r="R275" s="6"/>
    </row>
    <row r="276" ht="15.75" customHeight="1">
      <c r="P276" s="6"/>
      <c r="R276" s="6"/>
      <c r="AC276" s="276" t="s">
        <v>377</v>
      </c>
      <c r="AD276" s="277"/>
      <c r="AE276" s="277"/>
      <c r="AF276" s="277"/>
      <c r="AG276" s="277"/>
      <c r="AH276" s="277"/>
      <c r="AI276" s="277"/>
      <c r="AJ276" s="277"/>
      <c r="AK276" s="277"/>
      <c r="AL276" s="277"/>
      <c r="AM276" s="278"/>
    </row>
    <row r="277" ht="15.75" customHeight="1">
      <c r="P277" s="6"/>
      <c r="R277" s="6"/>
    </row>
    <row r="278" ht="15.75" customHeight="1">
      <c r="P278" s="6"/>
      <c r="R278" s="6"/>
      <c r="AD278" s="309" t="s">
        <v>379</v>
      </c>
    </row>
    <row r="279" ht="15.75" customHeight="1">
      <c r="P279" s="6"/>
      <c r="R279" s="6"/>
      <c r="AD279" s="309" t="s">
        <v>380</v>
      </c>
    </row>
    <row r="280" ht="15.75" customHeight="1">
      <c r="P280" s="6"/>
      <c r="R280" s="6"/>
      <c r="AD280" s="309" t="s">
        <v>381</v>
      </c>
    </row>
    <row r="281" ht="15.75" customHeight="1">
      <c r="P281" s="6"/>
      <c r="R281" s="6"/>
      <c r="AD281" s="309" t="s">
        <v>383</v>
      </c>
    </row>
    <row r="282" ht="15.75" customHeight="1">
      <c r="P282" s="6"/>
      <c r="R282" s="6"/>
      <c r="AD282" s="309" t="s">
        <v>384</v>
      </c>
    </row>
    <row r="283" ht="15.75" customHeight="1">
      <c r="P283" s="6"/>
      <c r="R283" s="6"/>
      <c r="AD283" s="309" t="s">
        <v>385</v>
      </c>
    </row>
    <row r="284" ht="15.75" customHeight="1">
      <c r="P284" s="6"/>
      <c r="R284" s="6"/>
      <c r="AD284" s="309" t="s">
        <v>386</v>
      </c>
    </row>
    <row r="285" ht="15.75" customHeight="1">
      <c r="P285" s="6"/>
      <c r="R285" s="6"/>
      <c r="AD285" s="309" t="s">
        <v>387</v>
      </c>
    </row>
    <row r="286" ht="15.75" customHeight="1">
      <c r="P286" s="6"/>
      <c r="R286" s="6"/>
      <c r="AD286" s="309" t="s">
        <v>388</v>
      </c>
    </row>
    <row r="287" ht="15.75" customHeight="1">
      <c r="P287" s="6"/>
      <c r="R287" s="6"/>
      <c r="AD287" s="309" t="s">
        <v>389</v>
      </c>
    </row>
    <row r="288" ht="15.75" customHeight="1">
      <c r="P288" s="6"/>
      <c r="R288" s="6"/>
      <c r="AD288" s="309" t="s">
        <v>391</v>
      </c>
    </row>
    <row r="289" ht="15.75" customHeight="1">
      <c r="P289" s="6"/>
      <c r="R289" s="6"/>
      <c r="AD289" s="309" t="s">
        <v>392</v>
      </c>
    </row>
    <row r="290" ht="15.75" customHeight="1">
      <c r="P290" s="6"/>
      <c r="R290" s="6"/>
    </row>
    <row r="291" ht="15.75" customHeight="1">
      <c r="P291" s="6"/>
      <c r="R291" s="6"/>
    </row>
    <row r="292" ht="15.75" customHeight="1">
      <c r="P292" s="6"/>
      <c r="R292" s="6"/>
      <c r="AC292" s="263" t="s">
        <v>17</v>
      </c>
      <c r="AE292" s="264" t="str">
        <f>E131</f>
        <v>TEST NAME- GOLF</v>
      </c>
      <c r="AF292" s="265"/>
      <c r="AG292" s="265"/>
      <c r="AH292" s="265"/>
      <c r="AJ292" s="263" t="s">
        <v>22</v>
      </c>
      <c r="AK292" s="266">
        <f>K131</f>
        <v>45108</v>
      </c>
      <c r="AL292" s="265"/>
      <c r="AM292" s="265"/>
    </row>
    <row r="293" ht="15.75" customHeight="1">
      <c r="P293" s="6"/>
      <c r="R293" s="6"/>
    </row>
    <row r="294" ht="15.75" customHeight="1">
      <c r="P294" s="6"/>
      <c r="R294" s="6"/>
      <c r="AC294" s="268" t="s">
        <v>393</v>
      </c>
      <c r="AD294" s="269"/>
      <c r="AE294" s="269"/>
      <c r="AF294" s="269"/>
      <c r="AG294" s="269"/>
      <c r="AH294" s="269"/>
      <c r="AI294" s="269"/>
      <c r="AJ294" s="269"/>
      <c r="AK294" s="269"/>
      <c r="AL294" s="269"/>
      <c r="AM294" s="270"/>
    </row>
    <row r="295" ht="15.75" customHeight="1">
      <c r="P295" s="6"/>
      <c r="R295" s="6"/>
    </row>
    <row r="296" ht="15.75" customHeight="1">
      <c r="P296" s="6"/>
      <c r="R296" s="6"/>
      <c r="AD296" s="309" t="s">
        <v>394</v>
      </c>
    </row>
    <row r="297" ht="15.75" customHeight="1">
      <c r="P297" s="6"/>
      <c r="R297" s="6"/>
      <c r="AD297" s="309" t="s">
        <v>395</v>
      </c>
    </row>
    <row r="298" ht="15.75" customHeight="1">
      <c r="P298" s="6"/>
      <c r="R298" s="6"/>
      <c r="AD298" s="309" t="s">
        <v>396</v>
      </c>
    </row>
    <row r="299" ht="15.75" customHeight="1">
      <c r="P299" s="6"/>
      <c r="R299" s="6"/>
      <c r="AD299" s="309" t="s">
        <v>397</v>
      </c>
    </row>
    <row r="300" ht="15.75" customHeight="1">
      <c r="P300" s="6"/>
      <c r="R300" s="6"/>
      <c r="AD300" s="309" t="s">
        <v>398</v>
      </c>
    </row>
    <row r="301" ht="15.75" customHeight="1">
      <c r="P301" s="6"/>
      <c r="R301" s="6"/>
      <c r="AD301" s="309" t="s">
        <v>399</v>
      </c>
    </row>
    <row r="302" ht="15.75" customHeight="1">
      <c r="P302" s="6"/>
      <c r="R302" s="6"/>
      <c r="AD302" s="309" t="s">
        <v>400</v>
      </c>
    </row>
    <row r="303" ht="15.75" customHeight="1">
      <c r="P303" s="6"/>
      <c r="R303" s="6"/>
      <c r="AD303" s="309" t="s">
        <v>401</v>
      </c>
    </row>
    <row r="304" ht="15.75" customHeight="1">
      <c r="P304" s="6"/>
      <c r="R304" s="6"/>
    </row>
    <row r="305" ht="15.75" customHeight="1">
      <c r="P305" s="6"/>
      <c r="R305" s="6"/>
      <c r="AC305" s="273" t="s">
        <v>402</v>
      </c>
      <c r="AD305" s="258"/>
      <c r="AE305" s="258"/>
      <c r="AF305" s="258"/>
      <c r="AG305" s="258"/>
      <c r="AH305" s="258"/>
      <c r="AI305" s="258"/>
      <c r="AJ305" s="258"/>
      <c r="AK305" s="258"/>
      <c r="AL305" s="258"/>
      <c r="AM305" s="259"/>
    </row>
    <row r="306" ht="15.75" customHeight="1">
      <c r="P306" s="6"/>
      <c r="R306" s="6"/>
    </row>
    <row r="307" ht="15.75" customHeight="1">
      <c r="P307" s="6"/>
      <c r="R307" s="6"/>
      <c r="AD307" s="309" t="s">
        <v>403</v>
      </c>
    </row>
    <row r="308" ht="15.75" customHeight="1">
      <c r="P308" s="6"/>
      <c r="R308" s="6"/>
      <c r="AD308" s="309" t="s">
        <v>404</v>
      </c>
    </row>
    <row r="309" ht="15.75" customHeight="1">
      <c r="P309" s="6"/>
      <c r="R309" s="6"/>
      <c r="AD309" s="309" t="s">
        <v>405</v>
      </c>
    </row>
    <row r="310" ht="15.75" customHeight="1">
      <c r="P310" s="6"/>
      <c r="R310" s="6"/>
      <c r="AD310" s="309" t="s">
        <v>406</v>
      </c>
    </row>
    <row r="311" ht="15.75" customHeight="1">
      <c r="P311" s="6"/>
      <c r="R311" s="6"/>
      <c r="AD311" s="309" t="s">
        <v>407</v>
      </c>
    </row>
    <row r="312" ht="15.75" customHeight="1">
      <c r="P312" s="6"/>
      <c r="R312" s="6"/>
      <c r="AD312" s="309" t="s">
        <v>408</v>
      </c>
    </row>
    <row r="313" ht="15.75" customHeight="1">
      <c r="P313" s="6"/>
      <c r="R313" s="6"/>
      <c r="AD313" s="309" t="s">
        <v>409</v>
      </c>
    </row>
    <row r="314" ht="15.75" customHeight="1">
      <c r="P314" s="6"/>
      <c r="R314" s="6"/>
      <c r="AD314" s="309" t="s">
        <v>410</v>
      </c>
    </row>
    <row r="315" ht="15.75" customHeight="1">
      <c r="P315" s="6"/>
      <c r="R315" s="6"/>
      <c r="AD315" s="309" t="s">
        <v>411</v>
      </c>
    </row>
    <row r="316" ht="15.75" customHeight="1">
      <c r="P316" s="6"/>
      <c r="R316" s="6"/>
      <c r="AD316" s="309" t="s">
        <v>400</v>
      </c>
    </row>
    <row r="317" ht="15.75" customHeight="1">
      <c r="P317" s="6"/>
      <c r="R317" s="6"/>
      <c r="AD317" s="309" t="s">
        <v>412</v>
      </c>
    </row>
    <row r="318" ht="15.75" customHeight="1">
      <c r="P318" s="6"/>
      <c r="R318" s="6"/>
      <c r="AD318" s="309" t="s">
        <v>413</v>
      </c>
    </row>
    <row r="319" ht="15.75" customHeight="1">
      <c r="P319" s="6"/>
      <c r="R319" s="6"/>
      <c r="AD319" s="309" t="s">
        <v>414</v>
      </c>
    </row>
    <row r="320" ht="15.75" customHeight="1">
      <c r="P320" s="6"/>
      <c r="R320" s="6"/>
      <c r="AD320" s="309" t="s">
        <v>337</v>
      </c>
    </row>
    <row r="321" ht="15.75" customHeight="1">
      <c r="P321" s="6"/>
      <c r="R321" s="6"/>
    </row>
    <row r="322" ht="15.75" customHeight="1">
      <c r="P322" s="6"/>
      <c r="R322" s="6"/>
      <c r="AC322" s="276" t="s">
        <v>415</v>
      </c>
      <c r="AD322" s="277"/>
      <c r="AE322" s="277"/>
      <c r="AF322" s="277"/>
      <c r="AG322" s="277"/>
      <c r="AH322" s="277"/>
      <c r="AI322" s="277"/>
      <c r="AJ322" s="277"/>
      <c r="AK322" s="277"/>
      <c r="AL322" s="277"/>
      <c r="AM322" s="278"/>
    </row>
    <row r="323" ht="15.75" customHeight="1">
      <c r="P323" s="6"/>
      <c r="R323" s="6"/>
    </row>
    <row r="324" ht="15.75" customHeight="1">
      <c r="P324" s="6"/>
      <c r="R324" s="6"/>
      <c r="AD324" s="309" t="s">
        <v>416</v>
      </c>
    </row>
    <row r="325" ht="15.75" customHeight="1">
      <c r="P325" s="6"/>
      <c r="R325" s="6"/>
      <c r="AD325" s="309" t="s">
        <v>417</v>
      </c>
    </row>
    <row r="326" ht="15.75" customHeight="1">
      <c r="P326" s="6"/>
      <c r="R326" s="6"/>
      <c r="AD326" s="309" t="s">
        <v>418</v>
      </c>
    </row>
    <row r="327" ht="15.75" customHeight="1">
      <c r="P327" s="6"/>
      <c r="R327" s="6"/>
      <c r="AD327" s="309" t="s">
        <v>419</v>
      </c>
    </row>
    <row r="328" ht="15.75" customHeight="1">
      <c r="P328" s="6"/>
      <c r="R328" s="6"/>
      <c r="AD328" s="210"/>
    </row>
    <row r="329" ht="15.75" customHeight="1">
      <c r="P329" s="6"/>
      <c r="R329" s="6"/>
    </row>
    <row r="330" ht="15.75" customHeight="1">
      <c r="P330" s="6"/>
      <c r="R330" s="6"/>
    </row>
    <row r="331" ht="15.75" customHeight="1">
      <c r="P331" s="6"/>
      <c r="R331" s="6"/>
    </row>
    <row r="332" ht="15.75" customHeight="1">
      <c r="P332" s="6"/>
      <c r="R332" s="6"/>
    </row>
    <row r="333" ht="15.75" customHeight="1">
      <c r="P333" s="6"/>
      <c r="R333" s="6"/>
    </row>
    <row r="334" ht="15.75" customHeight="1">
      <c r="P334" s="6"/>
      <c r="R334" s="6"/>
    </row>
    <row r="335" ht="15.75" customHeight="1">
      <c r="P335" s="6"/>
      <c r="R335" s="6"/>
    </row>
    <row r="336" ht="15.75" customHeight="1">
      <c r="P336" s="6"/>
      <c r="R336" s="6"/>
    </row>
    <row r="337" ht="15.75" customHeight="1">
      <c r="P337" s="6"/>
      <c r="R337" s="6"/>
    </row>
    <row r="338" ht="15.75" customHeight="1">
      <c r="P338" s="6"/>
      <c r="R338" s="6"/>
    </row>
    <row r="339" ht="15.75" customHeight="1">
      <c r="P339" s="6"/>
      <c r="R339" s="6"/>
    </row>
    <row r="340" ht="15.75" customHeight="1">
      <c r="P340" s="6"/>
      <c r="R340" s="6"/>
    </row>
    <row r="341" ht="15.75" customHeight="1">
      <c r="P341" s="6"/>
      <c r="R341" s="6"/>
    </row>
    <row r="342" ht="15.75" customHeight="1">
      <c r="P342" s="6"/>
      <c r="R342" s="6"/>
    </row>
    <row r="343" ht="15.75" customHeight="1">
      <c r="P343" s="6"/>
      <c r="R343" s="6"/>
    </row>
    <row r="344" ht="15.75" customHeight="1">
      <c r="P344" s="6"/>
      <c r="R344" s="6"/>
    </row>
    <row r="345" ht="15.75" customHeight="1">
      <c r="P345" s="6"/>
      <c r="R345" s="6"/>
    </row>
    <row r="346" ht="15.75" customHeight="1">
      <c r="P346" s="6"/>
      <c r="R346" s="6"/>
    </row>
    <row r="347" ht="15.75" customHeight="1">
      <c r="P347" s="6"/>
      <c r="R347" s="6"/>
    </row>
    <row r="348" ht="15.75" customHeight="1">
      <c r="P348" s="6"/>
      <c r="R348" s="6"/>
    </row>
    <row r="349" ht="15.75" customHeight="1">
      <c r="P349" s="6"/>
      <c r="R349" s="6"/>
    </row>
    <row r="350" ht="15.75" customHeight="1">
      <c r="P350" s="6"/>
      <c r="R350" s="6"/>
    </row>
    <row r="351" ht="15.75" customHeight="1">
      <c r="P351" s="6"/>
      <c r="R351" s="6"/>
    </row>
    <row r="352" ht="15.75" customHeight="1">
      <c r="P352" s="6"/>
      <c r="R352" s="6"/>
    </row>
    <row r="353" ht="15.75" customHeight="1">
      <c r="P353" s="6"/>
      <c r="R353" s="6"/>
    </row>
    <row r="354" ht="15.75" customHeight="1">
      <c r="P354" s="6"/>
      <c r="R354" s="6"/>
    </row>
    <row r="355" ht="15.75" customHeight="1">
      <c r="P355" s="6"/>
      <c r="R355" s="6"/>
    </row>
    <row r="356" ht="15.75" customHeight="1">
      <c r="P356" s="6"/>
      <c r="R356" s="6"/>
    </row>
    <row r="357" ht="15.75" customHeight="1">
      <c r="P357" s="6"/>
      <c r="R357" s="6"/>
    </row>
    <row r="358" ht="15.75" customHeight="1">
      <c r="P358" s="6"/>
      <c r="R358" s="6"/>
    </row>
    <row r="359" ht="15.75" customHeight="1">
      <c r="P359" s="6"/>
      <c r="R359" s="6"/>
    </row>
    <row r="360" ht="15.75" customHeight="1">
      <c r="P360" s="6"/>
      <c r="R360" s="6"/>
    </row>
    <row r="361" ht="15.75" customHeight="1">
      <c r="P361" s="6"/>
      <c r="R361" s="6"/>
    </row>
    <row r="362" ht="15.75" customHeight="1">
      <c r="P362" s="6"/>
      <c r="R362" s="6"/>
    </row>
    <row r="363" ht="15.75" customHeight="1">
      <c r="P363" s="6"/>
      <c r="R363" s="6"/>
    </row>
    <row r="364" ht="15.75" customHeight="1">
      <c r="P364" s="6"/>
      <c r="R364" s="6"/>
    </row>
    <row r="365" ht="15.75" customHeight="1">
      <c r="P365" s="6"/>
      <c r="R365" s="6"/>
    </row>
    <row r="366" ht="15.75" customHeight="1">
      <c r="P366" s="6"/>
      <c r="R366" s="6"/>
    </row>
    <row r="367" ht="15.75" customHeight="1">
      <c r="P367" s="6"/>
      <c r="R367" s="6"/>
    </row>
    <row r="368" ht="15.75" customHeight="1">
      <c r="P368" s="6"/>
      <c r="R368" s="6"/>
    </row>
    <row r="369" ht="15.75" customHeight="1">
      <c r="P369" s="6"/>
      <c r="R369" s="6"/>
    </row>
    <row r="370" ht="15.75" customHeight="1">
      <c r="P370" s="6"/>
      <c r="R370" s="6"/>
    </row>
    <row r="371" ht="15.75" customHeight="1">
      <c r="P371" s="6"/>
      <c r="R371" s="6"/>
    </row>
    <row r="372" ht="15.75" customHeight="1">
      <c r="P372" s="6"/>
      <c r="R372" s="6"/>
    </row>
    <row r="373" ht="15.75" customHeight="1">
      <c r="P373" s="6"/>
      <c r="R373" s="6"/>
    </row>
    <row r="374" ht="15.75" customHeight="1">
      <c r="P374" s="6"/>
      <c r="R374" s="6"/>
    </row>
    <row r="375" ht="15.75" customHeight="1">
      <c r="P375" s="6"/>
      <c r="R375" s="6"/>
    </row>
    <row r="376" ht="15.75" customHeight="1">
      <c r="P376" s="6"/>
      <c r="R376" s="6"/>
    </row>
    <row r="377" ht="15.75" customHeight="1">
      <c r="P377" s="6"/>
      <c r="R377" s="6"/>
    </row>
    <row r="378" ht="15.75" customHeight="1">
      <c r="P378" s="6"/>
      <c r="R378" s="6"/>
    </row>
    <row r="379" ht="15.75" customHeight="1">
      <c r="P379" s="6"/>
      <c r="R379" s="6"/>
    </row>
    <row r="380" ht="15.75" customHeight="1">
      <c r="P380" s="6"/>
      <c r="R380" s="6"/>
    </row>
    <row r="381" ht="15.75" customHeight="1">
      <c r="P381" s="6"/>
      <c r="R381" s="6"/>
    </row>
    <row r="382" ht="15.75" customHeight="1">
      <c r="P382" s="6"/>
      <c r="R382" s="6"/>
    </row>
    <row r="383" ht="15.75" customHeight="1">
      <c r="P383" s="6"/>
      <c r="R383" s="6"/>
    </row>
    <row r="384" ht="15.75" customHeight="1">
      <c r="P384" s="6"/>
      <c r="R384" s="6"/>
    </row>
    <row r="385" ht="15.75" customHeight="1">
      <c r="P385" s="6"/>
      <c r="R385" s="6"/>
    </row>
    <row r="386" ht="15.75" customHeight="1">
      <c r="P386" s="6"/>
      <c r="R386" s="6"/>
    </row>
    <row r="387" ht="15.75" customHeight="1">
      <c r="P387" s="6"/>
      <c r="R387" s="6"/>
    </row>
    <row r="388" ht="15.75" customHeight="1">
      <c r="P388" s="6"/>
      <c r="R388" s="6"/>
    </row>
    <row r="389" ht="15.75" customHeight="1">
      <c r="P389" s="6"/>
      <c r="R389" s="6"/>
    </row>
    <row r="390" ht="15.75" customHeight="1">
      <c r="P390" s="6"/>
      <c r="R390" s="6"/>
    </row>
    <row r="391" ht="15.75" customHeight="1">
      <c r="P391" s="6"/>
      <c r="R391" s="6"/>
    </row>
    <row r="392" ht="15.75" customHeight="1">
      <c r="P392" s="6"/>
      <c r="R392" s="6"/>
    </row>
    <row r="393" ht="15.75" customHeight="1">
      <c r="P393" s="6"/>
      <c r="R393" s="6"/>
    </row>
    <row r="394" ht="15.75" customHeight="1">
      <c r="P394" s="6"/>
      <c r="R394" s="6"/>
    </row>
    <row r="395" ht="15.75" customHeight="1">
      <c r="P395" s="6"/>
      <c r="R395" s="6"/>
    </row>
    <row r="396" ht="15.75" customHeight="1">
      <c r="P396" s="6"/>
      <c r="R396" s="6"/>
    </row>
    <row r="397" ht="15.75" customHeight="1">
      <c r="P397" s="6"/>
      <c r="R397" s="6"/>
    </row>
    <row r="398" ht="15.75" customHeight="1">
      <c r="P398" s="6"/>
      <c r="R398" s="6"/>
    </row>
    <row r="399" ht="15.75" customHeight="1">
      <c r="P399" s="6"/>
      <c r="R399" s="6"/>
    </row>
    <row r="400" ht="15.75" customHeight="1">
      <c r="P400" s="6"/>
      <c r="R400" s="6"/>
    </row>
    <row r="401" ht="15.75" customHeight="1">
      <c r="P401" s="6"/>
      <c r="R401" s="6"/>
    </row>
    <row r="402" ht="15.75" customHeight="1">
      <c r="P402" s="6"/>
      <c r="R402" s="6"/>
    </row>
    <row r="403" ht="15.75" customHeight="1">
      <c r="P403" s="6"/>
      <c r="R403" s="6"/>
    </row>
    <row r="404" ht="15.75" customHeight="1">
      <c r="P404" s="6"/>
      <c r="R404" s="6"/>
    </row>
    <row r="405" ht="15.75" customHeight="1">
      <c r="P405" s="6"/>
      <c r="R405" s="6"/>
    </row>
    <row r="406" ht="15.75" customHeight="1">
      <c r="P406" s="6"/>
      <c r="R406" s="6"/>
    </row>
    <row r="407" ht="15.75" customHeight="1">
      <c r="P407" s="6"/>
      <c r="R407" s="6"/>
    </row>
    <row r="408" ht="15.75" customHeight="1">
      <c r="P408" s="6"/>
      <c r="R408" s="6"/>
    </row>
    <row r="409" ht="15.75" customHeight="1">
      <c r="P409" s="6"/>
      <c r="R409" s="6"/>
    </row>
    <row r="410" ht="15.75" customHeight="1">
      <c r="P410" s="6"/>
      <c r="R410" s="6"/>
    </row>
    <row r="411" ht="15.75" customHeight="1">
      <c r="P411" s="6"/>
      <c r="R411" s="6"/>
    </row>
    <row r="412" ht="15.75" customHeight="1">
      <c r="P412" s="6"/>
      <c r="R412" s="6"/>
    </row>
    <row r="413" ht="15.75" customHeight="1">
      <c r="P413" s="6"/>
      <c r="R413" s="6"/>
    </row>
    <row r="414" ht="15.75" customHeight="1">
      <c r="P414" s="6"/>
      <c r="R414" s="6"/>
    </row>
    <row r="415" ht="15.75" customHeight="1">
      <c r="P415" s="6"/>
      <c r="R415" s="6"/>
    </row>
    <row r="416" ht="15.75" customHeight="1">
      <c r="P416" s="6"/>
      <c r="R416" s="6"/>
    </row>
    <row r="417" ht="15.75" customHeight="1">
      <c r="P417" s="6"/>
      <c r="R417" s="6"/>
    </row>
    <row r="418" ht="15.75" customHeight="1">
      <c r="P418" s="6"/>
      <c r="R418" s="6"/>
    </row>
    <row r="419" ht="15.75" customHeight="1">
      <c r="P419" s="6"/>
      <c r="R419" s="6"/>
    </row>
    <row r="420" ht="15.75" customHeight="1">
      <c r="P420" s="6"/>
      <c r="R420" s="6"/>
    </row>
    <row r="421" ht="15.75" customHeight="1">
      <c r="P421" s="6"/>
      <c r="R421" s="6"/>
    </row>
    <row r="422" ht="15.75" customHeight="1">
      <c r="P422" s="6"/>
      <c r="R422" s="6"/>
    </row>
    <row r="423" ht="15.75" customHeight="1">
      <c r="P423" s="6"/>
      <c r="R423" s="6"/>
    </row>
    <row r="424" ht="15.75" customHeight="1">
      <c r="P424" s="6"/>
      <c r="R424" s="6"/>
    </row>
    <row r="425" ht="15.75" customHeight="1">
      <c r="P425" s="6"/>
      <c r="R425" s="6"/>
    </row>
    <row r="426" ht="15.75" customHeight="1">
      <c r="P426" s="6"/>
      <c r="R426" s="6"/>
    </row>
    <row r="427" ht="15.75" customHeight="1">
      <c r="P427" s="6"/>
      <c r="R427" s="6"/>
    </row>
    <row r="428" ht="15.75" customHeight="1">
      <c r="P428" s="6"/>
      <c r="R428" s="6"/>
    </row>
    <row r="429" ht="15.75" customHeight="1">
      <c r="P429" s="6"/>
      <c r="R429" s="6"/>
    </row>
    <row r="430" ht="15.75" customHeight="1">
      <c r="P430" s="6"/>
      <c r="R430" s="6"/>
    </row>
    <row r="431" ht="15.75" customHeight="1">
      <c r="P431" s="6"/>
      <c r="R431" s="6"/>
    </row>
    <row r="432" ht="15.75" customHeight="1">
      <c r="P432" s="6"/>
      <c r="R432" s="6"/>
    </row>
    <row r="433" ht="15.75" customHeight="1">
      <c r="P433" s="6"/>
      <c r="R433" s="6"/>
    </row>
    <row r="434" ht="15.75" customHeight="1">
      <c r="P434" s="6"/>
      <c r="R434" s="6"/>
    </row>
    <row r="435" ht="15.75" customHeight="1">
      <c r="P435" s="6"/>
      <c r="R435" s="6"/>
    </row>
    <row r="436" ht="15.75" customHeight="1">
      <c r="P436" s="6"/>
      <c r="R436" s="6"/>
    </row>
    <row r="437" ht="15.75" customHeight="1">
      <c r="P437" s="6"/>
      <c r="R437" s="6"/>
    </row>
    <row r="438" ht="15.75" customHeight="1">
      <c r="P438" s="6"/>
      <c r="R438" s="6"/>
    </row>
    <row r="439" ht="15.75" customHeight="1">
      <c r="P439" s="6"/>
      <c r="R439" s="6"/>
    </row>
    <row r="440" ht="15.75" customHeight="1">
      <c r="P440" s="6"/>
      <c r="R440" s="6"/>
    </row>
    <row r="441" ht="15.75" customHeight="1">
      <c r="P441" s="6"/>
      <c r="R441" s="6"/>
    </row>
    <row r="442" ht="15.75" customHeight="1">
      <c r="P442" s="6"/>
      <c r="R442" s="6"/>
    </row>
    <row r="443" ht="15.75" customHeight="1">
      <c r="P443" s="6"/>
      <c r="R443" s="6"/>
    </row>
    <row r="444" ht="15.75" customHeight="1">
      <c r="P444" s="6"/>
      <c r="R444" s="6"/>
    </row>
    <row r="445" ht="15.75" customHeight="1">
      <c r="P445" s="6"/>
      <c r="R445" s="6"/>
    </row>
    <row r="446" ht="15.75" customHeight="1">
      <c r="P446" s="6"/>
      <c r="R446" s="6"/>
    </row>
    <row r="447" ht="15.75" customHeight="1">
      <c r="P447" s="6"/>
      <c r="R447" s="6"/>
    </row>
    <row r="448" ht="15.75" customHeight="1">
      <c r="P448" s="6"/>
      <c r="R448" s="6"/>
    </row>
    <row r="449" ht="15.75" customHeight="1">
      <c r="P449" s="6"/>
      <c r="R449" s="6"/>
    </row>
    <row r="450" ht="15.75" customHeight="1">
      <c r="P450" s="6"/>
      <c r="R450" s="6"/>
    </row>
    <row r="451" ht="15.75" customHeight="1">
      <c r="P451" s="6"/>
      <c r="R451" s="6"/>
    </row>
    <row r="452" ht="15.75" customHeight="1">
      <c r="P452" s="6"/>
      <c r="R452" s="6"/>
    </row>
    <row r="453" ht="15.75" customHeight="1">
      <c r="P453" s="6"/>
      <c r="R453" s="6"/>
    </row>
    <row r="454" ht="15.75" customHeight="1">
      <c r="P454" s="6"/>
      <c r="R454" s="6"/>
    </row>
    <row r="455" ht="15.75" customHeight="1">
      <c r="P455" s="6"/>
      <c r="R455" s="6"/>
    </row>
    <row r="456" ht="15.75" customHeight="1">
      <c r="P456" s="6"/>
      <c r="R456" s="6"/>
    </row>
    <row r="457" ht="15.75" customHeight="1">
      <c r="P457" s="6"/>
      <c r="R457" s="6"/>
    </row>
    <row r="458" ht="15.75" customHeight="1">
      <c r="P458" s="6"/>
      <c r="R458" s="6"/>
    </row>
    <row r="459" ht="15.75" customHeight="1">
      <c r="P459" s="6"/>
      <c r="R459" s="6"/>
    </row>
    <row r="460" ht="15.75" customHeight="1">
      <c r="P460" s="6"/>
      <c r="R460" s="6"/>
    </row>
    <row r="461" ht="15.75" customHeight="1">
      <c r="P461" s="6"/>
      <c r="R461" s="6"/>
    </row>
    <row r="462" ht="15.75" customHeight="1">
      <c r="P462" s="6"/>
      <c r="R462" s="6"/>
    </row>
    <row r="463" ht="15.75" customHeight="1">
      <c r="P463" s="6"/>
      <c r="R463" s="6"/>
    </row>
    <row r="464" ht="15.75" customHeight="1">
      <c r="P464" s="6"/>
      <c r="R464" s="6"/>
    </row>
    <row r="465" ht="15.75" customHeight="1">
      <c r="P465" s="6"/>
      <c r="R465" s="6"/>
    </row>
    <row r="466" ht="15.75" customHeight="1">
      <c r="P466" s="6"/>
      <c r="R466" s="6"/>
    </row>
    <row r="467" ht="15.75" customHeight="1">
      <c r="P467" s="6"/>
      <c r="R467" s="6"/>
    </row>
    <row r="468" ht="15.75" customHeight="1">
      <c r="P468" s="6"/>
      <c r="R468" s="6"/>
    </row>
    <row r="469" ht="15.75" customHeight="1">
      <c r="P469" s="6"/>
      <c r="R469" s="6"/>
    </row>
    <row r="470" ht="15.75" customHeight="1">
      <c r="P470" s="6"/>
      <c r="R470" s="6"/>
    </row>
    <row r="471" ht="15.75" customHeight="1">
      <c r="P471" s="6"/>
      <c r="R471" s="6"/>
    </row>
    <row r="472" ht="15.75" customHeight="1">
      <c r="P472" s="6"/>
      <c r="R472" s="6"/>
    </row>
    <row r="473" ht="15.75" customHeight="1">
      <c r="P473" s="6"/>
      <c r="R473" s="6"/>
    </row>
    <row r="474" ht="15.75" customHeight="1">
      <c r="P474" s="6"/>
      <c r="R474" s="6"/>
    </row>
    <row r="475" ht="15.75" customHeight="1">
      <c r="P475" s="6"/>
      <c r="R475" s="6"/>
    </row>
    <row r="476" ht="15.75" customHeight="1">
      <c r="P476" s="6"/>
      <c r="R476" s="6"/>
    </row>
    <row r="477" ht="15.75" customHeight="1">
      <c r="P477" s="6"/>
      <c r="R477" s="6"/>
    </row>
    <row r="478" ht="15.75" customHeight="1">
      <c r="P478" s="6"/>
      <c r="R478" s="6"/>
    </row>
    <row r="479" ht="15.75" customHeight="1">
      <c r="P479" s="6"/>
      <c r="R479" s="6"/>
    </row>
    <row r="480" ht="15.75" customHeight="1">
      <c r="P480" s="6"/>
      <c r="R480" s="6"/>
    </row>
    <row r="481" ht="15.75" customHeight="1">
      <c r="P481" s="6"/>
      <c r="R481" s="6"/>
    </row>
    <row r="482" ht="15.75" customHeight="1">
      <c r="P482" s="6"/>
      <c r="R482" s="6"/>
    </row>
    <row r="483" ht="15.75" customHeight="1">
      <c r="P483" s="6"/>
      <c r="R483" s="6"/>
    </row>
    <row r="484" ht="15.75" customHeight="1">
      <c r="P484" s="6"/>
      <c r="R484" s="6"/>
    </row>
    <row r="485" ht="15.75" customHeight="1">
      <c r="P485" s="6"/>
      <c r="R485" s="6"/>
    </row>
    <row r="486" ht="15.75" customHeight="1">
      <c r="P486" s="6"/>
      <c r="R486" s="6"/>
    </row>
    <row r="487" ht="15.75" customHeight="1">
      <c r="P487" s="6"/>
      <c r="R487" s="6"/>
    </row>
    <row r="488" ht="15.75" customHeight="1">
      <c r="P488" s="6"/>
      <c r="R488" s="6"/>
    </row>
    <row r="489" ht="15.75" customHeight="1">
      <c r="P489" s="6"/>
      <c r="R489" s="6"/>
    </row>
    <row r="490" ht="15.75" customHeight="1">
      <c r="P490" s="6"/>
      <c r="R490" s="6"/>
    </row>
    <row r="491" ht="15.75" customHeight="1">
      <c r="P491" s="6"/>
      <c r="R491" s="6"/>
    </row>
    <row r="492" ht="15.75" customHeight="1">
      <c r="P492" s="6"/>
      <c r="R492" s="6"/>
    </row>
    <row r="493" ht="15.75" customHeight="1">
      <c r="P493" s="6"/>
      <c r="R493" s="6"/>
    </row>
    <row r="494" ht="15.75" customHeight="1">
      <c r="P494" s="6"/>
      <c r="R494" s="6"/>
    </row>
    <row r="495" ht="15.75" customHeight="1">
      <c r="P495" s="6"/>
      <c r="R495" s="6"/>
    </row>
    <row r="496" ht="15.75" customHeight="1">
      <c r="P496" s="6"/>
      <c r="R496" s="6"/>
    </row>
    <row r="497" ht="15.75" customHeight="1">
      <c r="P497" s="6"/>
      <c r="R497" s="6"/>
    </row>
    <row r="498" ht="15.75" customHeight="1">
      <c r="P498" s="6"/>
      <c r="R498" s="6"/>
    </row>
    <row r="499" ht="15.75" customHeight="1">
      <c r="P499" s="6"/>
      <c r="R499" s="6"/>
    </row>
    <row r="500" ht="15.75" customHeight="1">
      <c r="P500" s="6"/>
      <c r="R500" s="6"/>
    </row>
    <row r="501" ht="15.75" customHeight="1">
      <c r="P501" s="6"/>
      <c r="R501" s="6"/>
    </row>
    <row r="502" ht="15.75" customHeight="1">
      <c r="P502" s="6"/>
      <c r="R502" s="6"/>
    </row>
    <row r="503" ht="15.75" customHeight="1">
      <c r="P503" s="6"/>
      <c r="R503" s="6"/>
    </row>
    <row r="504" ht="15.75" customHeight="1">
      <c r="P504" s="6"/>
      <c r="R504" s="6"/>
    </row>
    <row r="505" ht="15.75" customHeight="1">
      <c r="P505" s="6"/>
      <c r="R505" s="6"/>
    </row>
    <row r="506" ht="15.75" customHeight="1">
      <c r="P506" s="6"/>
      <c r="R506" s="6"/>
    </row>
    <row r="507" ht="15.75" customHeight="1">
      <c r="P507" s="6"/>
      <c r="R507" s="6"/>
    </row>
    <row r="508" ht="15.75" customHeight="1">
      <c r="P508" s="6"/>
      <c r="R508" s="6"/>
    </row>
    <row r="509" ht="15.75" customHeight="1">
      <c r="P509" s="6"/>
      <c r="R509" s="6"/>
    </row>
    <row r="510" ht="15.75" customHeight="1">
      <c r="P510" s="6"/>
      <c r="R510" s="6"/>
    </row>
    <row r="511" ht="15.75" customHeight="1">
      <c r="P511" s="6"/>
      <c r="R511" s="6"/>
    </row>
    <row r="512" ht="15.75" customHeight="1">
      <c r="P512" s="6"/>
      <c r="R512" s="6"/>
    </row>
    <row r="513" ht="15.75" customHeight="1">
      <c r="P513" s="6"/>
      <c r="R513" s="6"/>
    </row>
    <row r="514" ht="15.75" customHeight="1">
      <c r="P514" s="6"/>
      <c r="R514" s="6"/>
    </row>
    <row r="515" ht="15.75" customHeight="1">
      <c r="P515" s="6"/>
      <c r="R515" s="6"/>
    </row>
    <row r="516" ht="15.75" customHeight="1">
      <c r="P516" s="6"/>
      <c r="R516" s="6"/>
    </row>
    <row r="517" ht="15.75" customHeight="1">
      <c r="P517" s="6"/>
      <c r="R517" s="6"/>
    </row>
    <row r="518" ht="15.75" customHeight="1">
      <c r="P518" s="6"/>
      <c r="R518" s="6"/>
    </row>
    <row r="519" ht="15.75" customHeight="1">
      <c r="P519" s="6"/>
      <c r="R519" s="6"/>
    </row>
    <row r="520" ht="15.75" customHeight="1">
      <c r="P520" s="6"/>
      <c r="R520" s="6"/>
    </row>
    <row r="521" ht="15.75" customHeight="1">
      <c r="P521" s="6"/>
      <c r="R521" s="6"/>
    </row>
    <row r="522" ht="15.75" customHeight="1">
      <c r="P522" s="6"/>
      <c r="R522" s="6"/>
    </row>
    <row r="523" ht="15.75" customHeight="1">
      <c r="P523" s="6"/>
      <c r="R523" s="6"/>
    </row>
    <row r="524" ht="15.75" customHeight="1">
      <c r="P524" s="6"/>
      <c r="R524" s="6"/>
    </row>
    <row r="525" ht="15.75" customHeight="1">
      <c r="P525" s="6"/>
      <c r="R525" s="6"/>
    </row>
    <row r="526" ht="15.75" customHeight="1">
      <c r="P526" s="6"/>
      <c r="R526" s="6"/>
    </row>
    <row r="527" ht="15.75" customHeight="1">
      <c r="P527" s="6"/>
      <c r="R527" s="6"/>
    </row>
    <row r="528" ht="15.75" customHeight="1">
      <c r="P528" s="6"/>
      <c r="R528" s="6"/>
    </row>
    <row r="529" ht="15.75" customHeight="1">
      <c r="P529" s="6"/>
      <c r="R529" s="6"/>
    </row>
    <row r="530" ht="15.75" customHeight="1">
      <c r="P530" s="6"/>
      <c r="R530" s="6"/>
    </row>
    <row r="531" ht="15.75" customHeight="1">
      <c r="P531" s="6"/>
      <c r="R531" s="6"/>
    </row>
    <row r="532" ht="15.75" customHeight="1">
      <c r="P532" s="6"/>
      <c r="R532" s="6"/>
    </row>
    <row r="533" ht="15.75" customHeight="1">
      <c r="P533" s="6"/>
      <c r="R533" s="6"/>
    </row>
    <row r="534" ht="15.75" customHeight="1">
      <c r="P534" s="6"/>
      <c r="R534" s="6"/>
    </row>
    <row r="535" ht="15.75" customHeight="1">
      <c r="P535" s="6"/>
      <c r="R535" s="6"/>
    </row>
    <row r="536" ht="15.75" customHeight="1">
      <c r="P536" s="6"/>
      <c r="R536" s="6"/>
    </row>
    <row r="537" ht="15.75" customHeight="1">
      <c r="P537" s="6"/>
      <c r="R537" s="6"/>
    </row>
    <row r="538" ht="15.75" customHeight="1">
      <c r="P538" s="6"/>
      <c r="R538" s="6"/>
    </row>
    <row r="539" ht="15.75" customHeight="1">
      <c r="P539" s="6"/>
      <c r="R539" s="6"/>
    </row>
    <row r="540" ht="15.75" customHeight="1">
      <c r="P540" s="6"/>
      <c r="R540" s="6"/>
    </row>
    <row r="541" ht="15.75" customHeight="1">
      <c r="P541" s="6"/>
      <c r="R541" s="6"/>
    </row>
    <row r="542" ht="15.75" customHeight="1">
      <c r="P542" s="6"/>
      <c r="R542" s="6"/>
    </row>
    <row r="543" ht="15.75" customHeight="1">
      <c r="P543" s="6"/>
      <c r="R543" s="6"/>
    </row>
    <row r="544" ht="15.75" customHeight="1">
      <c r="P544" s="6"/>
      <c r="R544" s="6"/>
    </row>
    <row r="545" ht="15.75" customHeight="1">
      <c r="P545" s="6"/>
      <c r="R545" s="6"/>
    </row>
    <row r="546" ht="15.75" customHeight="1">
      <c r="P546" s="6"/>
      <c r="R546" s="6"/>
    </row>
    <row r="547" ht="15.75" customHeight="1">
      <c r="P547" s="6"/>
      <c r="R547" s="6"/>
    </row>
    <row r="548" ht="15.75" customHeight="1">
      <c r="P548" s="6"/>
      <c r="R548" s="6"/>
    </row>
    <row r="549" ht="15.75" customHeight="1">
      <c r="P549" s="6"/>
      <c r="R549" s="6"/>
    </row>
    <row r="550" ht="15.75" customHeight="1">
      <c r="P550" s="6"/>
      <c r="R550" s="6"/>
    </row>
    <row r="551" ht="15.75" customHeight="1">
      <c r="P551" s="6"/>
      <c r="R551" s="6"/>
    </row>
    <row r="552" ht="15.75" customHeight="1">
      <c r="P552" s="6"/>
      <c r="R552" s="6"/>
    </row>
    <row r="553" ht="15.75" customHeight="1">
      <c r="P553" s="6"/>
      <c r="R553" s="6"/>
    </row>
    <row r="554" ht="15.75" customHeight="1">
      <c r="P554" s="6"/>
      <c r="R554" s="6"/>
    </row>
    <row r="555" ht="15.75" customHeight="1">
      <c r="P555" s="6"/>
      <c r="R555" s="6"/>
    </row>
    <row r="556" ht="15.75" customHeight="1">
      <c r="P556" s="6"/>
      <c r="R556" s="6"/>
    </row>
    <row r="557" ht="15.75" customHeight="1">
      <c r="P557" s="6"/>
      <c r="R557" s="6"/>
    </row>
    <row r="558" ht="15.75" customHeight="1">
      <c r="P558" s="6"/>
      <c r="R558" s="6"/>
    </row>
    <row r="559" ht="15.75" customHeight="1">
      <c r="P559" s="6"/>
      <c r="R559" s="6"/>
    </row>
    <row r="560" ht="15.75" customHeight="1">
      <c r="P560" s="6"/>
      <c r="R560" s="6"/>
    </row>
    <row r="561" ht="15.75" customHeight="1">
      <c r="P561" s="6"/>
      <c r="R561" s="6"/>
    </row>
    <row r="562" ht="15.75" customHeight="1">
      <c r="P562" s="6"/>
      <c r="R562" s="6"/>
    </row>
    <row r="563" ht="15.75" customHeight="1">
      <c r="P563" s="6"/>
      <c r="R563" s="6"/>
    </row>
    <row r="564" ht="15.75" customHeight="1">
      <c r="P564" s="6"/>
      <c r="R564" s="6"/>
    </row>
    <row r="565" ht="15.75" customHeight="1">
      <c r="P565" s="6"/>
      <c r="R565" s="6"/>
    </row>
    <row r="566" ht="15.75" customHeight="1">
      <c r="P566" s="6"/>
      <c r="R566" s="6"/>
    </row>
    <row r="567" ht="15.75" customHeight="1">
      <c r="P567" s="6"/>
      <c r="R567" s="6"/>
    </row>
    <row r="568" ht="15.75" customHeight="1">
      <c r="P568" s="6"/>
      <c r="R568" s="6"/>
    </row>
    <row r="569" ht="15.75" customHeight="1">
      <c r="P569" s="6"/>
      <c r="R569" s="6"/>
    </row>
    <row r="570" ht="15.75" customHeight="1">
      <c r="P570" s="6"/>
      <c r="R570" s="6"/>
    </row>
    <row r="571" ht="15.75" customHeight="1">
      <c r="P571" s="6"/>
      <c r="R571" s="6"/>
    </row>
    <row r="572" ht="15.75" customHeight="1">
      <c r="P572" s="6"/>
      <c r="R572" s="6"/>
    </row>
    <row r="573" ht="15.75" customHeight="1">
      <c r="P573" s="6"/>
      <c r="R573" s="6"/>
    </row>
    <row r="574" ht="15.75" customHeight="1">
      <c r="P574" s="6"/>
      <c r="R574" s="6"/>
    </row>
    <row r="575" ht="15.75" customHeight="1">
      <c r="P575" s="6"/>
      <c r="R575" s="6"/>
    </row>
    <row r="576" ht="15.75" customHeight="1">
      <c r="P576" s="6"/>
      <c r="R576" s="6"/>
    </row>
    <row r="577" ht="15.75" customHeight="1">
      <c r="P577" s="6"/>
      <c r="R577" s="6"/>
    </row>
    <row r="578" ht="15.75" customHeight="1">
      <c r="P578" s="6"/>
      <c r="R578" s="6"/>
    </row>
    <row r="579" ht="15.75" customHeight="1">
      <c r="P579" s="6"/>
      <c r="R579" s="6"/>
    </row>
    <row r="580" ht="15.75" customHeight="1">
      <c r="P580" s="6"/>
      <c r="R580" s="6"/>
    </row>
    <row r="581" ht="15.75" customHeight="1">
      <c r="P581" s="6"/>
      <c r="R581" s="6"/>
    </row>
    <row r="582" ht="15.75" customHeight="1">
      <c r="P582" s="6"/>
      <c r="R582" s="6"/>
    </row>
    <row r="583" ht="15.75" customHeight="1">
      <c r="P583" s="6"/>
      <c r="R583" s="6"/>
    </row>
    <row r="584" ht="15.75" customHeight="1">
      <c r="P584" s="6"/>
      <c r="R584" s="6"/>
    </row>
    <row r="585" ht="15.75" customHeight="1">
      <c r="P585" s="6"/>
      <c r="R585" s="6"/>
    </row>
    <row r="586" ht="15.75" customHeight="1">
      <c r="P586" s="6"/>
      <c r="R586" s="6"/>
    </row>
    <row r="587" ht="15.75" customHeight="1">
      <c r="P587" s="6"/>
      <c r="R587" s="6"/>
    </row>
    <row r="588" ht="15.75" customHeight="1">
      <c r="P588" s="6"/>
      <c r="R588" s="6"/>
    </row>
    <row r="589" ht="15.75" customHeight="1">
      <c r="P589" s="6"/>
      <c r="R589" s="6"/>
    </row>
    <row r="590" ht="15.75" customHeight="1">
      <c r="P590" s="6"/>
      <c r="R590" s="6"/>
    </row>
    <row r="591" ht="15.75" customHeight="1">
      <c r="P591" s="6"/>
      <c r="R591" s="6"/>
    </row>
    <row r="592" ht="15.75" customHeight="1">
      <c r="P592" s="6"/>
      <c r="R592" s="6"/>
    </row>
    <row r="593" ht="15.75" customHeight="1">
      <c r="P593" s="6"/>
      <c r="R593" s="6"/>
    </row>
    <row r="594" ht="15.75" customHeight="1">
      <c r="P594" s="6"/>
      <c r="R594" s="6"/>
    </row>
    <row r="595" ht="15.75" customHeight="1">
      <c r="P595" s="6"/>
      <c r="R595" s="6"/>
    </row>
    <row r="596" ht="15.75" customHeight="1">
      <c r="P596" s="6"/>
      <c r="R596" s="6"/>
    </row>
    <row r="597" ht="15.75" customHeight="1">
      <c r="P597" s="6"/>
      <c r="R597" s="6"/>
    </row>
    <row r="598" ht="15.75" customHeight="1">
      <c r="P598" s="6"/>
      <c r="R598" s="6"/>
    </row>
    <row r="599" ht="15.75" customHeight="1">
      <c r="P599" s="6"/>
      <c r="R599" s="6"/>
    </row>
    <row r="600" ht="15.75" customHeight="1">
      <c r="P600" s="6"/>
      <c r="R600" s="6"/>
    </row>
    <row r="601" ht="15.75" customHeight="1">
      <c r="P601" s="6"/>
      <c r="R601" s="6"/>
    </row>
    <row r="602" ht="15.75" customHeight="1">
      <c r="P602" s="6"/>
      <c r="R602" s="6"/>
    </row>
    <row r="603" ht="15.75" customHeight="1">
      <c r="P603" s="6"/>
      <c r="R603" s="6"/>
    </row>
    <row r="604" ht="15.75" customHeight="1">
      <c r="P604" s="6"/>
      <c r="R604" s="6"/>
    </row>
    <row r="605" ht="15.75" customHeight="1">
      <c r="P605" s="6"/>
      <c r="R605" s="6"/>
    </row>
    <row r="606" ht="15.75" customHeight="1">
      <c r="P606" s="6"/>
      <c r="R606" s="6"/>
    </row>
    <row r="607" ht="15.75" customHeight="1">
      <c r="P607" s="6"/>
      <c r="R607" s="6"/>
    </row>
    <row r="608" ht="15.75" customHeight="1">
      <c r="P608" s="6"/>
      <c r="R608" s="6"/>
    </row>
    <row r="609" ht="15.75" customHeight="1">
      <c r="P609" s="6"/>
      <c r="R609" s="6"/>
    </row>
    <row r="610" ht="15.75" customHeight="1">
      <c r="P610" s="6"/>
      <c r="R610" s="6"/>
    </row>
    <row r="611" ht="15.75" customHeight="1">
      <c r="P611" s="6"/>
      <c r="R611" s="6"/>
    </row>
    <row r="612" ht="15.75" customHeight="1">
      <c r="P612" s="6"/>
      <c r="R612" s="6"/>
    </row>
    <row r="613" ht="15.75" customHeight="1">
      <c r="P613" s="6"/>
      <c r="R613" s="6"/>
    </row>
    <row r="614" ht="15.75" customHeight="1">
      <c r="P614" s="6"/>
      <c r="R614" s="6"/>
    </row>
    <row r="615" ht="15.75" customHeight="1">
      <c r="P615" s="6"/>
      <c r="R615" s="6"/>
    </row>
    <row r="616" ht="15.75" customHeight="1">
      <c r="P616" s="6"/>
      <c r="R616" s="6"/>
    </row>
    <row r="617" ht="15.75" customHeight="1">
      <c r="P617" s="6"/>
      <c r="R617" s="6"/>
    </row>
    <row r="618" ht="15.75" customHeight="1">
      <c r="P618" s="6"/>
      <c r="R618" s="6"/>
    </row>
    <row r="619" ht="15.75" customHeight="1">
      <c r="P619" s="6"/>
      <c r="R619" s="6"/>
    </row>
    <row r="620" ht="15.75" customHeight="1">
      <c r="P620" s="6"/>
      <c r="R620" s="6"/>
    </row>
    <row r="621" ht="15.75" customHeight="1">
      <c r="P621" s="6"/>
      <c r="R621" s="6"/>
    </row>
    <row r="622" ht="15.75" customHeight="1">
      <c r="P622" s="6"/>
      <c r="R622" s="6"/>
    </row>
    <row r="623" ht="15.75" customHeight="1">
      <c r="P623" s="6"/>
      <c r="R623" s="6"/>
    </row>
    <row r="624" ht="15.75" customHeight="1">
      <c r="P624" s="6"/>
      <c r="R624" s="6"/>
    </row>
    <row r="625" ht="15.75" customHeight="1">
      <c r="P625" s="6"/>
      <c r="R625" s="6"/>
    </row>
    <row r="626" ht="15.75" customHeight="1">
      <c r="P626" s="6"/>
      <c r="R626" s="6"/>
    </row>
    <row r="627" ht="15.75" customHeight="1">
      <c r="P627" s="6"/>
      <c r="R627" s="6"/>
    </row>
    <row r="628" ht="15.75" customHeight="1">
      <c r="P628" s="6"/>
      <c r="R628" s="6"/>
    </row>
    <row r="629" ht="15.75" customHeight="1">
      <c r="P629" s="6"/>
      <c r="R629" s="6"/>
    </row>
    <row r="630" ht="15.75" customHeight="1">
      <c r="P630" s="6"/>
      <c r="R630" s="6"/>
    </row>
    <row r="631" ht="15.75" customHeight="1">
      <c r="P631" s="6"/>
      <c r="R631" s="6"/>
    </row>
    <row r="632" ht="15.75" customHeight="1">
      <c r="P632" s="6"/>
      <c r="R632" s="6"/>
    </row>
    <row r="633" ht="15.75" customHeight="1">
      <c r="P633" s="6"/>
      <c r="R633" s="6"/>
    </row>
    <row r="634" ht="15.75" customHeight="1">
      <c r="P634" s="6"/>
      <c r="R634" s="6"/>
    </row>
    <row r="635" ht="15.75" customHeight="1">
      <c r="P635" s="6"/>
      <c r="R635" s="6"/>
    </row>
    <row r="636" ht="15.75" customHeight="1">
      <c r="P636" s="6"/>
      <c r="R636" s="6"/>
    </row>
    <row r="637" ht="15.75" customHeight="1">
      <c r="P637" s="6"/>
      <c r="R637" s="6"/>
    </row>
    <row r="638" ht="15.75" customHeight="1">
      <c r="P638" s="6"/>
      <c r="R638" s="6"/>
    </row>
    <row r="639" ht="15.75" customHeight="1">
      <c r="P639" s="6"/>
      <c r="R639" s="6"/>
    </row>
    <row r="640" ht="15.75" customHeight="1">
      <c r="P640" s="6"/>
      <c r="R640" s="6"/>
    </row>
    <row r="641" ht="15.75" customHeight="1">
      <c r="P641" s="6"/>
      <c r="R641" s="6"/>
    </row>
    <row r="642" ht="15.75" customHeight="1">
      <c r="P642" s="6"/>
      <c r="R642" s="6"/>
    </row>
    <row r="643" ht="15.75" customHeight="1">
      <c r="P643" s="6"/>
      <c r="R643" s="6"/>
    </row>
    <row r="644" ht="15.75" customHeight="1">
      <c r="P644" s="6"/>
      <c r="R644" s="6"/>
    </row>
    <row r="645" ht="15.75" customHeight="1">
      <c r="P645" s="6"/>
      <c r="R645" s="6"/>
    </row>
    <row r="646" ht="15.75" customHeight="1">
      <c r="P646" s="6"/>
      <c r="R646" s="6"/>
    </row>
    <row r="647" ht="15.75" customHeight="1">
      <c r="P647" s="6"/>
      <c r="R647" s="6"/>
    </row>
    <row r="648" ht="15.75" customHeight="1">
      <c r="P648" s="6"/>
      <c r="R648" s="6"/>
    </row>
    <row r="649" ht="15.75" customHeight="1">
      <c r="P649" s="6"/>
      <c r="R649" s="6"/>
    </row>
    <row r="650" ht="15.75" customHeight="1">
      <c r="P650" s="6"/>
      <c r="R650" s="6"/>
    </row>
    <row r="651" ht="15.75" customHeight="1">
      <c r="P651" s="6"/>
      <c r="R651" s="6"/>
    </row>
    <row r="652" ht="15.75" customHeight="1">
      <c r="P652" s="6"/>
      <c r="R652" s="6"/>
    </row>
    <row r="653" ht="15.75" customHeight="1">
      <c r="P653" s="6"/>
      <c r="R653" s="6"/>
    </row>
    <row r="654" ht="15.75" customHeight="1">
      <c r="P654" s="6"/>
      <c r="R654" s="6"/>
    </row>
    <row r="655" ht="15.75" customHeight="1">
      <c r="P655" s="6"/>
      <c r="R655" s="6"/>
    </row>
    <row r="656" ht="15.75" customHeight="1">
      <c r="P656" s="6"/>
      <c r="R656" s="6"/>
    </row>
    <row r="657" ht="15.75" customHeight="1">
      <c r="P657" s="6"/>
      <c r="R657" s="6"/>
    </row>
    <row r="658" ht="15.75" customHeight="1">
      <c r="P658" s="6"/>
      <c r="R658" s="6"/>
    </row>
    <row r="659" ht="15.75" customHeight="1">
      <c r="P659" s="6"/>
      <c r="R659" s="6"/>
    </row>
    <row r="660" ht="15.75" customHeight="1">
      <c r="P660" s="6"/>
      <c r="R660" s="6"/>
    </row>
    <row r="661" ht="15.75" customHeight="1">
      <c r="P661" s="6"/>
      <c r="R661" s="6"/>
    </row>
    <row r="662" ht="15.75" customHeight="1">
      <c r="P662" s="6"/>
      <c r="R662" s="6"/>
    </row>
    <row r="663" ht="15.75" customHeight="1">
      <c r="P663" s="6"/>
      <c r="R663" s="6"/>
    </row>
    <row r="664" ht="15.75" customHeight="1">
      <c r="P664" s="6"/>
      <c r="R664" s="6"/>
    </row>
    <row r="665" ht="15.75" customHeight="1">
      <c r="P665" s="6"/>
      <c r="R665" s="6"/>
    </row>
    <row r="666" ht="15.75" customHeight="1">
      <c r="P666" s="6"/>
      <c r="R666" s="6"/>
    </row>
    <row r="667" ht="15.75" customHeight="1">
      <c r="P667" s="6"/>
      <c r="R667" s="6"/>
    </row>
    <row r="668" ht="15.75" customHeight="1">
      <c r="P668" s="6"/>
      <c r="R668" s="6"/>
    </row>
    <row r="669" ht="15.75" customHeight="1">
      <c r="P669" s="6"/>
      <c r="R669" s="6"/>
    </row>
    <row r="670" ht="15.75" customHeight="1">
      <c r="P670" s="6"/>
      <c r="R670" s="6"/>
    </row>
    <row r="671" ht="15.75" customHeight="1">
      <c r="P671" s="6"/>
      <c r="R671" s="6"/>
    </row>
    <row r="672" ht="15.75" customHeight="1">
      <c r="P672" s="6"/>
      <c r="R672" s="6"/>
    </row>
    <row r="673" ht="15.75" customHeight="1">
      <c r="P673" s="6"/>
      <c r="R673" s="6"/>
    </row>
    <row r="674" ht="15.75" customHeight="1">
      <c r="P674" s="6"/>
      <c r="R674" s="6"/>
    </row>
    <row r="675" ht="15.75" customHeight="1">
      <c r="P675" s="6"/>
      <c r="R675" s="6"/>
    </row>
    <row r="676" ht="15.75" customHeight="1">
      <c r="P676" s="6"/>
      <c r="R676" s="6"/>
    </row>
    <row r="677" ht="15.75" customHeight="1">
      <c r="P677" s="6"/>
      <c r="R677" s="6"/>
    </row>
    <row r="678" ht="15.75" customHeight="1">
      <c r="P678" s="6"/>
      <c r="R678" s="6"/>
    </row>
    <row r="679" ht="15.75" customHeight="1">
      <c r="P679" s="6"/>
      <c r="R679" s="6"/>
    </row>
    <row r="680" ht="15.75" customHeight="1">
      <c r="P680" s="6"/>
      <c r="R680" s="6"/>
    </row>
    <row r="681" ht="15.75" customHeight="1">
      <c r="P681" s="6"/>
      <c r="R681" s="6"/>
    </row>
    <row r="682" ht="15.75" customHeight="1">
      <c r="P682" s="6"/>
      <c r="R682" s="6"/>
    </row>
    <row r="683" ht="15.75" customHeight="1">
      <c r="P683" s="6"/>
      <c r="R683" s="6"/>
    </row>
    <row r="684" ht="15.75" customHeight="1">
      <c r="P684" s="6"/>
      <c r="R684" s="6"/>
    </row>
    <row r="685" ht="15.75" customHeight="1">
      <c r="P685" s="6"/>
      <c r="R685" s="6"/>
    </row>
    <row r="686" ht="15.75" customHeight="1">
      <c r="P686" s="6"/>
      <c r="R686" s="6"/>
    </row>
    <row r="687" ht="15.75" customHeight="1">
      <c r="P687" s="6"/>
      <c r="R687" s="6"/>
    </row>
    <row r="688" ht="15.75" customHeight="1">
      <c r="P688" s="6"/>
      <c r="R688" s="6"/>
    </row>
    <row r="689" ht="15.75" customHeight="1">
      <c r="P689" s="6"/>
      <c r="R689" s="6"/>
    </row>
    <row r="690" ht="15.75" customHeight="1">
      <c r="P690" s="6"/>
      <c r="R690" s="6"/>
    </row>
    <row r="691" ht="15.75" customHeight="1">
      <c r="P691" s="6"/>
      <c r="R691" s="6"/>
    </row>
    <row r="692" ht="15.75" customHeight="1">
      <c r="P692" s="6"/>
      <c r="R692" s="6"/>
    </row>
    <row r="693" ht="15.75" customHeight="1">
      <c r="P693" s="6"/>
      <c r="R693" s="6"/>
    </row>
    <row r="694" ht="15.75" customHeight="1">
      <c r="P694" s="6"/>
      <c r="R694" s="6"/>
    </row>
    <row r="695" ht="15.75" customHeight="1">
      <c r="P695" s="6"/>
      <c r="R695" s="6"/>
    </row>
    <row r="696" ht="15.75" customHeight="1">
      <c r="P696" s="6"/>
      <c r="R696" s="6"/>
    </row>
    <row r="697" ht="15.75" customHeight="1">
      <c r="P697" s="6"/>
      <c r="R697" s="6"/>
    </row>
    <row r="698" ht="15.75" customHeight="1">
      <c r="P698" s="6"/>
      <c r="R698" s="6"/>
    </row>
    <row r="699" ht="15.75" customHeight="1">
      <c r="P699" s="6"/>
      <c r="R699" s="6"/>
    </row>
    <row r="700" ht="15.75" customHeight="1">
      <c r="P700" s="6"/>
      <c r="R700" s="6"/>
    </row>
    <row r="701" ht="15.75" customHeight="1">
      <c r="P701" s="6"/>
      <c r="R701" s="6"/>
    </row>
    <row r="702" ht="15.75" customHeight="1">
      <c r="P702" s="6"/>
      <c r="R702" s="6"/>
    </row>
    <row r="703" ht="15.75" customHeight="1">
      <c r="P703" s="6"/>
      <c r="R703" s="6"/>
    </row>
    <row r="704" ht="15.75" customHeight="1">
      <c r="P704" s="6"/>
      <c r="R704" s="6"/>
    </row>
    <row r="705" ht="15.75" customHeight="1">
      <c r="P705" s="6"/>
      <c r="R705" s="6"/>
    </row>
    <row r="706" ht="15.75" customHeight="1">
      <c r="P706" s="6"/>
      <c r="R706" s="6"/>
    </row>
    <row r="707" ht="15.75" customHeight="1">
      <c r="P707" s="6"/>
      <c r="R707" s="6"/>
    </row>
    <row r="708" ht="15.75" customHeight="1">
      <c r="P708" s="6"/>
      <c r="R708" s="6"/>
    </row>
    <row r="709" ht="15.75" customHeight="1">
      <c r="P709" s="6"/>
      <c r="R709" s="6"/>
    </row>
    <row r="710" ht="15.75" customHeight="1">
      <c r="P710" s="6"/>
      <c r="R710" s="6"/>
    </row>
    <row r="711" ht="15.75" customHeight="1">
      <c r="P711" s="6"/>
      <c r="R711" s="6"/>
    </row>
    <row r="712" ht="15.75" customHeight="1">
      <c r="P712" s="6"/>
      <c r="R712" s="6"/>
    </row>
    <row r="713" ht="15.75" customHeight="1">
      <c r="P713" s="6"/>
      <c r="R713" s="6"/>
    </row>
    <row r="714" ht="15.75" customHeight="1">
      <c r="P714" s="6"/>
      <c r="R714" s="6"/>
    </row>
    <row r="715" ht="15.75" customHeight="1">
      <c r="P715" s="6"/>
      <c r="R715" s="6"/>
    </row>
    <row r="716" ht="15.75" customHeight="1">
      <c r="P716" s="6"/>
      <c r="R716" s="6"/>
    </row>
    <row r="717" ht="15.75" customHeight="1">
      <c r="P717" s="6"/>
      <c r="R717" s="6"/>
    </row>
    <row r="718" ht="15.75" customHeight="1">
      <c r="P718" s="6"/>
      <c r="R718" s="6"/>
    </row>
    <row r="719" ht="15.75" customHeight="1">
      <c r="P719" s="6"/>
      <c r="R719" s="6"/>
    </row>
    <row r="720" ht="15.75" customHeight="1">
      <c r="P720" s="6"/>
      <c r="R720" s="6"/>
    </row>
    <row r="721" ht="15.75" customHeight="1">
      <c r="P721" s="6"/>
      <c r="R721" s="6"/>
    </row>
    <row r="722" ht="15.75" customHeight="1">
      <c r="P722" s="6"/>
      <c r="R722" s="6"/>
    </row>
    <row r="723" ht="15.75" customHeight="1">
      <c r="P723" s="6"/>
      <c r="R723" s="6"/>
    </row>
    <row r="724" ht="15.75" customHeight="1">
      <c r="P724" s="6"/>
      <c r="R724" s="6"/>
    </row>
    <row r="725" ht="15.75" customHeight="1">
      <c r="P725" s="6"/>
      <c r="R725" s="6"/>
    </row>
    <row r="726" ht="15.75" customHeight="1">
      <c r="P726" s="6"/>
      <c r="R726" s="6"/>
    </row>
    <row r="727" ht="15.75" customHeight="1">
      <c r="P727" s="6"/>
      <c r="R727" s="6"/>
    </row>
    <row r="728" ht="15.75" customHeight="1">
      <c r="P728" s="6"/>
      <c r="R728" s="6"/>
    </row>
    <row r="729" ht="15.75" customHeight="1">
      <c r="P729" s="6"/>
      <c r="R729" s="6"/>
    </row>
    <row r="730" ht="15.75" customHeight="1">
      <c r="P730" s="6"/>
      <c r="R730" s="6"/>
    </row>
    <row r="731" ht="15.75" customHeight="1">
      <c r="P731" s="6"/>
      <c r="R731" s="6"/>
    </row>
    <row r="732" ht="15.75" customHeight="1">
      <c r="P732" s="6"/>
      <c r="R732" s="6"/>
    </row>
    <row r="733" ht="15.75" customHeight="1">
      <c r="P733" s="6"/>
      <c r="R733" s="6"/>
    </row>
    <row r="734" ht="15.75" customHeight="1">
      <c r="P734" s="6"/>
      <c r="R734" s="6"/>
    </row>
    <row r="735" ht="15.75" customHeight="1">
      <c r="P735" s="6"/>
      <c r="R735" s="6"/>
    </row>
    <row r="736" ht="15.75" customHeight="1">
      <c r="P736" s="6"/>
      <c r="R736" s="6"/>
    </row>
    <row r="737" ht="15.75" customHeight="1">
      <c r="P737" s="6"/>
      <c r="R737" s="6"/>
    </row>
    <row r="738" ht="15.75" customHeight="1">
      <c r="P738" s="6"/>
      <c r="R738" s="6"/>
    </row>
    <row r="739" ht="15.75" customHeight="1">
      <c r="P739" s="6"/>
      <c r="R739" s="6"/>
    </row>
    <row r="740" ht="15.75" customHeight="1">
      <c r="P740" s="6"/>
      <c r="R740" s="6"/>
    </row>
    <row r="741" ht="15.75" customHeight="1">
      <c r="P741" s="6"/>
      <c r="R741" s="6"/>
    </row>
    <row r="742" ht="15.75" customHeight="1">
      <c r="P742" s="6"/>
      <c r="R742" s="6"/>
    </row>
    <row r="743" ht="15.75" customHeight="1">
      <c r="P743" s="6"/>
      <c r="R743" s="6"/>
    </row>
    <row r="744" ht="15.75" customHeight="1">
      <c r="P744" s="6"/>
      <c r="R744" s="6"/>
    </row>
    <row r="745" ht="15.75" customHeight="1">
      <c r="P745" s="6"/>
      <c r="R745" s="6"/>
    </row>
    <row r="746" ht="15.75" customHeight="1">
      <c r="P746" s="6"/>
      <c r="R746" s="6"/>
    </row>
    <row r="747" ht="15.75" customHeight="1">
      <c r="P747" s="6"/>
      <c r="R747" s="6"/>
    </row>
    <row r="748" ht="15.75" customHeight="1">
      <c r="P748" s="6"/>
      <c r="R748" s="6"/>
    </row>
    <row r="749" ht="15.75" customHeight="1">
      <c r="P749" s="6"/>
      <c r="R749" s="6"/>
    </row>
    <row r="750" ht="15.75" customHeight="1">
      <c r="P750" s="6"/>
      <c r="R750" s="6"/>
    </row>
    <row r="751" ht="15.75" customHeight="1">
      <c r="P751" s="6"/>
      <c r="R751" s="6"/>
    </row>
    <row r="752" ht="15.75" customHeight="1">
      <c r="P752" s="6"/>
      <c r="R752" s="6"/>
    </row>
    <row r="753" ht="15.75" customHeight="1">
      <c r="P753" s="6"/>
      <c r="R753" s="6"/>
    </row>
    <row r="754" ht="15.75" customHeight="1">
      <c r="P754" s="6"/>
      <c r="R754" s="6"/>
    </row>
    <row r="755" ht="15.75" customHeight="1">
      <c r="P755" s="6"/>
      <c r="R755" s="6"/>
    </row>
    <row r="756" ht="15.75" customHeight="1">
      <c r="P756" s="6"/>
      <c r="R756" s="6"/>
    </row>
    <row r="757" ht="15.75" customHeight="1">
      <c r="P757" s="6"/>
      <c r="R757" s="6"/>
    </row>
    <row r="758" ht="15.75" customHeight="1">
      <c r="P758" s="6"/>
      <c r="R758" s="6"/>
    </row>
    <row r="759" ht="15.75" customHeight="1">
      <c r="P759" s="6"/>
      <c r="R759" s="6"/>
    </row>
    <row r="760" ht="15.75" customHeight="1">
      <c r="P760" s="6"/>
      <c r="R760" s="6"/>
    </row>
    <row r="761" ht="15.75" customHeight="1">
      <c r="P761" s="6"/>
      <c r="R761" s="6"/>
    </row>
    <row r="762" ht="15.75" customHeight="1">
      <c r="P762" s="6"/>
      <c r="R762" s="6"/>
    </row>
    <row r="763" ht="15.75" customHeight="1">
      <c r="P763" s="6"/>
      <c r="R763" s="6"/>
    </row>
    <row r="764" ht="15.75" customHeight="1">
      <c r="P764" s="6"/>
      <c r="R764" s="6"/>
    </row>
    <row r="765" ht="15.75" customHeight="1">
      <c r="P765" s="6"/>
      <c r="R765" s="6"/>
    </row>
    <row r="766" ht="15.75" customHeight="1">
      <c r="P766" s="6"/>
      <c r="R766" s="6"/>
    </row>
    <row r="767" ht="15.75" customHeight="1">
      <c r="P767" s="6"/>
      <c r="R767" s="6"/>
    </row>
    <row r="768" ht="15.75" customHeight="1">
      <c r="P768" s="6"/>
      <c r="R768" s="6"/>
    </row>
    <row r="769" ht="15.75" customHeight="1">
      <c r="P769" s="6"/>
      <c r="R769" s="6"/>
    </row>
    <row r="770" ht="15.75" customHeight="1">
      <c r="P770" s="6"/>
      <c r="R770" s="6"/>
    </row>
    <row r="771" ht="15.75" customHeight="1">
      <c r="P771" s="6"/>
      <c r="R771" s="6"/>
    </row>
    <row r="772" ht="15.75" customHeight="1">
      <c r="P772" s="6"/>
      <c r="R772" s="6"/>
    </row>
    <row r="773" ht="15.75" customHeight="1">
      <c r="P773" s="6"/>
      <c r="R773" s="6"/>
    </row>
    <row r="774" ht="15.75" customHeight="1">
      <c r="P774" s="6"/>
      <c r="R774" s="6"/>
    </row>
    <row r="775" ht="15.75" customHeight="1">
      <c r="P775" s="6"/>
      <c r="R775" s="6"/>
    </row>
    <row r="776" ht="15.75" customHeight="1">
      <c r="P776" s="6"/>
      <c r="R776" s="6"/>
    </row>
    <row r="777" ht="15.75" customHeight="1">
      <c r="P777" s="6"/>
      <c r="R777" s="6"/>
    </row>
    <row r="778" ht="15.75" customHeight="1">
      <c r="P778" s="6"/>
      <c r="R778" s="6"/>
    </row>
    <row r="779" ht="15.75" customHeight="1">
      <c r="P779" s="6"/>
      <c r="R779" s="6"/>
    </row>
    <row r="780" ht="15.75" customHeight="1">
      <c r="P780" s="6"/>
      <c r="R780" s="6"/>
    </row>
    <row r="781" ht="15.75" customHeight="1">
      <c r="P781" s="6"/>
      <c r="R781" s="6"/>
    </row>
    <row r="782" ht="15.75" customHeight="1">
      <c r="P782" s="6"/>
      <c r="R782" s="6"/>
    </row>
    <row r="783" ht="15.75" customHeight="1">
      <c r="P783" s="6"/>
      <c r="R783" s="6"/>
    </row>
    <row r="784" ht="15.75" customHeight="1">
      <c r="P784" s="6"/>
      <c r="R784" s="6"/>
    </row>
    <row r="785" ht="15.75" customHeight="1">
      <c r="P785" s="6"/>
      <c r="R785" s="6"/>
    </row>
    <row r="786" ht="15.75" customHeight="1">
      <c r="P786" s="6"/>
      <c r="R786" s="6"/>
    </row>
    <row r="787" ht="15.75" customHeight="1">
      <c r="P787" s="6"/>
      <c r="R787" s="6"/>
    </row>
    <row r="788" ht="15.75" customHeight="1">
      <c r="P788" s="6"/>
      <c r="R788" s="6"/>
    </row>
    <row r="789" ht="15.75" customHeight="1">
      <c r="P789" s="6"/>
      <c r="R789" s="6"/>
    </row>
    <row r="790" ht="15.75" customHeight="1">
      <c r="P790" s="6"/>
      <c r="R790" s="6"/>
    </row>
    <row r="791" ht="15.75" customHeight="1">
      <c r="P791" s="6"/>
      <c r="R791" s="6"/>
    </row>
    <row r="792" ht="15.75" customHeight="1">
      <c r="P792" s="6"/>
      <c r="R792" s="6"/>
    </row>
    <row r="793" ht="15.75" customHeight="1">
      <c r="P793" s="6"/>
      <c r="R793" s="6"/>
    </row>
    <row r="794" ht="15.75" customHeight="1">
      <c r="P794" s="6"/>
      <c r="R794" s="6"/>
    </row>
    <row r="795" ht="15.75" customHeight="1">
      <c r="P795" s="6"/>
      <c r="R795" s="6"/>
    </row>
    <row r="796" ht="15.75" customHeight="1">
      <c r="P796" s="6"/>
      <c r="R796" s="6"/>
    </row>
    <row r="797" ht="15.75" customHeight="1">
      <c r="P797" s="6"/>
      <c r="R797" s="6"/>
    </row>
    <row r="798" ht="15.75" customHeight="1">
      <c r="P798" s="6"/>
      <c r="R798" s="6"/>
    </row>
    <row r="799" ht="15.75" customHeight="1">
      <c r="P799" s="6"/>
      <c r="R799" s="6"/>
    </row>
    <row r="800" ht="15.75" customHeight="1">
      <c r="P800" s="6"/>
      <c r="R800" s="6"/>
    </row>
    <row r="801" ht="15.75" customHeight="1">
      <c r="P801" s="6"/>
      <c r="R801" s="6"/>
    </row>
    <row r="802" ht="15.75" customHeight="1">
      <c r="P802" s="6"/>
      <c r="R802" s="6"/>
    </row>
    <row r="803" ht="15.75" customHeight="1">
      <c r="P803" s="6"/>
      <c r="R803" s="6"/>
    </row>
    <row r="804" ht="15.75" customHeight="1">
      <c r="P804" s="6"/>
      <c r="R804" s="6"/>
    </row>
    <row r="805" ht="15.75" customHeight="1">
      <c r="P805" s="6"/>
      <c r="R805" s="6"/>
    </row>
    <row r="806" ht="15.75" customHeight="1">
      <c r="P806" s="6"/>
      <c r="R806" s="6"/>
    </row>
    <row r="807" ht="15.75" customHeight="1">
      <c r="P807" s="6"/>
      <c r="R807" s="6"/>
    </row>
    <row r="808" ht="15.75" customHeight="1">
      <c r="P808" s="6"/>
      <c r="R808" s="6"/>
    </row>
    <row r="809" ht="15.75" customHeight="1">
      <c r="P809" s="6"/>
      <c r="R809" s="6"/>
    </row>
    <row r="810" ht="15.75" customHeight="1">
      <c r="P810" s="6"/>
      <c r="R810" s="6"/>
    </row>
    <row r="811" ht="15.75" customHeight="1">
      <c r="P811" s="6"/>
      <c r="R811" s="6"/>
    </row>
    <row r="812" ht="15.75" customHeight="1">
      <c r="P812" s="6"/>
      <c r="R812" s="6"/>
    </row>
    <row r="813" ht="15.75" customHeight="1">
      <c r="P813" s="6"/>
      <c r="R813" s="6"/>
    </row>
    <row r="814" ht="15.75" customHeight="1">
      <c r="P814" s="6"/>
      <c r="R814" s="6"/>
    </row>
    <row r="815" ht="15.75" customHeight="1">
      <c r="P815" s="6"/>
      <c r="R815" s="6"/>
    </row>
    <row r="816" ht="15.75" customHeight="1">
      <c r="P816" s="6"/>
      <c r="R816" s="6"/>
    </row>
    <row r="817" ht="15.75" customHeight="1">
      <c r="P817" s="6"/>
      <c r="R817" s="6"/>
    </row>
    <row r="818" ht="15.75" customHeight="1">
      <c r="P818" s="6"/>
      <c r="R818" s="6"/>
    </row>
    <row r="819" ht="15.75" customHeight="1">
      <c r="P819" s="6"/>
      <c r="R819" s="6"/>
    </row>
    <row r="820" ht="15.75" customHeight="1">
      <c r="P820" s="6"/>
      <c r="R820" s="6"/>
    </row>
    <row r="821" ht="15.75" customHeight="1">
      <c r="P821" s="6"/>
      <c r="R821" s="6"/>
    </row>
    <row r="822" ht="15.75" customHeight="1">
      <c r="P822" s="6"/>
      <c r="R822" s="6"/>
    </row>
    <row r="823" ht="15.75" customHeight="1">
      <c r="P823" s="6"/>
      <c r="R823" s="6"/>
    </row>
    <row r="824" ht="15.75" customHeight="1">
      <c r="P824" s="6"/>
      <c r="R824" s="6"/>
    </row>
    <row r="825" ht="15.75" customHeight="1">
      <c r="P825" s="6"/>
      <c r="R825" s="6"/>
    </row>
    <row r="826" ht="15.75" customHeight="1">
      <c r="P826" s="6"/>
      <c r="R826" s="6"/>
    </row>
    <row r="827" ht="15.75" customHeight="1">
      <c r="P827" s="6"/>
      <c r="R827" s="6"/>
    </row>
    <row r="828" ht="15.75" customHeight="1">
      <c r="P828" s="6"/>
      <c r="R828" s="6"/>
    </row>
    <row r="829" ht="15.75" customHeight="1">
      <c r="P829" s="6"/>
      <c r="R829" s="6"/>
    </row>
    <row r="830" ht="15.75" customHeight="1">
      <c r="P830" s="6"/>
      <c r="R830" s="6"/>
    </row>
    <row r="831" ht="15.75" customHeight="1">
      <c r="P831" s="6"/>
      <c r="R831" s="6"/>
    </row>
    <row r="832" ht="15.75" customHeight="1">
      <c r="P832" s="6"/>
      <c r="R832" s="6"/>
    </row>
    <row r="833" ht="15.75" customHeight="1">
      <c r="P833" s="6"/>
      <c r="R833" s="6"/>
    </row>
    <row r="834" ht="15.75" customHeight="1">
      <c r="P834" s="6"/>
      <c r="R834" s="6"/>
    </row>
    <row r="835" ht="15.75" customHeight="1">
      <c r="P835" s="6"/>
      <c r="R835" s="6"/>
    </row>
    <row r="836" ht="15.75" customHeight="1">
      <c r="P836" s="6"/>
      <c r="R836" s="6"/>
    </row>
    <row r="837" ht="15.75" customHeight="1">
      <c r="P837" s="6"/>
      <c r="R837" s="6"/>
    </row>
    <row r="838" ht="15.75" customHeight="1">
      <c r="P838" s="6"/>
      <c r="R838" s="6"/>
    </row>
    <row r="839" ht="15.75" customHeight="1">
      <c r="P839" s="6"/>
      <c r="R839" s="6"/>
    </row>
    <row r="840" ht="15.75" customHeight="1">
      <c r="P840" s="6"/>
      <c r="R840" s="6"/>
    </row>
    <row r="841" ht="15.75" customHeight="1">
      <c r="P841" s="6"/>
      <c r="R841" s="6"/>
    </row>
    <row r="842" ht="15.75" customHeight="1">
      <c r="P842" s="6"/>
      <c r="R842" s="6"/>
    </row>
    <row r="843" ht="15.75" customHeight="1">
      <c r="P843" s="6"/>
      <c r="R843" s="6"/>
    </row>
    <row r="844" ht="15.75" customHeight="1">
      <c r="P844" s="6"/>
      <c r="R844" s="6"/>
    </row>
    <row r="845" ht="15.75" customHeight="1">
      <c r="P845" s="6"/>
      <c r="R845" s="6"/>
    </row>
    <row r="846" ht="15.75" customHeight="1">
      <c r="P846" s="6"/>
      <c r="R846" s="6"/>
    </row>
    <row r="847" ht="15.75" customHeight="1">
      <c r="P847" s="6"/>
      <c r="R847" s="6"/>
    </row>
    <row r="848" ht="15.75" customHeight="1">
      <c r="P848" s="6"/>
      <c r="R848" s="6"/>
    </row>
    <row r="849" ht="15.75" customHeight="1">
      <c r="P849" s="6"/>
      <c r="R849" s="6"/>
    </row>
    <row r="850" ht="15.75" customHeight="1">
      <c r="P850" s="6"/>
      <c r="R850" s="6"/>
    </row>
    <row r="851" ht="15.75" customHeight="1">
      <c r="P851" s="6"/>
      <c r="R851" s="6"/>
    </row>
    <row r="852" ht="15.75" customHeight="1">
      <c r="P852" s="6"/>
      <c r="R852" s="6"/>
    </row>
    <row r="853" ht="15.75" customHeight="1">
      <c r="P853" s="6"/>
      <c r="R853" s="6"/>
    </row>
    <row r="854" ht="15.75" customHeight="1">
      <c r="P854" s="6"/>
      <c r="R854" s="6"/>
    </row>
    <row r="855" ht="15.75" customHeight="1">
      <c r="P855" s="6"/>
      <c r="R855" s="6"/>
    </row>
    <row r="856" ht="15.75" customHeight="1">
      <c r="P856" s="6"/>
      <c r="R856" s="6"/>
    </row>
    <row r="857" ht="15.75" customHeight="1">
      <c r="P857" s="6"/>
      <c r="R857" s="6"/>
    </row>
    <row r="858" ht="15.75" customHeight="1">
      <c r="P858" s="6"/>
      <c r="R858" s="6"/>
    </row>
    <row r="859" ht="15.75" customHeight="1">
      <c r="P859" s="6"/>
      <c r="R859" s="6"/>
    </row>
    <row r="860" ht="15.75" customHeight="1">
      <c r="P860" s="6"/>
      <c r="R860" s="6"/>
    </row>
    <row r="861" ht="15.75" customHeight="1">
      <c r="P861" s="6"/>
      <c r="R861" s="6"/>
    </row>
    <row r="862" ht="15.75" customHeight="1">
      <c r="P862" s="6"/>
      <c r="R862" s="6"/>
    </row>
    <row r="863" ht="15.75" customHeight="1">
      <c r="P863" s="6"/>
      <c r="R863" s="6"/>
    </row>
    <row r="864" ht="15.75" customHeight="1">
      <c r="P864" s="6"/>
      <c r="R864" s="6"/>
    </row>
    <row r="865" ht="15.75" customHeight="1">
      <c r="P865" s="6"/>
      <c r="R865" s="6"/>
    </row>
    <row r="866" ht="15.75" customHeight="1">
      <c r="P866" s="6"/>
      <c r="R866" s="6"/>
    </row>
    <row r="867" ht="15.75" customHeight="1">
      <c r="P867" s="6"/>
      <c r="R867" s="6"/>
    </row>
    <row r="868" ht="15.75" customHeight="1">
      <c r="P868" s="6"/>
      <c r="R868" s="6"/>
    </row>
    <row r="869" ht="15.75" customHeight="1">
      <c r="P869" s="6"/>
      <c r="R869" s="6"/>
    </row>
    <row r="870" ht="15.75" customHeight="1">
      <c r="P870" s="6"/>
      <c r="R870" s="6"/>
    </row>
    <row r="871" ht="15.75" customHeight="1">
      <c r="P871" s="6"/>
      <c r="R871" s="6"/>
    </row>
    <row r="872" ht="15.75" customHeight="1">
      <c r="P872" s="6"/>
      <c r="R872" s="6"/>
    </row>
    <row r="873" ht="15.75" customHeight="1">
      <c r="P873" s="6"/>
      <c r="R873" s="6"/>
    </row>
    <row r="874" ht="15.75" customHeight="1">
      <c r="P874" s="6"/>
      <c r="R874" s="6"/>
    </row>
    <row r="875" ht="15.75" customHeight="1">
      <c r="P875" s="6"/>
      <c r="R875" s="6"/>
    </row>
    <row r="876" ht="15.75" customHeight="1">
      <c r="P876" s="6"/>
      <c r="R876" s="6"/>
    </row>
    <row r="877" ht="15.75" customHeight="1">
      <c r="P877" s="6"/>
      <c r="R877" s="6"/>
    </row>
    <row r="878" ht="15.75" customHeight="1">
      <c r="P878" s="6"/>
      <c r="R878" s="6"/>
    </row>
    <row r="879" ht="15.75" customHeight="1">
      <c r="P879" s="6"/>
      <c r="R879" s="6"/>
    </row>
    <row r="880" ht="15.75" customHeight="1">
      <c r="P880" s="6"/>
      <c r="R880" s="6"/>
    </row>
    <row r="881" ht="15.75" customHeight="1">
      <c r="P881" s="6"/>
      <c r="R881" s="6"/>
    </row>
    <row r="882" ht="15.75" customHeight="1">
      <c r="P882" s="6"/>
      <c r="R882" s="6"/>
    </row>
    <row r="883" ht="15.75" customHeight="1">
      <c r="P883" s="6"/>
      <c r="R883" s="6"/>
    </row>
    <row r="884" ht="15.75" customHeight="1">
      <c r="P884" s="6"/>
      <c r="R884" s="6"/>
    </row>
    <row r="885" ht="15.75" customHeight="1">
      <c r="P885" s="6"/>
      <c r="R885" s="6"/>
    </row>
    <row r="886" ht="15.75" customHeight="1">
      <c r="P886" s="6"/>
      <c r="R886" s="6"/>
    </row>
    <row r="887" ht="15.75" customHeight="1">
      <c r="P887" s="6"/>
      <c r="R887" s="6"/>
    </row>
    <row r="888" ht="15.75" customHeight="1">
      <c r="P888" s="6"/>
      <c r="R888" s="6"/>
    </row>
    <row r="889" ht="15.75" customHeight="1">
      <c r="P889" s="6"/>
      <c r="R889" s="6"/>
    </row>
    <row r="890" ht="15.75" customHeight="1">
      <c r="P890" s="6"/>
      <c r="R890" s="6"/>
    </row>
    <row r="891" ht="15.75" customHeight="1">
      <c r="P891" s="6"/>
      <c r="R891" s="6"/>
    </row>
    <row r="892" ht="15.75" customHeight="1">
      <c r="P892" s="6"/>
      <c r="R892" s="6"/>
    </row>
    <row r="893" ht="15.75" customHeight="1">
      <c r="P893" s="6"/>
      <c r="R893" s="6"/>
    </row>
    <row r="894" ht="15.75" customHeight="1">
      <c r="P894" s="6"/>
      <c r="R894" s="6"/>
    </row>
    <row r="895" ht="15.75" customHeight="1">
      <c r="P895" s="6"/>
      <c r="R895" s="6"/>
    </row>
    <row r="896" ht="15.75" customHeight="1">
      <c r="P896" s="6"/>
      <c r="R896" s="6"/>
    </row>
    <row r="897" ht="15.75" customHeight="1">
      <c r="P897" s="6"/>
      <c r="R897" s="6"/>
    </row>
    <row r="898" ht="15.75" customHeight="1">
      <c r="P898" s="6"/>
      <c r="R898" s="6"/>
    </row>
    <row r="899" ht="15.75" customHeight="1">
      <c r="P899" s="6"/>
      <c r="R899" s="6"/>
    </row>
    <row r="900" ht="15.75" customHeight="1">
      <c r="P900" s="6"/>
      <c r="R900" s="6"/>
    </row>
    <row r="901" ht="15.75" customHeight="1">
      <c r="P901" s="6"/>
      <c r="R901" s="6"/>
    </row>
    <row r="902" ht="15.75" customHeight="1">
      <c r="P902" s="6"/>
      <c r="R902" s="6"/>
    </row>
    <row r="903" ht="15.75" customHeight="1">
      <c r="P903" s="6"/>
      <c r="R903" s="6"/>
    </row>
    <row r="904" ht="15.75" customHeight="1">
      <c r="P904" s="6"/>
      <c r="R904" s="6"/>
    </row>
    <row r="905" ht="15.75" customHeight="1">
      <c r="P905" s="6"/>
      <c r="R905" s="6"/>
    </row>
    <row r="906" ht="15.75" customHeight="1">
      <c r="P906" s="6"/>
      <c r="R906" s="6"/>
    </row>
    <row r="907" ht="15.75" customHeight="1">
      <c r="P907" s="6"/>
      <c r="R907" s="6"/>
    </row>
    <row r="908" ht="15.75" customHeight="1">
      <c r="P908" s="6"/>
      <c r="R908" s="6"/>
    </row>
    <row r="909" ht="15.75" customHeight="1">
      <c r="P909" s="6"/>
      <c r="R909" s="6"/>
    </row>
    <row r="910" ht="15.75" customHeight="1">
      <c r="P910" s="6"/>
      <c r="R910" s="6"/>
    </row>
    <row r="911" ht="15.75" customHeight="1">
      <c r="P911" s="6"/>
      <c r="R911" s="6"/>
    </row>
    <row r="912" ht="15.75" customHeight="1">
      <c r="P912" s="6"/>
      <c r="R912" s="6"/>
    </row>
    <row r="913" ht="15.75" customHeight="1">
      <c r="P913" s="6"/>
      <c r="R913" s="6"/>
    </row>
    <row r="914" ht="15.75" customHeight="1">
      <c r="P914" s="6"/>
      <c r="R914" s="6"/>
    </row>
    <row r="915" ht="15.75" customHeight="1">
      <c r="P915" s="6"/>
      <c r="R915" s="6"/>
    </row>
    <row r="916" ht="15.75" customHeight="1">
      <c r="P916" s="6"/>
      <c r="R916" s="6"/>
    </row>
    <row r="917" ht="15.75" customHeight="1">
      <c r="P917" s="6"/>
      <c r="R917" s="6"/>
    </row>
    <row r="918" ht="15.75" customHeight="1">
      <c r="P918" s="6"/>
      <c r="R918" s="6"/>
    </row>
    <row r="919" ht="15.75" customHeight="1">
      <c r="P919" s="6"/>
      <c r="R919" s="6"/>
    </row>
    <row r="920" ht="15.75" customHeight="1">
      <c r="P920" s="6"/>
      <c r="R920" s="6"/>
    </row>
    <row r="921" ht="15.75" customHeight="1">
      <c r="P921" s="6"/>
      <c r="R921" s="6"/>
    </row>
    <row r="922" ht="15.75" customHeight="1">
      <c r="P922" s="6"/>
      <c r="R922" s="6"/>
    </row>
    <row r="923" ht="15.75" customHeight="1">
      <c r="P923" s="6"/>
      <c r="R923" s="6"/>
    </row>
    <row r="924" ht="15.75" customHeight="1">
      <c r="P924" s="6"/>
      <c r="R924" s="6"/>
    </row>
    <row r="925" ht="15.75" customHeight="1">
      <c r="P925" s="6"/>
      <c r="R925" s="6"/>
    </row>
    <row r="926" ht="15.75" customHeight="1">
      <c r="P926" s="6"/>
      <c r="R926" s="6"/>
    </row>
    <row r="927" ht="15.75" customHeight="1">
      <c r="P927" s="6"/>
      <c r="R927" s="6"/>
    </row>
    <row r="928" ht="15.75" customHeight="1">
      <c r="P928" s="6"/>
      <c r="R928" s="6"/>
    </row>
    <row r="929" ht="15.75" customHeight="1">
      <c r="P929" s="6"/>
      <c r="R929" s="6"/>
    </row>
    <row r="930" ht="15.75" customHeight="1">
      <c r="P930" s="6"/>
      <c r="R930" s="6"/>
    </row>
    <row r="931" ht="15.75" customHeight="1">
      <c r="P931" s="6"/>
      <c r="R931" s="6"/>
    </row>
    <row r="932" ht="15.75" customHeight="1">
      <c r="P932" s="6"/>
      <c r="R932" s="6"/>
    </row>
    <row r="933" ht="15.75" customHeight="1">
      <c r="P933" s="6"/>
      <c r="R933" s="6"/>
    </row>
    <row r="934" ht="15.75" customHeight="1">
      <c r="P934" s="6"/>
      <c r="R934" s="6"/>
    </row>
    <row r="935" ht="15.75" customHeight="1">
      <c r="P935" s="6"/>
      <c r="R935" s="6"/>
    </row>
    <row r="936" ht="15.75" customHeight="1">
      <c r="P936" s="6"/>
      <c r="R936" s="6"/>
    </row>
    <row r="937" ht="15.75" customHeight="1">
      <c r="P937" s="6"/>
      <c r="R937" s="6"/>
    </row>
    <row r="938" ht="15.75" customHeight="1">
      <c r="P938" s="6"/>
      <c r="R938" s="6"/>
    </row>
    <row r="939" ht="15.75" customHeight="1">
      <c r="P939" s="6"/>
      <c r="R939" s="6"/>
    </row>
    <row r="940" ht="15.75" customHeight="1">
      <c r="P940" s="6"/>
      <c r="R940" s="6"/>
    </row>
    <row r="941" ht="15.75" customHeight="1">
      <c r="P941" s="6"/>
      <c r="R941" s="6"/>
    </row>
    <row r="942" ht="15.75" customHeight="1">
      <c r="P942" s="6"/>
      <c r="R942" s="6"/>
    </row>
    <row r="943" ht="15.75" customHeight="1">
      <c r="P943" s="6"/>
      <c r="R943" s="6"/>
    </row>
    <row r="944" ht="15.75" customHeight="1">
      <c r="P944" s="6"/>
      <c r="R944" s="6"/>
    </row>
    <row r="945" ht="15.75" customHeight="1">
      <c r="P945" s="6"/>
      <c r="R945" s="6"/>
    </row>
    <row r="946" ht="15.75" customHeight="1">
      <c r="P946" s="6"/>
      <c r="R946" s="6"/>
    </row>
    <row r="947" ht="15.75" customHeight="1">
      <c r="P947" s="6"/>
      <c r="R947" s="6"/>
    </row>
    <row r="948" ht="15.75" customHeight="1">
      <c r="P948" s="6"/>
      <c r="R948" s="6"/>
    </row>
    <row r="949" ht="15.75" customHeight="1">
      <c r="P949" s="6"/>
      <c r="R949" s="6"/>
    </row>
    <row r="950" ht="15.75" customHeight="1">
      <c r="P950" s="6"/>
      <c r="R950" s="6"/>
    </row>
    <row r="951" ht="15.75" customHeight="1">
      <c r="P951" s="6"/>
      <c r="R951" s="6"/>
    </row>
    <row r="952" ht="15.75" customHeight="1">
      <c r="P952" s="6"/>
      <c r="R952" s="6"/>
    </row>
    <row r="953" ht="15.75" customHeight="1">
      <c r="P953" s="6"/>
      <c r="R953" s="6"/>
    </row>
    <row r="954" ht="15.75" customHeight="1">
      <c r="P954" s="6"/>
      <c r="R954" s="6"/>
    </row>
    <row r="955" ht="15.75" customHeight="1">
      <c r="P955" s="6"/>
      <c r="R955" s="6"/>
    </row>
    <row r="956" ht="15.75" customHeight="1">
      <c r="P956" s="6"/>
      <c r="R956" s="6"/>
    </row>
    <row r="957" ht="15.75" customHeight="1">
      <c r="P957" s="6"/>
      <c r="R957" s="6"/>
    </row>
    <row r="958" ht="15.75" customHeight="1">
      <c r="P958" s="6"/>
      <c r="R958" s="6"/>
    </row>
    <row r="959" ht="15.75" customHeight="1">
      <c r="P959" s="6"/>
      <c r="R959" s="6"/>
    </row>
    <row r="960" ht="15.75" customHeight="1">
      <c r="P960" s="6"/>
      <c r="R960" s="6"/>
    </row>
    <row r="961" ht="15.75" customHeight="1">
      <c r="P961" s="6"/>
      <c r="R961" s="6"/>
    </row>
    <row r="962" ht="15.75" customHeight="1">
      <c r="P962" s="6"/>
      <c r="R962" s="6"/>
    </row>
    <row r="963" ht="15.75" customHeight="1">
      <c r="P963" s="6"/>
      <c r="R963" s="6"/>
    </row>
    <row r="964" ht="15.75" customHeight="1">
      <c r="P964" s="6"/>
      <c r="R964" s="6"/>
    </row>
    <row r="965" ht="15.75" customHeight="1">
      <c r="P965" s="6"/>
      <c r="R965" s="6"/>
    </row>
    <row r="966" ht="15.75" customHeight="1">
      <c r="P966" s="6"/>
      <c r="R966" s="6"/>
    </row>
    <row r="967" ht="15.75" customHeight="1">
      <c r="P967" s="6"/>
      <c r="R967" s="6"/>
    </row>
    <row r="968" ht="15.75" customHeight="1">
      <c r="P968" s="6"/>
      <c r="R968" s="6"/>
    </row>
    <row r="969" ht="15.75" customHeight="1">
      <c r="P969" s="6"/>
      <c r="R969" s="6"/>
    </row>
    <row r="970" ht="15.75" customHeight="1">
      <c r="P970" s="6"/>
      <c r="R970" s="6"/>
    </row>
    <row r="971" ht="15.75" customHeight="1">
      <c r="P971" s="6"/>
      <c r="R971" s="6"/>
    </row>
    <row r="972" ht="15.75" customHeight="1">
      <c r="P972" s="6"/>
      <c r="R972" s="6"/>
    </row>
    <row r="973" ht="15.75" customHeight="1">
      <c r="P973" s="6"/>
      <c r="R973" s="6"/>
    </row>
    <row r="974" ht="15.75" customHeight="1">
      <c r="P974" s="6"/>
      <c r="R974" s="6"/>
    </row>
    <row r="975" ht="15.75" customHeight="1">
      <c r="P975" s="6"/>
      <c r="R975" s="6"/>
    </row>
    <row r="976" ht="15.75" customHeight="1">
      <c r="P976" s="6"/>
      <c r="R976" s="6"/>
    </row>
    <row r="977" ht="15.75" customHeight="1">
      <c r="P977" s="6"/>
      <c r="R977" s="6"/>
    </row>
    <row r="978" ht="15.75" customHeight="1">
      <c r="P978" s="6"/>
      <c r="R978" s="6"/>
    </row>
    <row r="979" ht="15.75" customHeight="1">
      <c r="P979" s="6"/>
      <c r="R979" s="6"/>
    </row>
    <row r="980" ht="15.75" customHeight="1">
      <c r="P980" s="6"/>
      <c r="R980" s="6"/>
    </row>
    <row r="981" ht="15.75" customHeight="1">
      <c r="P981" s="6"/>
      <c r="R981" s="6"/>
    </row>
    <row r="982" ht="15.75" customHeight="1">
      <c r="P982" s="6"/>
      <c r="R982" s="6"/>
    </row>
    <row r="983" ht="15.75" customHeight="1">
      <c r="P983" s="6"/>
      <c r="R983" s="6"/>
    </row>
    <row r="984" ht="15.75" customHeight="1">
      <c r="P984" s="6"/>
      <c r="R984" s="6"/>
    </row>
    <row r="985" ht="15.75" customHeight="1">
      <c r="P985" s="6"/>
      <c r="R985" s="6"/>
    </row>
    <row r="986" ht="15.75" customHeight="1">
      <c r="P986" s="6"/>
      <c r="R986" s="6"/>
    </row>
    <row r="987" ht="15.75" customHeight="1">
      <c r="P987" s="6"/>
      <c r="R987" s="6"/>
    </row>
    <row r="988" ht="15.75" customHeight="1">
      <c r="P988" s="6"/>
      <c r="R988" s="6"/>
    </row>
    <row r="989" ht="15.75" customHeight="1">
      <c r="P989" s="6"/>
      <c r="R989" s="6"/>
    </row>
    <row r="990" ht="15.75" customHeight="1">
      <c r="P990" s="6"/>
      <c r="R990" s="6"/>
    </row>
    <row r="991" ht="15.75" customHeight="1">
      <c r="P991" s="6"/>
      <c r="R991" s="6"/>
    </row>
    <row r="992" ht="15.75" customHeight="1">
      <c r="P992" s="6"/>
      <c r="R992" s="6"/>
    </row>
    <row r="993" ht="15.75" customHeight="1">
      <c r="P993" s="6"/>
      <c r="R993" s="6"/>
    </row>
    <row r="994" ht="15.75" customHeight="1">
      <c r="P994" s="6"/>
      <c r="R994" s="6"/>
    </row>
    <row r="995" ht="15.75" customHeight="1">
      <c r="P995" s="6"/>
      <c r="R995" s="6"/>
    </row>
    <row r="996" ht="15.75" customHeight="1">
      <c r="P996" s="6"/>
      <c r="R996" s="6"/>
    </row>
    <row r="997" ht="15.75" customHeight="1">
      <c r="P997" s="6"/>
      <c r="R997" s="6"/>
    </row>
    <row r="998" ht="15.75" customHeight="1">
      <c r="P998" s="6"/>
      <c r="R998" s="6"/>
    </row>
    <row r="999" ht="15.75" customHeight="1">
      <c r="P999" s="6"/>
      <c r="R999" s="6"/>
    </row>
    <row r="1000" ht="15.75" customHeight="1">
      <c r="P1000" s="6"/>
      <c r="R1000" s="6"/>
    </row>
  </sheetData>
  <mergeCells count="54">
    <mergeCell ref="AE222:AH222"/>
    <mergeCell ref="AC224:AM224"/>
    <mergeCell ref="AC231:AM231"/>
    <mergeCell ref="AC241:AM241"/>
    <mergeCell ref="AC255:AD255"/>
    <mergeCell ref="AE255:AH255"/>
    <mergeCell ref="AK255:AM255"/>
    <mergeCell ref="AC257:AM257"/>
    <mergeCell ref="AC264:AM264"/>
    <mergeCell ref="AC276:AM276"/>
    <mergeCell ref="AC292:AD292"/>
    <mergeCell ref="AE292:AH292"/>
    <mergeCell ref="AK292:AM292"/>
    <mergeCell ref="AC294:AM294"/>
    <mergeCell ref="C4:M4"/>
    <mergeCell ref="C6:M6"/>
    <mergeCell ref="C9:D9"/>
    <mergeCell ref="E9:H9"/>
    <mergeCell ref="K9:M9"/>
    <mergeCell ref="C11:M11"/>
    <mergeCell ref="D19:M19"/>
    <mergeCell ref="D20:K20"/>
    <mergeCell ref="C22:M22"/>
    <mergeCell ref="C38:M38"/>
    <mergeCell ref="C59:D59"/>
    <mergeCell ref="E59:H59"/>
    <mergeCell ref="K59:M59"/>
    <mergeCell ref="C61:M61"/>
    <mergeCell ref="C93:D93"/>
    <mergeCell ref="C131:D131"/>
    <mergeCell ref="E131:H131"/>
    <mergeCell ref="C68:M68"/>
    <mergeCell ref="C78:M78"/>
    <mergeCell ref="E93:H93"/>
    <mergeCell ref="K93:M93"/>
    <mergeCell ref="C95:M95"/>
    <mergeCell ref="C102:M102"/>
    <mergeCell ref="C114:M114"/>
    <mergeCell ref="K131:M131"/>
    <mergeCell ref="C133:M133"/>
    <mergeCell ref="C144:M144"/>
    <mergeCell ref="C161:M161"/>
    <mergeCell ref="AC173:AD173"/>
    <mergeCell ref="AK173:AM173"/>
    <mergeCell ref="AC175:AM175"/>
    <mergeCell ref="AE173:AH173"/>
    <mergeCell ref="AD183:AK183"/>
    <mergeCell ref="AD184:AK184"/>
    <mergeCell ref="AC186:AM186"/>
    <mergeCell ref="AC202:AM202"/>
    <mergeCell ref="AC222:AD222"/>
    <mergeCell ref="AK222:AM222"/>
    <mergeCell ref="AC305:AM305"/>
    <mergeCell ref="AC322:AM322"/>
  </mergeCells>
  <conditionalFormatting sqref="D13:D19 D24:D36 D40:D55 D63:D66 D70:D76 D80:D89 D97:D100 D104:D112 D116:D123 D125:D127 D135:D142 D146 D148:D159 D163:D166">
    <cfRule type="expression" dxfId="6" priority="1">
      <formula>O13=TRUE</formula>
    </cfRule>
  </conditionalFormatting>
  <conditionalFormatting sqref="D20 D124 D147">
    <cfRule type="expression" dxfId="6" priority="2">
      <formula>O19=TRUE</formula>
    </cfRule>
  </conditionalFormatting>
  <conditionalFormatting sqref="AD177:AD182 AD183:AK183 AD188:AD200 AD204:AD219">
    <cfRule type="expression" dxfId="7" priority="3">
      <formula>O13=TRUE</formula>
    </cfRule>
  </conditionalFormatting>
  <conditionalFormatting sqref="AD226:AD229 AD233:AD239 AD243:AD252">
    <cfRule type="expression" dxfId="7" priority="4">
      <formula>O63=TRUE</formula>
    </cfRule>
  </conditionalFormatting>
  <conditionalFormatting sqref="AD259:AD262 AD266:AD274 AD278:AD285 AD287:AD289">
    <cfRule type="expression" dxfId="7" priority="5">
      <formula>O97=TRUE</formula>
    </cfRule>
  </conditionalFormatting>
  <conditionalFormatting sqref="AD286">
    <cfRule type="expression" dxfId="7" priority="6">
      <formula>O123=TRUE</formula>
    </cfRule>
  </conditionalFormatting>
  <conditionalFormatting sqref="AD296:AD303 AD307 AD309:AD320 AD324:AD327">
    <cfRule type="expression" dxfId="7" priority="7">
      <formula>O135</formula>
    </cfRule>
  </conditionalFormatting>
  <conditionalFormatting sqref="AD308">
    <cfRule type="expression" dxfId="7" priority="8">
      <formula>O146=TRUE</formula>
    </cfRule>
  </conditionalFormatting>
  <conditionalFormatting sqref="E19:K19">
    <cfRule type="expression" dxfId="6" priority="9">
      <formula>Q19=TRUE</formula>
    </cfRule>
  </conditionalFormatting>
  <conditionalFormatting sqref="E20:K20">
    <cfRule type="expression" dxfId="6" priority="10">
      <formula>Q19=TRUE</formula>
    </cfRule>
  </conditionalFormatting>
  <conditionalFormatting sqref="AD184:AK184">
    <cfRule type="expression" dxfId="7" priority="11">
      <formula>O19=TRUE</formula>
    </cfRule>
  </conditionalFormatting>
  <conditionalFormatting sqref="AE173:AH173 AE222:AH222 AE255:AH255 AE292:AH292 AK173:AM173 AK222:AM222 AK255:AM255 AK292:AM292">
    <cfRule type="cellIs" dxfId="4" priority="12" operator="equal">
      <formula>0</formula>
    </cfRule>
  </conditionalFormatting>
  <conditionalFormatting sqref="E9:H9 K9:M9">
    <cfRule type="cellIs" dxfId="4" priority="13" operator="equal">
      <formula>0</formula>
    </cfRule>
  </conditionalFormatting>
  <conditionalFormatting sqref="E59:H59 K59:M59">
    <cfRule type="cellIs" dxfId="4" priority="14" operator="equal">
      <formula>0</formula>
    </cfRule>
  </conditionalFormatting>
  <conditionalFormatting sqref="E93:H93 K93:M93">
    <cfRule type="cellIs" dxfId="4" priority="15" operator="equal">
      <formula>0</formula>
    </cfRule>
  </conditionalFormatting>
  <conditionalFormatting sqref="E131:H131 K131:M131">
    <cfRule type="cellIs" dxfId="4" priority="16" operator="equal">
      <formula>0</formula>
    </cfRule>
  </conditionalFormatting>
  <conditionalFormatting sqref="E59:H59 K59:M59">
    <cfRule type="cellIs" dxfId="4" priority="17" operator="equal">
      <formula>0</formula>
    </cfRule>
  </conditionalFormatting>
  <conditionalFormatting sqref="E93:H93 K93:M93">
    <cfRule type="cellIs" dxfId="4" priority="18" operator="equal">
      <formula>0</formula>
    </cfRule>
  </conditionalFormatting>
  <conditionalFormatting sqref="E131:H131 K131:M131">
    <cfRule type="cellIs" dxfId="4" priority="19" operator="equal">
      <formula>0</formula>
    </cfRule>
  </conditionalFormatting>
  <printOptions horizontalCentered="1"/>
  <pageMargins bottom="0.75" footer="0.0" header="0.0" left="0.25" right="0.25" top="0.75"/>
  <pageSetup orientation="landscape"/>
  <rowBreaks count="3" manualBreakCount="3">
    <brk id="290" man="1"/>
    <brk id="220" man="1"/>
    <brk id="253" man="1"/>
  </rowBreak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000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283" t="s">
        <v>296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01"/>
    </row>
    <row r="2" ht="12.0" customHeight="1">
      <c r="A2" s="204"/>
      <c r="B2" s="205"/>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5"/>
      <c r="AS2" s="205"/>
      <c r="AT2" s="205"/>
      <c r="AU2" s="205"/>
      <c r="AV2" s="205"/>
      <c r="AW2" s="205"/>
      <c r="AX2" s="205"/>
      <c r="AY2" s="205"/>
      <c r="AZ2" s="205"/>
      <c r="BA2" s="205"/>
      <c r="BB2" s="205"/>
      <c r="BC2" s="205"/>
      <c r="BD2" s="205"/>
      <c r="BE2" s="205"/>
      <c r="BF2" s="205"/>
      <c r="BG2" s="205"/>
      <c r="BH2" s="205"/>
      <c r="BI2" s="205"/>
      <c r="BJ2" s="205"/>
      <c r="BK2" s="205"/>
      <c r="BL2" s="205"/>
      <c r="BM2" s="205"/>
      <c r="BN2" s="205"/>
      <c r="BO2" s="205"/>
      <c r="BP2" s="205"/>
      <c r="BQ2" s="205"/>
      <c r="BR2" s="201"/>
    </row>
    <row r="3" ht="12.0" customHeight="1">
      <c r="A3" s="285" t="s">
        <v>310</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01"/>
    </row>
    <row r="4" ht="12.0" customHeight="1">
      <c r="A4" s="4"/>
      <c r="BR4" s="201"/>
    </row>
    <row r="5" ht="12.0" customHeight="1">
      <c r="A5" s="204"/>
      <c r="B5" s="205"/>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5"/>
      <c r="BH5" s="205"/>
      <c r="BI5" s="205"/>
      <c r="BJ5" s="205"/>
      <c r="BK5" s="205"/>
      <c r="BL5" s="205"/>
      <c r="BM5" s="205"/>
      <c r="BN5" s="205"/>
      <c r="BO5" s="205"/>
      <c r="BP5" s="205"/>
      <c r="BQ5" s="205"/>
      <c r="BR5" s="201"/>
    </row>
    <row r="6">
      <c r="BP6" s="286"/>
      <c r="BQ6" s="286"/>
      <c r="BR6" s="287"/>
    </row>
    <row r="7" ht="19.5" customHeight="1">
      <c r="AK7" s="35" t="s">
        <v>10</v>
      </c>
      <c r="AL7" s="16"/>
      <c r="AM7" s="16"/>
      <c r="AN7" s="17"/>
      <c r="AO7" s="35" t="s">
        <v>12</v>
      </c>
      <c r="AP7" s="16"/>
      <c r="AQ7" s="16"/>
      <c r="AR7" s="16"/>
      <c r="AS7" s="17"/>
      <c r="AT7" s="35" t="s">
        <v>14</v>
      </c>
      <c r="AU7" s="16"/>
      <c r="AV7" s="16"/>
      <c r="AW7" s="16"/>
      <c r="AX7" s="17"/>
      <c r="AY7" s="35" t="s">
        <v>15</v>
      </c>
      <c r="AZ7" s="16"/>
      <c r="BA7" s="16"/>
      <c r="BB7" s="16"/>
      <c r="BC7" s="17"/>
      <c r="BD7" s="35" t="s">
        <v>16</v>
      </c>
      <c r="BE7" s="16"/>
      <c r="BF7" s="16"/>
      <c r="BG7" s="16"/>
      <c r="BH7" s="17"/>
      <c r="BR7" s="288"/>
    </row>
    <row r="8" ht="19.5" customHeight="1">
      <c r="B8" s="35" t="s">
        <v>17</v>
      </c>
      <c r="C8" s="16"/>
      <c r="D8" s="16"/>
      <c r="E8" s="16"/>
      <c r="F8" s="16"/>
      <c r="G8" s="17"/>
      <c r="H8" s="29" t="str">
        <f>'Milestones Grid'!$H$6</f>
        <v>TEST NAME- GOLF</v>
      </c>
      <c r="I8" s="16"/>
      <c r="J8" s="16"/>
      <c r="K8" s="16"/>
      <c r="L8" s="16"/>
      <c r="M8" s="16"/>
      <c r="N8" s="16"/>
      <c r="O8" s="16"/>
      <c r="P8" s="16"/>
      <c r="Q8" s="16"/>
      <c r="R8" s="16"/>
      <c r="S8" s="16"/>
      <c r="T8" s="16"/>
      <c r="U8" s="16"/>
      <c r="V8" s="16"/>
      <c r="W8" s="16"/>
      <c r="X8" s="16"/>
      <c r="Y8" s="16"/>
      <c r="Z8" s="16"/>
      <c r="AA8" s="16"/>
      <c r="AB8" s="16"/>
      <c r="AC8" s="16"/>
      <c r="AD8" s="16"/>
      <c r="AE8" s="17"/>
      <c r="AK8" s="35" t="s">
        <v>19</v>
      </c>
      <c r="AL8" s="16"/>
      <c r="AM8" s="16"/>
      <c r="AN8" s="17"/>
      <c r="AO8" s="22">
        <f>'Milestones Grid'!AO6</f>
        <v>6.5</v>
      </c>
      <c r="AP8" s="16"/>
      <c r="AQ8" s="16"/>
      <c r="AR8" s="16"/>
      <c r="AS8" s="17"/>
      <c r="AT8" s="31"/>
      <c r="AU8" s="16"/>
      <c r="AV8" s="16"/>
      <c r="AW8" s="16"/>
      <c r="AX8" s="17"/>
      <c r="AY8" s="25"/>
      <c r="AZ8" s="16"/>
      <c r="BA8" s="16"/>
      <c r="BB8" s="16"/>
      <c r="BC8" s="17"/>
      <c r="BD8" s="32"/>
      <c r="BE8" s="16"/>
      <c r="BF8" s="16"/>
      <c r="BG8" s="16"/>
      <c r="BH8" s="17"/>
      <c r="BI8" s="14">
        <f>'Milestones Grid'!$BQ$24</f>
        <v>6.5</v>
      </c>
      <c r="BR8" s="288"/>
    </row>
    <row r="9" ht="19.5" customHeight="1">
      <c r="B9" s="35" t="s">
        <v>22</v>
      </c>
      <c r="C9" s="16"/>
      <c r="D9" s="16"/>
      <c r="E9" s="16"/>
      <c r="F9" s="16"/>
      <c r="G9" s="17"/>
      <c r="H9" s="41">
        <f>'Milestones Grid'!$H$7</f>
        <v>45108</v>
      </c>
      <c r="I9" s="16"/>
      <c r="J9" s="16"/>
      <c r="K9" s="16"/>
      <c r="L9" s="16"/>
      <c r="M9" s="16"/>
      <c r="N9" s="16"/>
      <c r="O9" s="16"/>
      <c r="P9" s="16"/>
      <c r="Q9" s="16"/>
      <c r="R9" s="16"/>
      <c r="S9" s="16"/>
      <c r="T9" s="16"/>
      <c r="U9" s="16"/>
      <c r="V9" s="16"/>
      <c r="W9" s="16"/>
      <c r="X9" s="16"/>
      <c r="Y9" s="16"/>
      <c r="Z9" s="16"/>
      <c r="AA9" s="16"/>
      <c r="AB9" s="16"/>
      <c r="AC9" s="16"/>
      <c r="AD9" s="16"/>
      <c r="AE9" s="17"/>
      <c r="AK9" s="35" t="s">
        <v>23</v>
      </c>
      <c r="AL9" s="16"/>
      <c r="AM9" s="16"/>
      <c r="AN9" s="17"/>
      <c r="AO9" s="22">
        <f>'Milestones Grid'!AO7</f>
        <v>6.5</v>
      </c>
      <c r="AP9" s="16"/>
      <c r="AQ9" s="16"/>
      <c r="AR9" s="16"/>
      <c r="AS9" s="17"/>
      <c r="AT9" s="31"/>
      <c r="AU9" s="16"/>
      <c r="AV9" s="16"/>
      <c r="AW9" s="16"/>
      <c r="AX9" s="17"/>
      <c r="AY9" s="33"/>
      <c r="AZ9" s="16"/>
      <c r="BA9" s="16"/>
      <c r="BB9" s="16"/>
      <c r="BC9" s="17"/>
      <c r="BD9" s="32"/>
      <c r="BE9" s="16"/>
      <c r="BF9" s="16"/>
      <c r="BG9" s="16"/>
      <c r="BH9" s="17"/>
      <c r="BI9" s="14">
        <f>'Milestones Grid'!$BR$24</f>
        <v>0</v>
      </c>
      <c r="BR9" s="288"/>
    </row>
    <row r="10" ht="19.5" customHeight="1">
      <c r="B10" s="35" t="s">
        <v>24</v>
      </c>
      <c r="C10" s="16"/>
      <c r="D10" s="16"/>
      <c r="E10" s="16"/>
      <c r="F10" s="16"/>
      <c r="G10" s="17"/>
      <c r="H10" s="52">
        <v>1.0</v>
      </c>
      <c r="I10" s="17"/>
      <c r="J10" s="39" t="str">
        <f>IF(OR(ISBLANK($H$9),ISBLANK($AT$8)),"",INT(YEARFRAC($H$9,$AT$8))&amp;" y, "&amp;INT((YEARFRAC($H$9,$AT$8)-INT(YEARFRAC($H$9,$AT$8)))*12)&amp;" m")</f>
        <v/>
      </c>
      <c r="K10" s="16"/>
      <c r="L10" s="16"/>
      <c r="M10" s="17"/>
      <c r="N10" s="52">
        <v>2.0</v>
      </c>
      <c r="O10" s="17"/>
      <c r="P10" s="39" t="str">
        <f>IF(OR(ISBLANK($H$9),ISBLANK($AT$9)),"",INT(YEARFRAC($H$9,$AT$9))&amp;" y, "&amp;INT((YEARFRAC($H$9,$AT$9)-INT(YEARFRAC($H$9,$AT$9)))*12)&amp;" m")</f>
        <v/>
      </c>
      <c r="Q10" s="16"/>
      <c r="R10" s="16"/>
      <c r="S10" s="17"/>
      <c r="T10" s="52">
        <v>3.0</v>
      </c>
      <c r="U10" s="17"/>
      <c r="V10" s="39" t="str">
        <f>IF(OR(ISBLANK($H$9),ISBLANK($AT$10)),"",INT(YEARFRAC($H$9,$AT$10))&amp;" y, "&amp;INT((YEARFRAC($H$9,$AT$10)-INT(YEARFRAC($H$9,$AT$10)))*12)&amp;" m")</f>
        <v/>
      </c>
      <c r="W10" s="16"/>
      <c r="X10" s="16"/>
      <c r="Y10" s="17"/>
      <c r="Z10" s="52">
        <v>4.0</v>
      </c>
      <c r="AA10" s="17"/>
      <c r="AB10" s="39" t="str">
        <f>IF(OR(ISBLANK($H$9),ISBLANK($AT$11)),"",INT(YEARFRAC($H$9,$AT$11))&amp;" y, "&amp;INT((YEARFRAC($H$9,$AT$11)-INT(YEARFRAC($H$9,$AT$11)))*12)&amp;" m")</f>
        <v/>
      </c>
      <c r="AC10" s="16"/>
      <c r="AD10" s="16"/>
      <c r="AE10" s="17"/>
      <c r="AK10" s="35" t="s">
        <v>30</v>
      </c>
      <c r="AL10" s="16"/>
      <c r="AM10" s="16"/>
      <c r="AN10" s="17"/>
      <c r="AO10" s="22">
        <f>'Milestones Grid'!AO8</f>
        <v>6.5</v>
      </c>
      <c r="AP10" s="16"/>
      <c r="AQ10" s="16"/>
      <c r="AR10" s="16"/>
      <c r="AS10" s="17"/>
      <c r="AT10" s="31"/>
      <c r="AU10" s="16"/>
      <c r="AV10" s="16"/>
      <c r="AW10" s="16"/>
      <c r="AX10" s="17"/>
      <c r="AY10" s="43"/>
      <c r="AZ10" s="16"/>
      <c r="BA10" s="16"/>
      <c r="BB10" s="16"/>
      <c r="BC10" s="17"/>
      <c r="BD10" s="32"/>
      <c r="BE10" s="16"/>
      <c r="BF10" s="16"/>
      <c r="BG10" s="16"/>
      <c r="BH10" s="17"/>
      <c r="BI10" s="14">
        <f>'Milestones Grid'!$BS$24</f>
        <v>0</v>
      </c>
      <c r="BR10" s="288"/>
    </row>
    <row r="11" ht="19.5" customHeight="1">
      <c r="AK11" s="35" t="s">
        <v>32</v>
      </c>
      <c r="AL11" s="16"/>
      <c r="AM11" s="16"/>
      <c r="AN11" s="17"/>
      <c r="AO11" s="22">
        <f>'Milestones Grid'!AO9</f>
        <v>6.5</v>
      </c>
      <c r="AP11" s="16"/>
      <c r="AQ11" s="16"/>
      <c r="AR11" s="16"/>
      <c r="AS11" s="17"/>
      <c r="AT11" s="31"/>
      <c r="AU11" s="16"/>
      <c r="AV11" s="16"/>
      <c r="AW11" s="16"/>
      <c r="AX11" s="17"/>
      <c r="AY11" s="45"/>
      <c r="AZ11" s="16"/>
      <c r="BA11" s="16"/>
      <c r="BB11" s="16"/>
      <c r="BC11" s="17"/>
      <c r="BD11" s="32"/>
      <c r="BE11" s="16"/>
      <c r="BF11" s="16"/>
      <c r="BG11" s="16"/>
      <c r="BH11" s="17"/>
      <c r="BI11" s="14">
        <f>'Milestones Grid'!$BT$24</f>
        <v>0</v>
      </c>
      <c r="BR11" s="288"/>
    </row>
    <row r="12">
      <c r="BR12" s="288"/>
    </row>
    <row r="13" ht="13.5" customHeight="1">
      <c r="B13" s="104" t="s">
        <v>36</v>
      </c>
      <c r="C13" s="105"/>
      <c r="D13" s="106"/>
      <c r="G13" s="104" t="s">
        <v>37</v>
      </c>
      <c r="H13" s="105"/>
      <c r="I13" s="105"/>
      <c r="J13" s="106"/>
      <c r="M13" s="104" t="s">
        <v>38</v>
      </c>
      <c r="N13" s="105"/>
      <c r="O13" s="105"/>
      <c r="P13" s="106"/>
      <c r="S13" s="104" t="s">
        <v>361</v>
      </c>
      <c r="T13" s="105"/>
      <c r="U13" s="105"/>
      <c r="V13" s="106"/>
      <c r="Y13" s="104" t="s">
        <v>40</v>
      </c>
      <c r="Z13" s="105"/>
      <c r="AA13" s="105"/>
      <c r="AB13" s="106"/>
      <c r="AE13" s="104" t="s">
        <v>41</v>
      </c>
      <c r="AF13" s="105"/>
      <c r="AG13" s="105"/>
      <c r="AH13" s="106"/>
      <c r="AK13" s="104" t="s">
        <v>60</v>
      </c>
      <c r="AL13" s="105"/>
      <c r="AM13" s="105"/>
      <c r="AN13" s="106"/>
      <c r="AQ13" s="104" t="s">
        <v>61</v>
      </c>
      <c r="AR13" s="105"/>
      <c r="AS13" s="105"/>
      <c r="AT13" s="106"/>
      <c r="AW13" s="104" t="s">
        <v>63</v>
      </c>
      <c r="AX13" s="105"/>
      <c r="AY13" s="105"/>
      <c r="AZ13" s="106"/>
      <c r="BR13" s="288"/>
    </row>
    <row r="14" ht="13.5" customHeight="1">
      <c r="BR14" s="288"/>
      <c r="BS14" s="3"/>
      <c r="BT14" s="3"/>
      <c r="BU14" s="3"/>
      <c r="BV14" s="3"/>
      <c r="BW14" s="3"/>
      <c r="BX14" s="3"/>
      <c r="BY14" s="3"/>
    </row>
    <row r="15" ht="13.5" customHeight="1">
      <c r="A15" s="6"/>
      <c r="B15" s="300" t="s">
        <v>366</v>
      </c>
      <c r="C15" s="301"/>
      <c r="D15" s="302"/>
      <c r="E15" s="14"/>
      <c r="F15" s="6"/>
      <c r="G15" s="300" t="s">
        <v>366</v>
      </c>
      <c r="H15" s="301"/>
      <c r="I15" s="301"/>
      <c r="J15" s="302"/>
      <c r="K15" s="14"/>
      <c r="L15" s="6"/>
      <c r="M15" s="300" t="s">
        <v>366</v>
      </c>
      <c r="N15" s="301"/>
      <c r="O15" s="301"/>
      <c r="P15" s="302"/>
      <c r="Q15" s="14"/>
      <c r="R15" s="6"/>
      <c r="S15" s="300" t="s">
        <v>366</v>
      </c>
      <c r="T15" s="301"/>
      <c r="U15" s="301"/>
      <c r="V15" s="302"/>
      <c r="W15" s="14"/>
      <c r="X15" s="6"/>
      <c r="Y15" s="300" t="s">
        <v>366</v>
      </c>
      <c r="Z15" s="301"/>
      <c r="AA15" s="301"/>
      <c r="AB15" s="302"/>
      <c r="AC15" s="14"/>
      <c r="AD15" s="6"/>
      <c r="AE15" s="300" t="s">
        <v>366</v>
      </c>
      <c r="AF15" s="301"/>
      <c r="AG15" s="301"/>
      <c r="AH15" s="302"/>
      <c r="AI15" s="14"/>
      <c r="AJ15" s="6"/>
      <c r="AK15" s="300" t="s">
        <v>366</v>
      </c>
      <c r="AL15" s="301"/>
      <c r="AM15" s="301"/>
      <c r="AN15" s="302"/>
      <c r="AO15" s="14"/>
      <c r="AP15" s="6"/>
      <c r="AQ15" s="300" t="s">
        <v>366</v>
      </c>
      <c r="AR15" s="301"/>
      <c r="AS15" s="301"/>
      <c r="AT15" s="302"/>
      <c r="AU15" s="14"/>
      <c r="AV15" s="6"/>
      <c r="AW15" s="300" t="s">
        <v>366</v>
      </c>
      <c r="AX15" s="301"/>
      <c r="AY15" s="301"/>
      <c r="AZ15" s="302"/>
      <c r="BA15" s="14"/>
      <c r="BR15" s="288"/>
      <c r="BS15" s="3"/>
      <c r="BT15" s="3"/>
      <c r="BU15" s="3"/>
      <c r="BV15" s="3"/>
      <c r="BW15" s="3"/>
      <c r="BX15" s="3"/>
      <c r="BY15" s="3"/>
    </row>
    <row r="16" ht="13.5" customHeight="1">
      <c r="A16" s="6"/>
      <c r="B16" s="303" t="s">
        <v>374</v>
      </c>
      <c r="C16" s="301"/>
      <c r="D16" s="302"/>
      <c r="E16" s="14"/>
      <c r="F16" s="6"/>
      <c r="G16" s="303" t="s">
        <v>376</v>
      </c>
      <c r="H16" s="301"/>
      <c r="I16" s="301"/>
      <c r="J16" s="302"/>
      <c r="K16" s="14"/>
      <c r="L16" s="6"/>
      <c r="M16" s="303" t="s">
        <v>374</v>
      </c>
      <c r="N16" s="301"/>
      <c r="O16" s="301"/>
      <c r="P16" s="302"/>
      <c r="Q16" s="14"/>
      <c r="R16" s="6"/>
      <c r="S16" s="303" t="s">
        <v>374</v>
      </c>
      <c r="T16" s="301"/>
      <c r="U16" s="301"/>
      <c r="V16" s="302"/>
      <c r="W16" s="14"/>
      <c r="X16" s="6"/>
      <c r="Y16" s="303" t="s">
        <v>374</v>
      </c>
      <c r="Z16" s="301"/>
      <c r="AA16" s="301"/>
      <c r="AB16" s="302"/>
      <c r="AC16" s="14"/>
      <c r="AD16" s="6"/>
      <c r="AE16" s="303" t="s">
        <v>376</v>
      </c>
      <c r="AF16" s="301"/>
      <c r="AG16" s="301"/>
      <c r="AH16" s="302"/>
      <c r="AI16" s="14"/>
      <c r="AJ16" s="6"/>
      <c r="AK16" s="303" t="s">
        <v>378</v>
      </c>
      <c r="AL16" s="301"/>
      <c r="AM16" s="301"/>
      <c r="AN16" s="302"/>
      <c r="AO16" s="14"/>
      <c r="AQ16" s="304"/>
      <c r="AR16" s="169"/>
      <c r="AS16" s="169"/>
      <c r="AT16" s="305"/>
      <c r="AU16" s="14"/>
      <c r="AW16" s="304"/>
      <c r="AX16" s="169"/>
      <c r="AY16" s="169"/>
      <c r="AZ16" s="305"/>
      <c r="BA16" s="14"/>
      <c r="BR16" s="288"/>
      <c r="BS16" s="3"/>
      <c r="BT16" s="3"/>
      <c r="BU16" s="3"/>
      <c r="BV16" s="3"/>
      <c r="BW16" s="3"/>
      <c r="BX16" s="3"/>
      <c r="BY16" s="3"/>
    </row>
    <row r="17" ht="13.5" customHeight="1">
      <c r="A17" s="6"/>
      <c r="B17" s="303" t="s">
        <v>378</v>
      </c>
      <c r="C17" s="301"/>
      <c r="D17" s="302"/>
      <c r="E17" s="14"/>
      <c r="F17" s="6"/>
      <c r="G17" s="303" t="s">
        <v>382</v>
      </c>
      <c r="H17" s="301"/>
      <c r="I17" s="301"/>
      <c r="J17" s="302"/>
      <c r="K17" s="14"/>
      <c r="L17" s="6"/>
      <c r="M17" s="303" t="s">
        <v>378</v>
      </c>
      <c r="N17" s="301"/>
      <c r="O17" s="301"/>
      <c r="P17" s="302"/>
      <c r="Q17" s="14"/>
      <c r="R17" s="6"/>
      <c r="S17" s="303" t="s">
        <v>378</v>
      </c>
      <c r="T17" s="301"/>
      <c r="U17" s="301"/>
      <c r="V17" s="302"/>
      <c r="W17" s="14"/>
      <c r="X17" s="6"/>
      <c r="Y17" s="303" t="s">
        <v>378</v>
      </c>
      <c r="Z17" s="301"/>
      <c r="AA17" s="301"/>
      <c r="AB17" s="302"/>
      <c r="AC17" s="14"/>
      <c r="AD17" s="6"/>
      <c r="AE17" s="303" t="s">
        <v>382</v>
      </c>
      <c r="AF17" s="301"/>
      <c r="AG17" s="301"/>
      <c r="AH17" s="302"/>
      <c r="AI17" s="14"/>
      <c r="AJ17" s="6"/>
      <c r="AK17" s="303" t="s">
        <v>376</v>
      </c>
      <c r="AL17" s="301"/>
      <c r="AM17" s="301"/>
      <c r="AN17" s="302"/>
      <c r="AO17" s="14"/>
      <c r="AQ17" s="304"/>
      <c r="AR17" s="169"/>
      <c r="AS17" s="169"/>
      <c r="AT17" s="305"/>
      <c r="AU17" s="14"/>
      <c r="AW17" s="304"/>
      <c r="AX17" s="169"/>
      <c r="AY17" s="169"/>
      <c r="AZ17" s="305"/>
      <c r="BA17" s="14"/>
      <c r="BR17" s="288"/>
      <c r="BS17" s="3"/>
      <c r="BT17" s="3"/>
      <c r="BU17" s="3"/>
      <c r="BV17" s="3"/>
      <c r="BW17" s="3"/>
      <c r="BX17" s="3"/>
      <c r="BY17" s="3"/>
    </row>
    <row r="18" ht="13.5" customHeight="1">
      <c r="A18" s="6"/>
      <c r="B18" s="303" t="s">
        <v>376</v>
      </c>
      <c r="C18" s="301"/>
      <c r="D18" s="302"/>
      <c r="E18" s="14"/>
      <c r="F18" s="6"/>
      <c r="G18" s="303" t="s">
        <v>390</v>
      </c>
      <c r="H18" s="301"/>
      <c r="I18" s="301"/>
      <c r="J18" s="302"/>
      <c r="K18" s="14"/>
      <c r="L18" s="6"/>
      <c r="M18" s="303" t="s">
        <v>376</v>
      </c>
      <c r="N18" s="301"/>
      <c r="O18" s="301"/>
      <c r="P18" s="302"/>
      <c r="Q18" s="14"/>
      <c r="R18" s="6"/>
      <c r="S18" s="303" t="s">
        <v>376</v>
      </c>
      <c r="T18" s="301"/>
      <c r="U18" s="301"/>
      <c r="V18" s="302"/>
      <c r="W18" s="14"/>
      <c r="X18" s="6"/>
      <c r="Y18" s="303" t="s">
        <v>376</v>
      </c>
      <c r="Z18" s="301"/>
      <c r="AA18" s="301"/>
      <c r="AB18" s="302"/>
      <c r="AC18" s="14"/>
      <c r="AD18" s="6"/>
      <c r="AE18" s="303" t="s">
        <v>390</v>
      </c>
      <c r="AF18" s="301"/>
      <c r="AG18" s="301"/>
      <c r="AH18" s="302"/>
      <c r="AI18" s="14"/>
      <c r="AJ18" s="6"/>
      <c r="AK18" s="303" t="s">
        <v>382</v>
      </c>
      <c r="AL18" s="301"/>
      <c r="AM18" s="301"/>
      <c r="AN18" s="302"/>
      <c r="AO18" s="14"/>
      <c r="AQ18" s="304"/>
      <c r="AR18" s="169"/>
      <c r="AS18" s="169"/>
      <c r="AT18" s="305"/>
      <c r="AU18" s="14"/>
      <c r="AW18" s="304"/>
      <c r="AX18" s="169"/>
      <c r="AY18" s="169"/>
      <c r="AZ18" s="305"/>
      <c r="BA18" s="14"/>
      <c r="BR18" s="288"/>
      <c r="BS18" s="3"/>
      <c r="BT18" s="3"/>
      <c r="BU18" s="3"/>
      <c r="BV18" s="3"/>
      <c r="BW18" s="3"/>
      <c r="BX18" s="3"/>
      <c r="BY18" s="3"/>
    </row>
    <row r="19" ht="13.5" customHeight="1">
      <c r="A19" s="6"/>
      <c r="B19" s="303" t="s">
        <v>382</v>
      </c>
      <c r="C19" s="301"/>
      <c r="D19" s="302"/>
      <c r="E19" s="14"/>
      <c r="G19" s="304"/>
      <c r="H19" s="169"/>
      <c r="I19" s="169"/>
      <c r="J19" s="305"/>
      <c r="K19" s="14"/>
      <c r="L19" s="6"/>
      <c r="M19" s="303" t="s">
        <v>382</v>
      </c>
      <c r="N19" s="301"/>
      <c r="O19" s="301"/>
      <c r="P19" s="302"/>
      <c r="Q19" s="14"/>
      <c r="R19" s="6"/>
      <c r="S19" s="303" t="s">
        <v>382</v>
      </c>
      <c r="T19" s="301"/>
      <c r="U19" s="301"/>
      <c r="V19" s="302"/>
      <c r="W19" s="14"/>
      <c r="X19" s="6"/>
      <c r="Y19" s="303" t="s">
        <v>382</v>
      </c>
      <c r="Z19" s="301"/>
      <c r="AA19" s="301"/>
      <c r="AB19" s="302"/>
      <c r="AC19" s="14"/>
      <c r="AE19" s="304"/>
      <c r="AF19" s="169"/>
      <c r="AG19" s="169"/>
      <c r="AH19" s="305"/>
      <c r="AI19" s="14"/>
      <c r="AJ19" s="6"/>
      <c r="AK19" s="303" t="s">
        <v>390</v>
      </c>
      <c r="AL19" s="301"/>
      <c r="AM19" s="301"/>
      <c r="AN19" s="302"/>
      <c r="AO19" s="14"/>
      <c r="AQ19" s="304"/>
      <c r="AR19" s="169"/>
      <c r="AS19" s="169"/>
      <c r="AT19" s="305"/>
      <c r="AU19" s="14"/>
      <c r="AW19" s="304"/>
      <c r="AX19" s="169"/>
      <c r="AY19" s="169"/>
      <c r="AZ19" s="305"/>
      <c r="BA19" s="14"/>
      <c r="BR19" s="288"/>
      <c r="BS19" s="3"/>
      <c r="BT19" s="3"/>
      <c r="BU19" s="3"/>
      <c r="BV19" s="3"/>
      <c r="BW19" s="3"/>
      <c r="BX19" s="3"/>
      <c r="BY19" s="3"/>
    </row>
    <row r="20" ht="13.5" customHeight="1">
      <c r="A20" s="6"/>
      <c r="B20" s="303" t="s">
        <v>390</v>
      </c>
      <c r="C20" s="301"/>
      <c r="D20" s="302"/>
      <c r="E20" s="14"/>
      <c r="G20" s="304"/>
      <c r="H20" s="169"/>
      <c r="I20" s="169"/>
      <c r="J20" s="305"/>
      <c r="K20" s="14"/>
      <c r="L20" s="6"/>
      <c r="M20" s="303" t="s">
        <v>390</v>
      </c>
      <c r="N20" s="301"/>
      <c r="O20" s="301"/>
      <c r="P20" s="302"/>
      <c r="Q20" s="14"/>
      <c r="R20" s="6"/>
      <c r="S20" s="303" t="s">
        <v>390</v>
      </c>
      <c r="T20" s="301"/>
      <c r="U20" s="301"/>
      <c r="V20" s="302"/>
      <c r="W20" s="14"/>
      <c r="X20" s="6"/>
      <c r="Y20" s="303" t="s">
        <v>390</v>
      </c>
      <c r="Z20" s="301"/>
      <c r="AA20" s="301"/>
      <c r="AB20" s="302"/>
      <c r="AC20" s="14"/>
      <c r="AE20" s="304"/>
      <c r="AF20" s="169"/>
      <c r="AG20" s="169"/>
      <c r="AH20" s="305"/>
      <c r="AI20" s="14"/>
      <c r="AK20" s="304"/>
      <c r="AL20" s="169"/>
      <c r="AM20" s="169"/>
      <c r="AN20" s="305"/>
      <c r="AO20" s="14"/>
      <c r="AQ20" s="304"/>
      <c r="AR20" s="169"/>
      <c r="AS20" s="169"/>
      <c r="AT20" s="305"/>
      <c r="AU20" s="14"/>
      <c r="AW20" s="304"/>
      <c r="AX20" s="169"/>
      <c r="AY20" s="169"/>
      <c r="AZ20" s="305"/>
      <c r="BA20" s="14"/>
      <c r="BR20" s="288"/>
      <c r="BS20" s="3"/>
      <c r="BT20" s="3"/>
      <c r="BU20" s="3"/>
      <c r="BV20" s="3"/>
      <c r="BW20" s="3"/>
      <c r="BX20" s="3"/>
      <c r="BY20" s="3"/>
    </row>
    <row r="21" ht="13.5" customHeight="1">
      <c r="B21" s="304"/>
      <c r="C21" s="169"/>
      <c r="D21" s="306"/>
      <c r="E21" s="14"/>
      <c r="G21" s="304"/>
      <c r="H21" s="169"/>
      <c r="I21" s="169"/>
      <c r="J21" s="305"/>
      <c r="K21" s="14"/>
      <c r="M21" s="304"/>
      <c r="N21" s="169"/>
      <c r="O21" s="169"/>
      <c r="P21" s="305"/>
      <c r="Q21" s="14"/>
      <c r="S21" s="304"/>
      <c r="T21" s="169"/>
      <c r="U21" s="169"/>
      <c r="V21" s="305"/>
      <c r="W21" s="14"/>
      <c r="Y21" s="304"/>
      <c r="Z21" s="169"/>
      <c r="AA21" s="169"/>
      <c r="AB21" s="305"/>
      <c r="AC21" s="14"/>
      <c r="AE21" s="304"/>
      <c r="AF21" s="169"/>
      <c r="AG21" s="169"/>
      <c r="AH21" s="305"/>
      <c r="AI21" s="14"/>
      <c r="AK21" s="304"/>
      <c r="AL21" s="169"/>
      <c r="AM21" s="169"/>
      <c r="AN21" s="305"/>
      <c r="AO21" s="14"/>
      <c r="AQ21" s="304"/>
      <c r="AR21" s="169"/>
      <c r="AS21" s="169"/>
      <c r="AT21" s="305"/>
      <c r="AU21" s="14"/>
      <c r="AW21" s="304"/>
      <c r="AX21" s="169"/>
      <c r="AY21" s="169"/>
      <c r="AZ21" s="305"/>
      <c r="BA21" s="14"/>
      <c r="BR21" s="288"/>
      <c r="BS21" s="3"/>
      <c r="BT21" s="3"/>
      <c r="BU21" s="3"/>
      <c r="BV21" s="3"/>
      <c r="BW21" s="3"/>
      <c r="BX21" s="3"/>
      <c r="BY21" s="3"/>
    </row>
    <row r="22" ht="13.5" customHeight="1">
      <c r="B22" s="304"/>
      <c r="C22" s="169"/>
      <c r="D22" s="306"/>
      <c r="E22" s="14"/>
      <c r="G22" s="304"/>
      <c r="H22" s="169"/>
      <c r="I22" s="169"/>
      <c r="J22" s="305"/>
      <c r="K22" s="14"/>
      <c r="M22" s="304"/>
      <c r="N22" s="169"/>
      <c r="O22" s="169"/>
      <c r="P22" s="305"/>
      <c r="Q22" s="14"/>
      <c r="S22" s="304"/>
      <c r="T22" s="169"/>
      <c r="U22" s="169"/>
      <c r="V22" s="305"/>
      <c r="W22" s="14"/>
      <c r="Y22" s="304"/>
      <c r="Z22" s="169"/>
      <c r="AA22" s="169"/>
      <c r="AB22" s="305"/>
      <c r="AC22" s="14"/>
      <c r="AE22" s="304"/>
      <c r="AF22" s="169"/>
      <c r="AG22" s="169"/>
      <c r="AH22" s="305"/>
      <c r="AI22" s="14"/>
      <c r="AK22" s="304"/>
      <c r="AL22" s="169"/>
      <c r="AM22" s="169"/>
      <c r="AN22" s="305"/>
      <c r="AO22" s="14"/>
      <c r="AQ22" s="304"/>
      <c r="AR22" s="169"/>
      <c r="AS22" s="169"/>
      <c r="AT22" s="305"/>
      <c r="AU22" s="14"/>
      <c r="AW22" s="304"/>
      <c r="AX22" s="169"/>
      <c r="AY22" s="169"/>
      <c r="AZ22" s="305"/>
      <c r="BA22" s="14"/>
      <c r="BR22" s="288"/>
      <c r="BS22" s="3"/>
      <c r="BT22" s="3"/>
      <c r="BU22" s="3"/>
      <c r="BV22" s="3"/>
      <c r="BW22" s="3"/>
      <c r="BX22" s="3"/>
      <c r="BY22" s="3"/>
    </row>
    <row r="23" ht="13.5" customHeight="1">
      <c r="B23" s="304"/>
      <c r="C23" s="169"/>
      <c r="D23" s="306"/>
      <c r="E23" s="14"/>
      <c r="G23" s="304"/>
      <c r="H23" s="169"/>
      <c r="I23" s="169"/>
      <c r="J23" s="305"/>
      <c r="K23" s="14"/>
      <c r="M23" s="304"/>
      <c r="N23" s="169"/>
      <c r="O23" s="169"/>
      <c r="P23" s="305"/>
      <c r="Q23" s="14"/>
      <c r="S23" s="304"/>
      <c r="T23" s="169"/>
      <c r="U23" s="169"/>
      <c r="V23" s="305"/>
      <c r="W23" s="14"/>
      <c r="Y23" s="304"/>
      <c r="Z23" s="169"/>
      <c r="AA23" s="169"/>
      <c r="AB23" s="305"/>
      <c r="AC23" s="14"/>
      <c r="AE23" s="304"/>
      <c r="AF23" s="169"/>
      <c r="AG23" s="169"/>
      <c r="AH23" s="305"/>
      <c r="AI23" s="14"/>
      <c r="AK23" s="304"/>
      <c r="AL23" s="169"/>
      <c r="AM23" s="169"/>
      <c r="AN23" s="305"/>
      <c r="AO23" s="14"/>
      <c r="AQ23" s="304"/>
      <c r="AR23" s="169"/>
      <c r="AS23" s="169"/>
      <c r="AT23" s="305"/>
      <c r="AU23" s="14"/>
      <c r="AW23" s="304"/>
      <c r="AX23" s="169"/>
      <c r="AY23" s="169"/>
      <c r="AZ23" s="305"/>
      <c r="BA23" s="14"/>
      <c r="BR23" s="288"/>
      <c r="BS23" s="3"/>
      <c r="BT23" s="3"/>
      <c r="BU23" s="3"/>
      <c r="BV23" s="3"/>
      <c r="BW23" s="3"/>
      <c r="BX23" s="3"/>
      <c r="BY23" s="3"/>
    </row>
    <row r="24" ht="13.5" customHeight="1">
      <c r="B24" s="304"/>
      <c r="C24" s="169"/>
      <c r="D24" s="306"/>
      <c r="E24" s="14"/>
      <c r="G24" s="304"/>
      <c r="H24" s="169"/>
      <c r="I24" s="169"/>
      <c r="J24" s="305"/>
      <c r="K24" s="14"/>
      <c r="M24" s="304"/>
      <c r="N24" s="169"/>
      <c r="O24" s="169"/>
      <c r="P24" s="305"/>
      <c r="Q24" s="14"/>
      <c r="S24" s="304"/>
      <c r="T24" s="169"/>
      <c r="U24" s="169"/>
      <c r="V24" s="305"/>
      <c r="W24" s="14"/>
      <c r="Y24" s="304"/>
      <c r="Z24" s="169"/>
      <c r="AA24" s="169"/>
      <c r="AB24" s="305"/>
      <c r="AC24" s="14"/>
      <c r="AE24" s="304"/>
      <c r="AF24" s="169"/>
      <c r="AG24" s="169"/>
      <c r="AH24" s="305"/>
      <c r="AI24" s="14"/>
      <c r="AK24" s="304"/>
      <c r="AL24" s="169"/>
      <c r="AM24" s="169"/>
      <c r="AN24" s="305"/>
      <c r="AO24" s="14"/>
      <c r="AQ24" s="304"/>
      <c r="AR24" s="169"/>
      <c r="AS24" s="169"/>
      <c r="AT24" s="305"/>
      <c r="AU24" s="14"/>
      <c r="AW24" s="304"/>
      <c r="AX24" s="169"/>
      <c r="AY24" s="169"/>
      <c r="AZ24" s="305"/>
      <c r="BA24" s="14"/>
      <c r="BR24" s="288"/>
      <c r="BS24" s="3"/>
      <c r="BT24" s="3"/>
      <c r="BU24" s="3"/>
      <c r="BV24" s="3"/>
      <c r="BW24" s="3"/>
      <c r="BX24" s="3"/>
      <c r="BY24" s="3"/>
    </row>
    <row r="25" ht="13.5" customHeight="1">
      <c r="B25" s="304"/>
      <c r="C25" s="169"/>
      <c r="D25" s="306"/>
      <c r="E25" s="14"/>
      <c r="G25" s="304"/>
      <c r="H25" s="169"/>
      <c r="I25" s="169"/>
      <c r="J25" s="305"/>
      <c r="K25" s="14"/>
      <c r="M25" s="304"/>
      <c r="N25" s="169"/>
      <c r="O25" s="169"/>
      <c r="P25" s="305"/>
      <c r="Q25" s="14"/>
      <c r="S25" s="304"/>
      <c r="T25" s="169"/>
      <c r="U25" s="169"/>
      <c r="V25" s="305"/>
      <c r="W25" s="14"/>
      <c r="Y25" s="304"/>
      <c r="Z25" s="169"/>
      <c r="AA25" s="169"/>
      <c r="AB25" s="305"/>
      <c r="AC25" s="14"/>
      <c r="AE25" s="304"/>
      <c r="AF25" s="169"/>
      <c r="AG25" s="169"/>
      <c r="AH25" s="305"/>
      <c r="AI25" s="14"/>
      <c r="AK25" s="304"/>
      <c r="AL25" s="169"/>
      <c r="AM25" s="169"/>
      <c r="AN25" s="305"/>
      <c r="AO25" s="14"/>
      <c r="AQ25" s="304"/>
      <c r="AR25" s="169"/>
      <c r="AS25" s="169"/>
      <c r="AT25" s="305"/>
      <c r="AU25" s="14"/>
      <c r="AW25" s="304"/>
      <c r="AX25" s="169"/>
      <c r="AY25" s="169"/>
      <c r="AZ25" s="305"/>
      <c r="BA25" s="14"/>
      <c r="BR25" s="288"/>
      <c r="BS25" s="3"/>
      <c r="BT25" s="3"/>
      <c r="BU25" s="3"/>
      <c r="BV25" s="3"/>
      <c r="BW25" s="3"/>
      <c r="BX25" s="3"/>
      <c r="BY25" s="3"/>
    </row>
    <row r="26" ht="13.5" customHeight="1">
      <c r="B26" s="304"/>
      <c r="C26" s="169"/>
      <c r="D26" s="306"/>
      <c r="E26" s="14"/>
      <c r="G26" s="304"/>
      <c r="H26" s="169"/>
      <c r="I26" s="169"/>
      <c r="J26" s="305"/>
      <c r="K26" s="14"/>
      <c r="M26" s="304"/>
      <c r="N26" s="169"/>
      <c r="O26" s="169"/>
      <c r="P26" s="305"/>
      <c r="Q26" s="14"/>
      <c r="S26" s="304"/>
      <c r="T26" s="169"/>
      <c r="U26" s="169"/>
      <c r="V26" s="305"/>
      <c r="W26" s="14"/>
      <c r="Y26" s="304"/>
      <c r="Z26" s="169"/>
      <c r="AA26" s="169"/>
      <c r="AB26" s="305"/>
      <c r="AC26" s="14"/>
      <c r="AE26" s="304"/>
      <c r="AF26" s="169"/>
      <c r="AG26" s="169"/>
      <c r="AH26" s="305"/>
      <c r="AI26" s="14"/>
      <c r="AK26" s="304"/>
      <c r="AL26" s="169"/>
      <c r="AM26" s="169"/>
      <c r="AN26" s="305"/>
      <c r="AO26" s="14"/>
      <c r="AQ26" s="304"/>
      <c r="AR26" s="169"/>
      <c r="AS26" s="169"/>
      <c r="AT26" s="305"/>
      <c r="AU26" s="14"/>
      <c r="AW26" s="304"/>
      <c r="AX26" s="169"/>
      <c r="AY26" s="169"/>
      <c r="AZ26" s="305"/>
      <c r="BA26" s="14"/>
      <c r="BR26" s="288"/>
      <c r="BS26" s="3"/>
      <c r="BT26" s="3"/>
      <c r="BU26" s="3"/>
      <c r="BV26" s="3"/>
      <c r="BW26" s="3"/>
      <c r="BX26" s="3"/>
      <c r="BY26" s="3"/>
    </row>
    <row r="27" ht="13.5" customHeight="1">
      <c r="B27" s="304"/>
      <c r="C27" s="169"/>
      <c r="D27" s="306"/>
      <c r="E27" s="14"/>
      <c r="G27" s="304"/>
      <c r="H27" s="169"/>
      <c r="I27" s="169"/>
      <c r="J27" s="305"/>
      <c r="K27" s="14"/>
      <c r="M27" s="304"/>
      <c r="N27" s="169"/>
      <c r="O27" s="169"/>
      <c r="P27" s="305"/>
      <c r="Q27" s="14"/>
      <c r="S27" s="304"/>
      <c r="T27" s="169"/>
      <c r="U27" s="169"/>
      <c r="V27" s="305"/>
      <c r="W27" s="14"/>
      <c r="Y27" s="304"/>
      <c r="Z27" s="169"/>
      <c r="AA27" s="169"/>
      <c r="AB27" s="305"/>
      <c r="AC27" s="14"/>
      <c r="AE27" s="304"/>
      <c r="AF27" s="169"/>
      <c r="AG27" s="169"/>
      <c r="AH27" s="305"/>
      <c r="AI27" s="14"/>
      <c r="AK27" s="304"/>
      <c r="AL27" s="169"/>
      <c r="AM27" s="169"/>
      <c r="AN27" s="305"/>
      <c r="AO27" s="14"/>
      <c r="AQ27" s="304"/>
      <c r="AR27" s="169"/>
      <c r="AS27" s="169"/>
      <c r="AT27" s="305"/>
      <c r="AU27" s="14"/>
      <c r="AW27" s="304"/>
      <c r="AX27" s="169"/>
      <c r="AY27" s="169"/>
      <c r="AZ27" s="305"/>
      <c r="BA27" s="14"/>
      <c r="BR27" s="288"/>
      <c r="BS27" s="3"/>
      <c r="BT27" s="3"/>
      <c r="BU27" s="3"/>
      <c r="BV27" s="3"/>
      <c r="BW27" s="3"/>
      <c r="BX27" s="3"/>
      <c r="BY27" s="3"/>
    </row>
    <row r="28" ht="13.5" customHeight="1">
      <c r="A28" s="6"/>
      <c r="B28" s="300" t="s">
        <v>420</v>
      </c>
      <c r="C28" s="301"/>
      <c r="D28" s="302"/>
      <c r="E28" s="14"/>
      <c r="F28" s="6"/>
      <c r="G28" s="300" t="s">
        <v>420</v>
      </c>
      <c r="H28" s="301"/>
      <c r="I28" s="301"/>
      <c r="J28" s="302"/>
      <c r="K28" s="14"/>
      <c r="L28" s="6"/>
      <c r="M28" s="300" t="s">
        <v>420</v>
      </c>
      <c r="N28" s="301"/>
      <c r="O28" s="301"/>
      <c r="P28" s="302"/>
      <c r="Q28" s="14"/>
      <c r="R28" s="6"/>
      <c r="S28" s="300" t="s">
        <v>420</v>
      </c>
      <c r="T28" s="301"/>
      <c r="U28" s="301"/>
      <c r="V28" s="302"/>
      <c r="W28" s="14"/>
      <c r="X28" s="6"/>
      <c r="Y28" s="300" t="s">
        <v>420</v>
      </c>
      <c r="Z28" s="301"/>
      <c r="AA28" s="301"/>
      <c r="AB28" s="302"/>
      <c r="AC28" s="14"/>
      <c r="AD28" s="6"/>
      <c r="AE28" s="300" t="s">
        <v>420</v>
      </c>
      <c r="AF28" s="301"/>
      <c r="AG28" s="301"/>
      <c r="AH28" s="302"/>
      <c r="AI28" s="14"/>
      <c r="AJ28" s="6"/>
      <c r="AK28" s="300" t="s">
        <v>420</v>
      </c>
      <c r="AL28" s="301"/>
      <c r="AM28" s="301"/>
      <c r="AN28" s="302"/>
      <c r="AO28" s="14"/>
      <c r="AP28" s="6"/>
      <c r="AQ28" s="300" t="s">
        <v>420</v>
      </c>
      <c r="AR28" s="301"/>
      <c r="AS28" s="301"/>
      <c r="AT28" s="302"/>
      <c r="AU28" s="14"/>
      <c r="AV28" s="6"/>
      <c r="AW28" s="300" t="s">
        <v>420</v>
      </c>
      <c r="AX28" s="301"/>
      <c r="AY28" s="301"/>
      <c r="AZ28" s="302"/>
      <c r="BA28" s="14"/>
      <c r="BR28" s="288"/>
      <c r="BS28" s="3"/>
      <c r="BT28" s="3"/>
      <c r="BU28" s="3"/>
      <c r="BV28" s="3"/>
      <c r="BW28" s="3"/>
      <c r="BX28" s="3"/>
      <c r="BY28" s="3"/>
    </row>
    <row r="29" ht="13.5" customHeight="1">
      <c r="A29" s="6"/>
      <c r="B29" s="303" t="s">
        <v>421</v>
      </c>
      <c r="C29" s="301"/>
      <c r="D29" s="302"/>
      <c r="E29" s="14"/>
      <c r="F29" s="6"/>
      <c r="G29" s="303" t="s">
        <v>422</v>
      </c>
      <c r="H29" s="301"/>
      <c r="I29" s="301"/>
      <c r="J29" s="302"/>
      <c r="K29" s="14"/>
      <c r="L29" s="6"/>
      <c r="M29" s="303" t="s">
        <v>423</v>
      </c>
      <c r="N29" s="301"/>
      <c r="O29" s="301"/>
      <c r="P29" s="302"/>
      <c r="Q29" s="14"/>
      <c r="R29" s="6"/>
      <c r="S29" s="303" t="s">
        <v>422</v>
      </c>
      <c r="T29" s="301"/>
      <c r="U29" s="301"/>
      <c r="V29" s="302"/>
      <c r="W29" s="14"/>
      <c r="X29" s="6"/>
      <c r="Y29" s="303" t="s">
        <v>421</v>
      </c>
      <c r="Z29" s="301"/>
      <c r="AA29" s="301"/>
      <c r="AB29" s="302"/>
      <c r="AC29" s="14"/>
      <c r="AD29" s="6"/>
      <c r="AE29" s="303" t="s">
        <v>424</v>
      </c>
      <c r="AF29" s="301"/>
      <c r="AG29" s="301"/>
      <c r="AH29" s="302"/>
      <c r="AI29" s="14"/>
      <c r="AJ29" s="6"/>
      <c r="AK29" s="303" t="s">
        <v>424</v>
      </c>
      <c r="AL29" s="301"/>
      <c r="AM29" s="301"/>
      <c r="AN29" s="302"/>
      <c r="AO29" s="14"/>
      <c r="AQ29" s="304"/>
      <c r="AR29" s="169"/>
      <c r="AS29" s="169"/>
      <c r="AT29" s="305"/>
      <c r="AU29" s="14"/>
      <c r="AW29" s="304"/>
      <c r="AX29" s="169"/>
      <c r="AY29" s="169"/>
      <c r="AZ29" s="305"/>
      <c r="BA29" s="14"/>
      <c r="BR29" s="288"/>
      <c r="BS29" s="3"/>
      <c r="BT29" s="3"/>
      <c r="BU29" s="3"/>
      <c r="BV29" s="3"/>
      <c r="BW29" s="3"/>
      <c r="BX29" s="3"/>
      <c r="BY29" s="3"/>
    </row>
    <row r="30" ht="13.5" customHeight="1">
      <c r="A30" s="6"/>
      <c r="B30" s="303" t="s">
        <v>424</v>
      </c>
      <c r="C30" s="301"/>
      <c r="D30" s="302"/>
      <c r="E30" s="14"/>
      <c r="F30" s="6"/>
      <c r="G30" s="303" t="s">
        <v>425</v>
      </c>
      <c r="H30" s="301"/>
      <c r="I30" s="301"/>
      <c r="J30" s="302"/>
      <c r="K30" s="14"/>
      <c r="L30" s="6"/>
      <c r="M30" s="303" t="s">
        <v>421</v>
      </c>
      <c r="N30" s="301"/>
      <c r="O30" s="301"/>
      <c r="P30" s="302"/>
      <c r="Q30" s="14"/>
      <c r="R30" s="6"/>
      <c r="S30" s="303" t="s">
        <v>425</v>
      </c>
      <c r="T30" s="301"/>
      <c r="U30" s="301"/>
      <c r="V30" s="302"/>
      <c r="W30" s="14"/>
      <c r="X30" s="6"/>
      <c r="Y30" s="303" t="s">
        <v>424</v>
      </c>
      <c r="Z30" s="301"/>
      <c r="AA30" s="301"/>
      <c r="AB30" s="302"/>
      <c r="AC30" s="14"/>
      <c r="AD30" s="6"/>
      <c r="AE30" s="303" t="s">
        <v>426</v>
      </c>
      <c r="AF30" s="301"/>
      <c r="AG30" s="301"/>
      <c r="AH30" s="302"/>
      <c r="AI30" s="14"/>
      <c r="AJ30" s="6"/>
      <c r="AK30" s="303" t="s">
        <v>426</v>
      </c>
      <c r="AL30" s="301"/>
      <c r="AM30" s="301"/>
      <c r="AN30" s="302"/>
      <c r="AO30" s="14"/>
      <c r="AQ30" s="304"/>
      <c r="AR30" s="169"/>
      <c r="AS30" s="169"/>
      <c r="AT30" s="305"/>
      <c r="AU30" s="14"/>
      <c r="AW30" s="304"/>
      <c r="AX30" s="169"/>
      <c r="AY30" s="169"/>
      <c r="AZ30" s="305"/>
      <c r="BA30" s="14"/>
      <c r="BR30" s="288"/>
      <c r="BS30" s="3"/>
      <c r="BT30" s="3"/>
      <c r="BU30" s="3"/>
      <c r="BV30" s="3"/>
      <c r="BW30" s="3"/>
      <c r="BX30" s="3"/>
      <c r="BY30" s="3"/>
    </row>
    <row r="31" ht="13.5" customHeight="1">
      <c r="A31" s="6"/>
      <c r="B31" s="303" t="s">
        <v>426</v>
      </c>
      <c r="C31" s="301"/>
      <c r="D31" s="302"/>
      <c r="E31" s="14"/>
      <c r="G31" s="304"/>
      <c r="H31" s="169"/>
      <c r="I31" s="169"/>
      <c r="J31" s="305"/>
      <c r="K31" s="14"/>
      <c r="L31" s="6"/>
      <c r="M31" s="303" t="s">
        <v>424</v>
      </c>
      <c r="N31" s="301"/>
      <c r="O31" s="301"/>
      <c r="P31" s="302"/>
      <c r="Q31" s="14"/>
      <c r="S31" s="304"/>
      <c r="T31" s="169"/>
      <c r="U31" s="169"/>
      <c r="V31" s="305"/>
      <c r="W31" s="14"/>
      <c r="X31" s="6"/>
      <c r="Y31" s="303" t="s">
        <v>426</v>
      </c>
      <c r="Z31" s="301"/>
      <c r="AA31" s="301"/>
      <c r="AB31" s="302"/>
      <c r="AC31" s="14"/>
      <c r="AD31" s="6"/>
      <c r="AE31" s="303" t="s">
        <v>422</v>
      </c>
      <c r="AF31" s="301"/>
      <c r="AG31" s="301"/>
      <c r="AH31" s="302"/>
      <c r="AI31" s="14"/>
      <c r="AJ31" s="6"/>
      <c r="AK31" s="303" t="s">
        <v>422</v>
      </c>
      <c r="AL31" s="301"/>
      <c r="AM31" s="301"/>
      <c r="AN31" s="302"/>
      <c r="AO31" s="14"/>
      <c r="AQ31" s="304"/>
      <c r="AR31" s="169"/>
      <c r="AS31" s="169"/>
      <c r="AT31" s="305"/>
      <c r="AU31" s="14"/>
      <c r="AW31" s="304"/>
      <c r="AX31" s="169"/>
      <c r="AY31" s="169"/>
      <c r="AZ31" s="305"/>
      <c r="BA31" s="14"/>
      <c r="BR31" s="288"/>
      <c r="BS31" s="3"/>
      <c r="BT31" s="3"/>
      <c r="BU31" s="3"/>
      <c r="BV31" s="3"/>
      <c r="BW31" s="3"/>
      <c r="BX31" s="3"/>
      <c r="BY31" s="3"/>
    </row>
    <row r="32" ht="13.5" customHeight="1">
      <c r="A32" s="6"/>
      <c r="B32" s="303" t="s">
        <v>422</v>
      </c>
      <c r="C32" s="301"/>
      <c r="D32" s="302"/>
      <c r="E32" s="14"/>
      <c r="G32" s="304"/>
      <c r="H32" s="169"/>
      <c r="I32" s="169"/>
      <c r="J32" s="305"/>
      <c r="K32" s="14"/>
      <c r="L32" s="6"/>
      <c r="M32" s="303" t="s">
        <v>426</v>
      </c>
      <c r="N32" s="301"/>
      <c r="O32" s="301"/>
      <c r="P32" s="302"/>
      <c r="Q32" s="14"/>
      <c r="S32" s="304"/>
      <c r="T32" s="169"/>
      <c r="U32" s="169"/>
      <c r="V32" s="305"/>
      <c r="W32" s="14"/>
      <c r="X32" s="6"/>
      <c r="Y32" s="303" t="s">
        <v>422</v>
      </c>
      <c r="Z32" s="301"/>
      <c r="AA32" s="301"/>
      <c r="AB32" s="302"/>
      <c r="AC32" s="14"/>
      <c r="AD32" s="6"/>
      <c r="AE32" s="303" t="s">
        <v>425</v>
      </c>
      <c r="AF32" s="301"/>
      <c r="AG32" s="301"/>
      <c r="AH32" s="302"/>
      <c r="AI32" s="14"/>
      <c r="AJ32" s="6"/>
      <c r="AK32" s="303" t="s">
        <v>425</v>
      </c>
      <c r="AL32" s="301"/>
      <c r="AM32" s="301"/>
      <c r="AN32" s="302"/>
      <c r="AO32" s="14"/>
      <c r="AQ32" s="304"/>
      <c r="AR32" s="169"/>
      <c r="AS32" s="169"/>
      <c r="AT32" s="305"/>
      <c r="AU32" s="14"/>
      <c r="AW32" s="304"/>
      <c r="AX32" s="169"/>
      <c r="AY32" s="169"/>
      <c r="AZ32" s="305"/>
      <c r="BA32" s="14"/>
      <c r="BR32" s="288"/>
      <c r="BS32" s="3"/>
      <c r="BT32" s="3"/>
      <c r="BU32" s="3"/>
      <c r="BV32" s="3"/>
      <c r="BW32" s="3"/>
      <c r="BX32" s="3"/>
      <c r="BY32" s="3"/>
    </row>
    <row r="33" ht="13.5" customHeight="1">
      <c r="A33" s="6"/>
      <c r="B33" s="303" t="s">
        <v>425</v>
      </c>
      <c r="C33" s="301"/>
      <c r="D33" s="302"/>
      <c r="E33" s="14"/>
      <c r="G33" s="304"/>
      <c r="H33" s="169"/>
      <c r="I33" s="169"/>
      <c r="J33" s="305"/>
      <c r="K33" s="14"/>
      <c r="L33" s="6"/>
      <c r="M33" s="303" t="s">
        <v>422</v>
      </c>
      <c r="N33" s="301"/>
      <c r="O33" s="301"/>
      <c r="P33" s="302"/>
      <c r="Q33" s="14"/>
      <c r="S33" s="304"/>
      <c r="T33" s="169"/>
      <c r="U33" s="169"/>
      <c r="V33" s="305"/>
      <c r="W33" s="14"/>
      <c r="X33" s="6"/>
      <c r="Y33" s="303" t="s">
        <v>425</v>
      </c>
      <c r="Z33" s="301"/>
      <c r="AA33" s="301"/>
      <c r="AB33" s="302"/>
      <c r="AC33" s="14"/>
      <c r="AE33" s="304"/>
      <c r="AF33" s="169"/>
      <c r="AG33" s="169"/>
      <c r="AH33" s="305"/>
      <c r="AI33" s="14"/>
      <c r="AK33" s="304"/>
      <c r="AL33" s="169"/>
      <c r="AM33" s="169"/>
      <c r="AN33" s="305"/>
      <c r="AO33" s="14"/>
      <c r="AQ33" s="304"/>
      <c r="AR33" s="169"/>
      <c r="AS33" s="169"/>
      <c r="AT33" s="305"/>
      <c r="AU33" s="14"/>
      <c r="AW33" s="304"/>
      <c r="AX33" s="169"/>
      <c r="AY33" s="169"/>
      <c r="AZ33" s="305"/>
      <c r="BA33" s="14"/>
      <c r="BR33" s="288"/>
      <c r="BS33" s="3"/>
      <c r="BT33" s="3"/>
      <c r="BU33" s="3"/>
      <c r="BV33" s="3"/>
      <c r="BW33" s="3"/>
      <c r="BX33" s="3"/>
      <c r="BY33" s="3"/>
    </row>
    <row r="34" ht="13.5" customHeight="1">
      <c r="B34" s="304"/>
      <c r="C34" s="169"/>
      <c r="D34" s="306"/>
      <c r="E34" s="14"/>
      <c r="G34" s="304"/>
      <c r="H34" s="169"/>
      <c r="I34" s="169"/>
      <c r="J34" s="305"/>
      <c r="K34" s="14"/>
      <c r="L34" s="6"/>
      <c r="M34" s="303" t="s">
        <v>425</v>
      </c>
      <c r="N34" s="301"/>
      <c r="O34" s="301"/>
      <c r="P34" s="302"/>
      <c r="Q34" s="14"/>
      <c r="S34" s="304"/>
      <c r="T34" s="169"/>
      <c r="U34" s="169"/>
      <c r="V34" s="305"/>
      <c r="W34" s="14"/>
      <c r="Y34" s="304"/>
      <c r="Z34" s="169"/>
      <c r="AA34" s="169"/>
      <c r="AB34" s="305"/>
      <c r="AC34" s="14"/>
      <c r="AE34" s="304"/>
      <c r="AF34" s="169"/>
      <c r="AG34" s="169"/>
      <c r="AH34" s="305"/>
      <c r="AI34" s="14"/>
      <c r="AK34" s="304"/>
      <c r="AL34" s="169"/>
      <c r="AM34" s="169"/>
      <c r="AN34" s="305"/>
      <c r="AO34" s="14"/>
      <c r="AQ34" s="304"/>
      <c r="AR34" s="169"/>
      <c r="AS34" s="169"/>
      <c r="AT34" s="305"/>
      <c r="AU34" s="14"/>
      <c r="AW34" s="304"/>
      <c r="AX34" s="169"/>
      <c r="AY34" s="169"/>
      <c r="AZ34" s="305"/>
      <c r="BA34" s="14"/>
      <c r="BR34" s="288"/>
      <c r="BS34" s="3"/>
      <c r="BT34" s="3"/>
      <c r="BU34" s="3"/>
      <c r="BV34" s="3"/>
      <c r="BW34" s="3"/>
      <c r="BX34" s="3"/>
      <c r="BY34" s="3"/>
    </row>
    <row r="35" ht="13.5" customHeight="1">
      <c r="B35" s="304"/>
      <c r="C35" s="169"/>
      <c r="D35" s="306"/>
      <c r="E35" s="14"/>
      <c r="G35" s="304"/>
      <c r="H35" s="169"/>
      <c r="I35" s="169"/>
      <c r="J35" s="305"/>
      <c r="K35" s="14"/>
      <c r="M35" s="304"/>
      <c r="N35" s="169"/>
      <c r="O35" s="169"/>
      <c r="P35" s="305"/>
      <c r="Q35" s="14"/>
      <c r="S35" s="304"/>
      <c r="T35" s="169"/>
      <c r="U35" s="169"/>
      <c r="V35" s="305"/>
      <c r="W35" s="14"/>
      <c r="Y35" s="304"/>
      <c r="Z35" s="169"/>
      <c r="AA35" s="169"/>
      <c r="AB35" s="305"/>
      <c r="AC35" s="14"/>
      <c r="AE35" s="304"/>
      <c r="AF35" s="169"/>
      <c r="AG35" s="169"/>
      <c r="AH35" s="305"/>
      <c r="AI35" s="14"/>
      <c r="AK35" s="304"/>
      <c r="AL35" s="169"/>
      <c r="AM35" s="169"/>
      <c r="AN35" s="305"/>
      <c r="AO35" s="14"/>
      <c r="AQ35" s="304"/>
      <c r="AR35" s="169"/>
      <c r="AS35" s="169"/>
      <c r="AT35" s="305"/>
      <c r="AU35" s="14"/>
      <c r="AW35" s="304"/>
      <c r="AX35" s="169"/>
      <c r="AY35" s="169"/>
      <c r="AZ35" s="305"/>
      <c r="BA35" s="14"/>
      <c r="BR35" s="288"/>
      <c r="BS35" s="3"/>
      <c r="BT35" s="3"/>
      <c r="BU35" s="3"/>
      <c r="BV35" s="3"/>
      <c r="BW35" s="3"/>
      <c r="BX35" s="3"/>
      <c r="BY35" s="3"/>
    </row>
    <row r="36" ht="13.5" customHeight="1">
      <c r="B36" s="304"/>
      <c r="C36" s="169"/>
      <c r="D36" s="306"/>
      <c r="E36" s="14"/>
      <c r="G36" s="304"/>
      <c r="H36" s="169"/>
      <c r="I36" s="169"/>
      <c r="J36" s="305"/>
      <c r="K36" s="14"/>
      <c r="M36" s="304"/>
      <c r="N36" s="169"/>
      <c r="O36" s="169"/>
      <c r="P36" s="305"/>
      <c r="Q36" s="14"/>
      <c r="S36" s="304"/>
      <c r="T36" s="169"/>
      <c r="U36" s="169"/>
      <c r="V36" s="305"/>
      <c r="W36" s="14"/>
      <c r="Y36" s="304"/>
      <c r="Z36" s="169"/>
      <c r="AA36" s="169"/>
      <c r="AB36" s="305"/>
      <c r="AC36" s="14"/>
      <c r="AE36" s="304"/>
      <c r="AF36" s="169"/>
      <c r="AG36" s="169"/>
      <c r="AH36" s="305"/>
      <c r="AI36" s="14"/>
      <c r="AK36" s="304"/>
      <c r="AL36" s="169"/>
      <c r="AM36" s="169"/>
      <c r="AN36" s="305"/>
      <c r="AO36" s="14"/>
      <c r="AQ36" s="304"/>
      <c r="AR36" s="169"/>
      <c r="AS36" s="169"/>
      <c r="AT36" s="305"/>
      <c r="AU36" s="14"/>
      <c r="AW36" s="304"/>
      <c r="AX36" s="169"/>
      <c r="AY36" s="169"/>
      <c r="AZ36" s="305"/>
      <c r="BA36" s="14"/>
      <c r="BR36" s="288"/>
      <c r="BS36" s="3"/>
      <c r="BT36" s="3"/>
      <c r="BU36" s="3"/>
      <c r="BV36" s="3"/>
      <c r="BW36" s="3"/>
      <c r="BX36" s="3"/>
      <c r="BY36" s="3"/>
    </row>
    <row r="37" ht="13.5" customHeight="1">
      <c r="B37" s="304"/>
      <c r="C37" s="169"/>
      <c r="D37" s="306"/>
      <c r="E37" s="14"/>
      <c r="G37" s="304"/>
      <c r="H37" s="169"/>
      <c r="I37" s="169"/>
      <c r="J37" s="305"/>
      <c r="K37" s="14"/>
      <c r="M37" s="304"/>
      <c r="N37" s="169"/>
      <c r="O37" s="169"/>
      <c r="P37" s="305"/>
      <c r="Q37" s="14"/>
      <c r="S37" s="304"/>
      <c r="T37" s="169"/>
      <c r="U37" s="169"/>
      <c r="V37" s="305"/>
      <c r="W37" s="14"/>
      <c r="Y37" s="304"/>
      <c r="Z37" s="169"/>
      <c r="AA37" s="169"/>
      <c r="AB37" s="305"/>
      <c r="AC37" s="14"/>
      <c r="AE37" s="304"/>
      <c r="AF37" s="169"/>
      <c r="AG37" s="169"/>
      <c r="AH37" s="305"/>
      <c r="AI37" s="14"/>
      <c r="AK37" s="304"/>
      <c r="AL37" s="169"/>
      <c r="AM37" s="169"/>
      <c r="AN37" s="305"/>
      <c r="AO37" s="14"/>
      <c r="AQ37" s="304"/>
      <c r="AR37" s="169"/>
      <c r="AS37" s="169"/>
      <c r="AT37" s="305"/>
      <c r="AU37" s="14"/>
      <c r="AW37" s="304"/>
      <c r="AX37" s="169"/>
      <c r="AY37" s="169"/>
      <c r="AZ37" s="305"/>
      <c r="BA37" s="14"/>
      <c r="BR37" s="288"/>
      <c r="BS37" s="3"/>
      <c r="BT37" s="3"/>
      <c r="BU37" s="3"/>
      <c r="BV37" s="3"/>
      <c r="BW37" s="3"/>
      <c r="BX37" s="3"/>
      <c r="BY37" s="3"/>
    </row>
    <row r="38" ht="13.5" customHeight="1">
      <c r="B38" s="304"/>
      <c r="C38" s="169"/>
      <c r="D38" s="306"/>
      <c r="E38" s="14"/>
      <c r="G38" s="304"/>
      <c r="H38" s="169"/>
      <c r="I38" s="169"/>
      <c r="J38" s="305"/>
      <c r="K38" s="14"/>
      <c r="M38" s="304"/>
      <c r="N38" s="169"/>
      <c r="O38" s="169"/>
      <c r="P38" s="305"/>
      <c r="Q38" s="14"/>
      <c r="S38" s="304"/>
      <c r="T38" s="169"/>
      <c r="U38" s="169"/>
      <c r="V38" s="305"/>
      <c r="W38" s="14"/>
      <c r="Y38" s="304"/>
      <c r="Z38" s="169"/>
      <c r="AA38" s="169"/>
      <c r="AB38" s="305"/>
      <c r="AC38" s="14"/>
      <c r="AE38" s="304"/>
      <c r="AF38" s="169"/>
      <c r="AG38" s="169"/>
      <c r="AH38" s="305"/>
      <c r="AI38" s="14"/>
      <c r="AK38" s="304"/>
      <c r="AL38" s="169"/>
      <c r="AM38" s="169"/>
      <c r="AN38" s="305"/>
      <c r="AO38" s="14"/>
      <c r="AQ38" s="304"/>
      <c r="AR38" s="169"/>
      <c r="AS38" s="169"/>
      <c r="AT38" s="305"/>
      <c r="AU38" s="14"/>
      <c r="AW38" s="304"/>
      <c r="AX38" s="169"/>
      <c r="AY38" s="169"/>
      <c r="AZ38" s="305"/>
      <c r="BA38" s="14"/>
      <c r="BR38" s="288"/>
      <c r="BS38" s="3"/>
      <c r="BT38" s="3"/>
      <c r="BU38" s="3"/>
      <c r="BV38" s="3"/>
      <c r="BW38" s="3"/>
      <c r="BX38" s="3"/>
      <c r="BY38" s="3"/>
    </row>
    <row r="39" ht="13.5" customHeight="1">
      <c r="B39" s="304"/>
      <c r="C39" s="169"/>
      <c r="D39" s="306"/>
      <c r="E39" s="14"/>
      <c r="G39" s="304"/>
      <c r="H39" s="169"/>
      <c r="I39" s="169"/>
      <c r="J39" s="305"/>
      <c r="K39" s="14"/>
      <c r="M39" s="304"/>
      <c r="N39" s="169"/>
      <c r="O39" s="169"/>
      <c r="P39" s="305"/>
      <c r="Q39" s="14"/>
      <c r="S39" s="304"/>
      <c r="T39" s="169"/>
      <c r="U39" s="169"/>
      <c r="V39" s="305"/>
      <c r="W39" s="14"/>
      <c r="Y39" s="304"/>
      <c r="Z39" s="169"/>
      <c r="AA39" s="169"/>
      <c r="AB39" s="305"/>
      <c r="AC39" s="14"/>
      <c r="AE39" s="304"/>
      <c r="AF39" s="169"/>
      <c r="AG39" s="169"/>
      <c r="AH39" s="305"/>
      <c r="AI39" s="14"/>
      <c r="AK39" s="304"/>
      <c r="AL39" s="169"/>
      <c r="AM39" s="169"/>
      <c r="AN39" s="305"/>
      <c r="AO39" s="14"/>
      <c r="AQ39" s="304"/>
      <c r="AR39" s="169"/>
      <c r="AS39" s="169"/>
      <c r="AT39" s="305"/>
      <c r="AU39" s="14"/>
      <c r="AW39" s="304"/>
      <c r="AX39" s="169"/>
      <c r="AY39" s="169"/>
      <c r="AZ39" s="305"/>
      <c r="BA39" s="14"/>
      <c r="BR39" s="288"/>
      <c r="BS39" s="3"/>
      <c r="BT39" s="3"/>
      <c r="BU39" s="3"/>
      <c r="BV39" s="3"/>
      <c r="BW39" s="3"/>
      <c r="BX39" s="3"/>
      <c r="BY39" s="3"/>
    </row>
    <row r="40" ht="13.5" customHeight="1">
      <c r="B40" s="304"/>
      <c r="C40" s="169"/>
      <c r="D40" s="306"/>
      <c r="E40" s="14"/>
      <c r="G40" s="304"/>
      <c r="H40" s="169"/>
      <c r="I40" s="169"/>
      <c r="J40" s="305"/>
      <c r="K40" s="14"/>
      <c r="M40" s="304"/>
      <c r="N40" s="169"/>
      <c r="O40" s="169"/>
      <c r="P40" s="305"/>
      <c r="Q40" s="14"/>
      <c r="S40" s="304"/>
      <c r="T40" s="169"/>
      <c r="U40" s="169"/>
      <c r="V40" s="305"/>
      <c r="W40" s="14"/>
      <c r="Y40" s="304"/>
      <c r="Z40" s="169"/>
      <c r="AA40" s="169"/>
      <c r="AB40" s="305"/>
      <c r="AC40" s="14"/>
      <c r="AE40" s="304"/>
      <c r="AF40" s="169"/>
      <c r="AG40" s="169"/>
      <c r="AH40" s="305"/>
      <c r="AI40" s="14"/>
      <c r="AK40" s="304"/>
      <c r="AL40" s="169"/>
      <c r="AM40" s="169"/>
      <c r="AN40" s="305"/>
      <c r="AO40" s="14"/>
      <c r="AQ40" s="304"/>
      <c r="AR40" s="169"/>
      <c r="AS40" s="169"/>
      <c r="AT40" s="305"/>
      <c r="AU40" s="14"/>
      <c r="AW40" s="304"/>
      <c r="AX40" s="169"/>
      <c r="AY40" s="169"/>
      <c r="AZ40" s="305"/>
      <c r="BA40" s="14"/>
      <c r="BR40" s="288"/>
      <c r="BS40" s="3"/>
      <c r="BT40" s="3"/>
      <c r="BU40" s="3"/>
      <c r="BV40" s="3"/>
      <c r="BW40" s="3"/>
      <c r="BX40" s="3"/>
      <c r="BY40" s="3"/>
    </row>
    <row r="41" ht="13.5" customHeight="1">
      <c r="A41" s="6"/>
      <c r="B41" s="300" t="s">
        <v>427</v>
      </c>
      <c r="C41" s="301"/>
      <c r="D41" s="302"/>
      <c r="E41" s="14"/>
      <c r="F41" s="6"/>
      <c r="G41" s="300" t="s">
        <v>427</v>
      </c>
      <c r="H41" s="301"/>
      <c r="I41" s="301"/>
      <c r="J41" s="302"/>
      <c r="K41" s="14"/>
      <c r="L41" s="6"/>
      <c r="M41" s="300" t="s">
        <v>427</v>
      </c>
      <c r="N41" s="301"/>
      <c r="O41" s="301"/>
      <c r="P41" s="302"/>
      <c r="Q41" s="14"/>
      <c r="R41" s="6"/>
      <c r="S41" s="300" t="s">
        <v>427</v>
      </c>
      <c r="T41" s="301"/>
      <c r="U41" s="301"/>
      <c r="V41" s="302"/>
      <c r="W41" s="14"/>
      <c r="X41" s="6"/>
      <c r="Y41" s="300" t="s">
        <v>427</v>
      </c>
      <c r="Z41" s="301"/>
      <c r="AA41" s="301"/>
      <c r="AB41" s="302"/>
      <c r="AC41" s="14"/>
      <c r="AD41" s="6"/>
      <c r="AE41" s="300" t="s">
        <v>427</v>
      </c>
      <c r="AF41" s="301"/>
      <c r="AG41" s="301"/>
      <c r="AH41" s="302"/>
      <c r="AI41" s="14"/>
      <c r="AJ41" s="6"/>
      <c r="AK41" s="300" t="s">
        <v>427</v>
      </c>
      <c r="AL41" s="301"/>
      <c r="AM41" s="301"/>
      <c r="AN41" s="302"/>
      <c r="AO41" s="14"/>
      <c r="AP41" s="6"/>
      <c r="AQ41" s="300" t="s">
        <v>427</v>
      </c>
      <c r="AR41" s="301"/>
      <c r="AS41" s="301"/>
      <c r="AT41" s="302"/>
      <c r="AU41" s="14"/>
      <c r="AV41" s="6"/>
      <c r="AW41" s="300" t="s">
        <v>427</v>
      </c>
      <c r="AX41" s="301"/>
      <c r="AY41" s="301"/>
      <c r="AZ41" s="302"/>
      <c r="BA41" s="14"/>
      <c r="BR41" s="288"/>
      <c r="BS41" s="3"/>
      <c r="BT41" s="3"/>
      <c r="BU41" s="3"/>
      <c r="BV41" s="3"/>
      <c r="BW41" s="3"/>
      <c r="BX41" s="3"/>
      <c r="BY41" s="3"/>
    </row>
    <row r="42" ht="13.5" customHeight="1">
      <c r="A42" s="6"/>
      <c r="B42" s="303" t="s">
        <v>428</v>
      </c>
      <c r="C42" s="301"/>
      <c r="D42" s="302"/>
      <c r="E42" s="14"/>
      <c r="F42" s="6"/>
      <c r="G42" s="303" t="s">
        <v>429</v>
      </c>
      <c r="H42" s="301"/>
      <c r="I42" s="301"/>
      <c r="J42" s="302"/>
      <c r="K42" s="14"/>
      <c r="L42" s="6"/>
      <c r="M42" s="303" t="s">
        <v>430</v>
      </c>
      <c r="N42" s="301"/>
      <c r="O42" s="301"/>
      <c r="P42" s="302"/>
      <c r="Q42" s="14"/>
      <c r="R42" s="6"/>
      <c r="S42" s="303" t="s">
        <v>429</v>
      </c>
      <c r="T42" s="301"/>
      <c r="U42" s="301"/>
      <c r="V42" s="302"/>
      <c r="W42" s="14"/>
      <c r="X42" s="6"/>
      <c r="Y42" s="303" t="s">
        <v>431</v>
      </c>
      <c r="Z42" s="301"/>
      <c r="AA42" s="301"/>
      <c r="AB42" s="302"/>
      <c r="AC42" s="14"/>
      <c r="AD42" s="6"/>
      <c r="AE42" s="303" t="s">
        <v>432</v>
      </c>
      <c r="AF42" s="301"/>
      <c r="AG42" s="301"/>
      <c r="AH42" s="302"/>
      <c r="AI42" s="14"/>
      <c r="AJ42" s="6"/>
      <c r="AK42" s="303" t="s">
        <v>428</v>
      </c>
      <c r="AL42" s="301"/>
      <c r="AM42" s="301"/>
      <c r="AN42" s="302"/>
      <c r="AO42" s="14"/>
      <c r="AQ42" s="304"/>
      <c r="AR42" s="169"/>
      <c r="AS42" s="169"/>
      <c r="AT42" s="305"/>
      <c r="AU42" s="14"/>
      <c r="AW42" s="304"/>
      <c r="AX42" s="169"/>
      <c r="AY42" s="169"/>
      <c r="AZ42" s="305"/>
      <c r="BA42" s="14"/>
      <c r="BR42" s="288"/>
      <c r="BS42" s="3"/>
      <c r="BT42" s="3"/>
      <c r="BU42" s="3"/>
      <c r="BV42" s="3"/>
      <c r="BW42" s="3"/>
      <c r="BX42" s="3"/>
      <c r="BY42" s="3"/>
    </row>
    <row r="43" ht="13.5" customHeight="1">
      <c r="A43" s="6"/>
      <c r="B43" s="303" t="s">
        <v>432</v>
      </c>
      <c r="C43" s="301"/>
      <c r="D43" s="302"/>
      <c r="E43" s="14"/>
      <c r="F43" s="6"/>
      <c r="G43" s="303" t="s">
        <v>433</v>
      </c>
      <c r="H43" s="301"/>
      <c r="I43" s="301"/>
      <c r="J43" s="302"/>
      <c r="K43" s="14"/>
      <c r="L43" s="6"/>
      <c r="M43" s="303" t="s">
        <v>431</v>
      </c>
      <c r="N43" s="301"/>
      <c r="O43" s="301"/>
      <c r="P43" s="302"/>
      <c r="Q43" s="14"/>
      <c r="R43" s="6"/>
      <c r="S43" s="303" t="s">
        <v>433</v>
      </c>
      <c r="T43" s="301"/>
      <c r="U43" s="301"/>
      <c r="V43" s="302"/>
      <c r="W43" s="14"/>
      <c r="X43" s="6"/>
      <c r="Y43" s="303" t="s">
        <v>428</v>
      </c>
      <c r="Z43" s="301"/>
      <c r="AA43" s="301"/>
      <c r="AB43" s="302"/>
      <c r="AC43" s="14"/>
      <c r="AD43" s="6"/>
      <c r="AE43" s="303" t="s">
        <v>429</v>
      </c>
      <c r="AF43" s="301"/>
      <c r="AG43" s="301"/>
      <c r="AH43" s="302"/>
      <c r="AI43" s="14"/>
      <c r="AJ43" s="6"/>
      <c r="AK43" s="303" t="s">
        <v>432</v>
      </c>
      <c r="AL43" s="301"/>
      <c r="AM43" s="301"/>
      <c r="AN43" s="302"/>
      <c r="AO43" s="14"/>
      <c r="AQ43" s="304"/>
      <c r="AR43" s="169"/>
      <c r="AS43" s="169"/>
      <c r="AT43" s="305"/>
      <c r="AU43" s="14"/>
      <c r="AW43" s="304"/>
      <c r="AX43" s="169"/>
      <c r="AY43" s="169"/>
      <c r="AZ43" s="305"/>
      <c r="BA43" s="14"/>
      <c r="BR43" s="288"/>
      <c r="BS43" s="3"/>
      <c r="BT43" s="3"/>
      <c r="BU43" s="3"/>
      <c r="BV43" s="3"/>
      <c r="BW43" s="3"/>
      <c r="BX43" s="3"/>
      <c r="BY43" s="3"/>
    </row>
    <row r="44" ht="13.5" customHeight="1">
      <c r="A44" s="6"/>
      <c r="B44" s="303" t="s">
        <v>429</v>
      </c>
      <c r="C44" s="301"/>
      <c r="D44" s="302"/>
      <c r="E44" s="14"/>
      <c r="G44" s="304"/>
      <c r="H44" s="169"/>
      <c r="I44" s="169"/>
      <c r="J44" s="305"/>
      <c r="K44" s="14"/>
      <c r="L44" s="6"/>
      <c r="M44" s="303" t="s">
        <v>428</v>
      </c>
      <c r="N44" s="301"/>
      <c r="O44" s="301"/>
      <c r="P44" s="302"/>
      <c r="Q44" s="14"/>
      <c r="S44" s="304"/>
      <c r="T44" s="169"/>
      <c r="U44" s="169"/>
      <c r="V44" s="305"/>
      <c r="W44" s="14"/>
      <c r="X44" s="6"/>
      <c r="Y44" s="303" t="s">
        <v>432</v>
      </c>
      <c r="Z44" s="301"/>
      <c r="AA44" s="301"/>
      <c r="AB44" s="302"/>
      <c r="AC44" s="14"/>
      <c r="AD44" s="6"/>
      <c r="AE44" s="303" t="s">
        <v>433</v>
      </c>
      <c r="AF44" s="301"/>
      <c r="AG44" s="301"/>
      <c r="AH44" s="302"/>
      <c r="AI44" s="14"/>
      <c r="AJ44" s="6"/>
      <c r="AK44" s="303" t="s">
        <v>429</v>
      </c>
      <c r="AL44" s="301"/>
      <c r="AM44" s="301"/>
      <c r="AN44" s="302"/>
      <c r="AO44" s="14"/>
      <c r="AQ44" s="304"/>
      <c r="AR44" s="169"/>
      <c r="AS44" s="169"/>
      <c r="AT44" s="305"/>
      <c r="AU44" s="14"/>
      <c r="AW44" s="304"/>
      <c r="AX44" s="169"/>
      <c r="AY44" s="169"/>
      <c r="AZ44" s="305"/>
      <c r="BA44" s="14"/>
      <c r="BR44" s="288"/>
      <c r="BS44" s="3"/>
      <c r="BT44" s="3"/>
      <c r="BU44" s="3"/>
      <c r="BV44" s="3"/>
      <c r="BW44" s="3"/>
      <c r="BX44" s="3"/>
      <c r="BY44" s="3"/>
    </row>
    <row r="45" ht="13.5" customHeight="1">
      <c r="A45" s="6"/>
      <c r="B45" s="303" t="s">
        <v>433</v>
      </c>
      <c r="C45" s="301"/>
      <c r="D45" s="302"/>
      <c r="E45" s="14"/>
      <c r="G45" s="304"/>
      <c r="H45" s="169"/>
      <c r="I45" s="169"/>
      <c r="J45" s="305"/>
      <c r="K45" s="14"/>
      <c r="L45" s="6"/>
      <c r="M45" s="303" t="s">
        <v>432</v>
      </c>
      <c r="N45" s="301"/>
      <c r="O45" s="301"/>
      <c r="P45" s="302"/>
      <c r="Q45" s="14"/>
      <c r="S45" s="304"/>
      <c r="T45" s="169"/>
      <c r="U45" s="169"/>
      <c r="V45" s="305"/>
      <c r="W45" s="14"/>
      <c r="X45" s="6"/>
      <c r="Y45" s="303" t="s">
        <v>429</v>
      </c>
      <c r="Z45" s="301"/>
      <c r="AA45" s="301"/>
      <c r="AB45" s="302"/>
      <c r="AC45" s="14"/>
      <c r="AE45" s="304"/>
      <c r="AF45" s="169"/>
      <c r="AG45" s="169"/>
      <c r="AH45" s="305"/>
      <c r="AI45" s="14"/>
      <c r="AJ45" s="6"/>
      <c r="AK45" s="303" t="s">
        <v>433</v>
      </c>
      <c r="AL45" s="301"/>
      <c r="AM45" s="301"/>
      <c r="AN45" s="302"/>
      <c r="AO45" s="14"/>
      <c r="AQ45" s="304"/>
      <c r="AR45" s="169"/>
      <c r="AS45" s="169"/>
      <c r="AT45" s="305"/>
      <c r="AU45" s="14"/>
      <c r="AW45" s="304"/>
      <c r="AX45" s="169"/>
      <c r="AY45" s="169"/>
      <c r="AZ45" s="305"/>
      <c r="BA45" s="14"/>
      <c r="BR45" s="288"/>
      <c r="BS45" s="3"/>
      <c r="BT45" s="3"/>
      <c r="BU45" s="3"/>
      <c r="BV45" s="3"/>
      <c r="BW45" s="3"/>
      <c r="BX45" s="3"/>
      <c r="BY45" s="3"/>
    </row>
    <row r="46" ht="13.5" customHeight="1">
      <c r="B46" s="304"/>
      <c r="C46" s="169"/>
      <c r="D46" s="306"/>
      <c r="E46" s="14"/>
      <c r="G46" s="304"/>
      <c r="H46" s="169"/>
      <c r="I46" s="169"/>
      <c r="J46" s="305"/>
      <c r="K46" s="14"/>
      <c r="L46" s="6"/>
      <c r="M46" s="303" t="s">
        <v>429</v>
      </c>
      <c r="N46" s="301"/>
      <c r="O46" s="301"/>
      <c r="P46" s="302"/>
      <c r="Q46" s="14"/>
      <c r="S46" s="304"/>
      <c r="T46" s="169"/>
      <c r="U46" s="169"/>
      <c r="V46" s="305"/>
      <c r="W46" s="14"/>
      <c r="X46" s="6"/>
      <c r="Y46" s="303" t="s">
        <v>433</v>
      </c>
      <c r="Z46" s="301"/>
      <c r="AA46" s="301"/>
      <c r="AB46" s="302"/>
      <c r="AC46" s="14"/>
      <c r="AE46" s="304"/>
      <c r="AF46" s="169"/>
      <c r="AG46" s="169"/>
      <c r="AH46" s="305"/>
      <c r="AI46" s="14"/>
      <c r="AK46" s="304"/>
      <c r="AL46" s="169"/>
      <c r="AM46" s="169"/>
      <c r="AN46" s="305"/>
      <c r="AO46" s="14"/>
      <c r="AQ46" s="304"/>
      <c r="AR46" s="169"/>
      <c r="AS46" s="169"/>
      <c r="AT46" s="305"/>
      <c r="AU46" s="14"/>
      <c r="AW46" s="304"/>
      <c r="AX46" s="169"/>
      <c r="AY46" s="169"/>
      <c r="AZ46" s="305"/>
      <c r="BA46" s="14"/>
      <c r="BR46" s="288"/>
      <c r="BS46" s="3"/>
      <c r="BT46" s="3"/>
      <c r="BU46" s="3"/>
      <c r="BV46" s="3"/>
      <c r="BW46" s="3"/>
      <c r="BX46" s="3"/>
      <c r="BY46" s="3"/>
    </row>
    <row r="47" ht="13.5" customHeight="1">
      <c r="B47" s="304"/>
      <c r="C47" s="169"/>
      <c r="D47" s="306"/>
      <c r="E47" s="14"/>
      <c r="G47" s="304"/>
      <c r="H47" s="169"/>
      <c r="I47" s="169"/>
      <c r="J47" s="305"/>
      <c r="K47" s="14"/>
      <c r="L47" s="6"/>
      <c r="M47" s="303" t="s">
        <v>433</v>
      </c>
      <c r="N47" s="301"/>
      <c r="O47" s="301"/>
      <c r="P47" s="302"/>
      <c r="Q47" s="14"/>
      <c r="S47" s="304"/>
      <c r="T47" s="169"/>
      <c r="U47" s="169"/>
      <c r="V47" s="305"/>
      <c r="W47" s="14"/>
      <c r="Y47" s="304"/>
      <c r="Z47" s="169"/>
      <c r="AA47" s="169"/>
      <c r="AB47" s="305"/>
      <c r="AC47" s="14"/>
      <c r="AE47" s="304"/>
      <c r="AF47" s="169"/>
      <c r="AG47" s="169"/>
      <c r="AH47" s="305"/>
      <c r="AI47" s="14"/>
      <c r="AK47" s="304"/>
      <c r="AL47" s="169"/>
      <c r="AM47" s="169"/>
      <c r="AN47" s="305"/>
      <c r="AO47" s="14"/>
      <c r="AQ47" s="304"/>
      <c r="AR47" s="169"/>
      <c r="AS47" s="169"/>
      <c r="AT47" s="305"/>
      <c r="AU47" s="14"/>
      <c r="AW47" s="304"/>
      <c r="AX47" s="169"/>
      <c r="AY47" s="169"/>
      <c r="AZ47" s="305"/>
      <c r="BA47" s="14"/>
      <c r="BR47" s="288"/>
      <c r="BS47" s="3"/>
      <c r="BT47" s="3"/>
      <c r="BU47" s="3"/>
      <c r="BV47" s="3"/>
      <c r="BW47" s="3"/>
      <c r="BX47" s="3"/>
      <c r="BY47" s="3"/>
    </row>
    <row r="48" ht="13.5" customHeight="1">
      <c r="B48" s="304"/>
      <c r="C48" s="169"/>
      <c r="D48" s="306"/>
      <c r="E48" s="14"/>
      <c r="G48" s="304"/>
      <c r="H48" s="169"/>
      <c r="I48" s="169"/>
      <c r="J48" s="305"/>
      <c r="K48" s="14"/>
      <c r="M48" s="304"/>
      <c r="N48" s="169"/>
      <c r="O48" s="169"/>
      <c r="P48" s="305"/>
      <c r="Q48" s="14"/>
      <c r="S48" s="304"/>
      <c r="T48" s="169"/>
      <c r="U48" s="169"/>
      <c r="V48" s="305"/>
      <c r="W48" s="14"/>
      <c r="Y48" s="304"/>
      <c r="Z48" s="169"/>
      <c r="AA48" s="169"/>
      <c r="AB48" s="305"/>
      <c r="AC48" s="14"/>
      <c r="AE48" s="304"/>
      <c r="AF48" s="169"/>
      <c r="AG48" s="169"/>
      <c r="AH48" s="305"/>
      <c r="AI48" s="14"/>
      <c r="AK48" s="304"/>
      <c r="AL48" s="169"/>
      <c r="AM48" s="169"/>
      <c r="AN48" s="305"/>
      <c r="AO48" s="14"/>
      <c r="AQ48" s="304"/>
      <c r="AR48" s="169"/>
      <c r="AS48" s="169"/>
      <c r="AT48" s="305"/>
      <c r="AU48" s="14"/>
      <c r="AW48" s="304"/>
      <c r="AX48" s="169"/>
      <c r="AY48" s="169"/>
      <c r="AZ48" s="305"/>
      <c r="BA48" s="14"/>
      <c r="BR48" s="288"/>
      <c r="BS48" s="3"/>
      <c r="BT48" s="3"/>
      <c r="BU48" s="3"/>
      <c r="BV48" s="3"/>
      <c r="BW48" s="3"/>
      <c r="BX48" s="3"/>
      <c r="BY48" s="3"/>
    </row>
    <row r="49" ht="13.5" customHeight="1">
      <c r="B49" s="304"/>
      <c r="C49" s="169"/>
      <c r="D49" s="306"/>
      <c r="E49" s="14"/>
      <c r="G49" s="304"/>
      <c r="H49" s="169"/>
      <c r="I49" s="169"/>
      <c r="J49" s="305"/>
      <c r="K49" s="14"/>
      <c r="M49" s="304"/>
      <c r="N49" s="169"/>
      <c r="O49" s="169"/>
      <c r="P49" s="305"/>
      <c r="Q49" s="14"/>
      <c r="S49" s="304"/>
      <c r="T49" s="169"/>
      <c r="U49" s="169"/>
      <c r="V49" s="305"/>
      <c r="W49" s="14"/>
      <c r="Y49" s="304"/>
      <c r="Z49" s="169"/>
      <c r="AA49" s="169"/>
      <c r="AB49" s="305"/>
      <c r="AC49" s="14"/>
      <c r="AE49" s="304"/>
      <c r="AF49" s="169"/>
      <c r="AG49" s="169"/>
      <c r="AH49" s="305"/>
      <c r="AI49" s="14"/>
      <c r="AK49" s="304"/>
      <c r="AL49" s="169"/>
      <c r="AM49" s="169"/>
      <c r="AN49" s="305"/>
      <c r="AO49" s="14"/>
      <c r="AQ49" s="304"/>
      <c r="AR49" s="169"/>
      <c r="AS49" s="169"/>
      <c r="AT49" s="305"/>
      <c r="AU49" s="14"/>
      <c r="AW49" s="304"/>
      <c r="AX49" s="169"/>
      <c r="AY49" s="169"/>
      <c r="AZ49" s="305"/>
      <c r="BA49" s="14"/>
      <c r="BR49" s="288"/>
      <c r="BS49" s="3"/>
      <c r="BT49" s="3"/>
      <c r="BU49" s="3"/>
      <c r="BV49" s="3"/>
      <c r="BW49" s="3"/>
      <c r="BX49" s="3"/>
      <c r="BY49" s="3"/>
    </row>
    <row r="50" ht="13.5" customHeight="1">
      <c r="B50" s="304"/>
      <c r="C50" s="169"/>
      <c r="D50" s="306"/>
      <c r="E50" s="14"/>
      <c r="G50" s="304"/>
      <c r="H50" s="169"/>
      <c r="I50" s="169"/>
      <c r="J50" s="305"/>
      <c r="K50" s="14"/>
      <c r="M50" s="304"/>
      <c r="N50" s="169"/>
      <c r="O50" s="169"/>
      <c r="P50" s="305"/>
      <c r="Q50" s="14"/>
      <c r="S50" s="304"/>
      <c r="T50" s="169"/>
      <c r="U50" s="169"/>
      <c r="V50" s="305"/>
      <c r="W50" s="14"/>
      <c r="Y50" s="304"/>
      <c r="Z50" s="169"/>
      <c r="AA50" s="169"/>
      <c r="AB50" s="305"/>
      <c r="AC50" s="14"/>
      <c r="AE50" s="304"/>
      <c r="AF50" s="169"/>
      <c r="AG50" s="169"/>
      <c r="AH50" s="305"/>
      <c r="AI50" s="14"/>
      <c r="AK50" s="304"/>
      <c r="AL50" s="169"/>
      <c r="AM50" s="169"/>
      <c r="AN50" s="305"/>
      <c r="AO50" s="14"/>
      <c r="AQ50" s="304"/>
      <c r="AR50" s="169"/>
      <c r="AS50" s="169"/>
      <c r="AT50" s="305"/>
      <c r="AU50" s="14"/>
      <c r="AW50" s="304"/>
      <c r="AX50" s="169"/>
      <c r="AY50" s="169"/>
      <c r="AZ50" s="305"/>
      <c r="BA50" s="14"/>
      <c r="BR50" s="288"/>
      <c r="BS50" s="3"/>
      <c r="BT50" s="3"/>
      <c r="BU50" s="3"/>
      <c r="BV50" s="3"/>
      <c r="BW50" s="3"/>
      <c r="BX50" s="3"/>
      <c r="BY50" s="3"/>
    </row>
    <row r="51" ht="13.5" customHeight="1">
      <c r="B51" s="304"/>
      <c r="C51" s="169"/>
      <c r="D51" s="306"/>
      <c r="E51" s="14"/>
      <c r="G51" s="304"/>
      <c r="H51" s="169"/>
      <c r="I51" s="169"/>
      <c r="J51" s="305"/>
      <c r="K51" s="14"/>
      <c r="M51" s="304"/>
      <c r="N51" s="169"/>
      <c r="O51" s="169"/>
      <c r="P51" s="305"/>
      <c r="Q51" s="14"/>
      <c r="S51" s="304"/>
      <c r="T51" s="169"/>
      <c r="U51" s="169"/>
      <c r="V51" s="305"/>
      <c r="W51" s="14"/>
      <c r="Y51" s="304"/>
      <c r="Z51" s="169"/>
      <c r="AA51" s="169"/>
      <c r="AB51" s="305"/>
      <c r="AC51" s="14"/>
      <c r="AE51" s="304"/>
      <c r="AF51" s="169"/>
      <c r="AG51" s="169"/>
      <c r="AH51" s="305"/>
      <c r="AI51" s="14"/>
      <c r="AK51" s="304"/>
      <c r="AL51" s="169"/>
      <c r="AM51" s="169"/>
      <c r="AN51" s="305"/>
      <c r="AO51" s="14"/>
      <c r="AQ51" s="304"/>
      <c r="AR51" s="169"/>
      <c r="AS51" s="169"/>
      <c r="AT51" s="305"/>
      <c r="AU51" s="14"/>
      <c r="AW51" s="304"/>
      <c r="AX51" s="169"/>
      <c r="AY51" s="169"/>
      <c r="AZ51" s="305"/>
      <c r="BA51" s="14"/>
      <c r="BR51" s="288"/>
      <c r="BS51" s="3"/>
      <c r="BT51" s="3"/>
      <c r="BU51" s="3"/>
      <c r="BV51" s="3"/>
      <c r="BW51" s="3"/>
      <c r="BX51" s="3"/>
      <c r="BY51" s="3"/>
    </row>
    <row r="52" ht="13.5" customHeight="1">
      <c r="A52" s="6"/>
      <c r="B52" s="300" t="s">
        <v>434</v>
      </c>
      <c r="C52" s="301"/>
      <c r="D52" s="302"/>
      <c r="E52" s="14"/>
      <c r="F52" s="6"/>
      <c r="G52" s="300" t="s">
        <v>434</v>
      </c>
      <c r="H52" s="301"/>
      <c r="I52" s="301"/>
      <c r="J52" s="302"/>
      <c r="K52" s="14"/>
      <c r="L52" s="6"/>
      <c r="M52" s="300" t="s">
        <v>434</v>
      </c>
      <c r="N52" s="301"/>
      <c r="O52" s="301"/>
      <c r="P52" s="302"/>
      <c r="Q52" s="14"/>
      <c r="R52" s="6"/>
      <c r="S52" s="300" t="s">
        <v>434</v>
      </c>
      <c r="T52" s="301"/>
      <c r="U52" s="301"/>
      <c r="V52" s="302"/>
      <c r="W52" s="14"/>
      <c r="X52" s="6"/>
      <c r="Y52" s="300" t="s">
        <v>434</v>
      </c>
      <c r="Z52" s="301"/>
      <c r="AA52" s="301"/>
      <c r="AB52" s="302"/>
      <c r="AC52" s="14"/>
      <c r="AD52" s="6"/>
      <c r="AE52" s="300" t="s">
        <v>434</v>
      </c>
      <c r="AF52" s="301"/>
      <c r="AG52" s="301"/>
      <c r="AH52" s="302"/>
      <c r="AI52" s="14"/>
      <c r="AJ52" s="6"/>
      <c r="AK52" s="300" t="s">
        <v>434</v>
      </c>
      <c r="AL52" s="301"/>
      <c r="AM52" s="301"/>
      <c r="AN52" s="302"/>
      <c r="AO52" s="14"/>
      <c r="AP52" s="6"/>
      <c r="AQ52" s="300" t="s">
        <v>434</v>
      </c>
      <c r="AR52" s="301"/>
      <c r="AS52" s="301"/>
      <c r="AT52" s="302"/>
      <c r="AU52" s="14"/>
      <c r="AV52" s="6"/>
      <c r="AW52" s="300" t="s">
        <v>434</v>
      </c>
      <c r="AX52" s="301"/>
      <c r="AY52" s="301"/>
      <c r="AZ52" s="302"/>
      <c r="BA52" s="14"/>
      <c r="BR52" s="288"/>
      <c r="BS52" s="3"/>
      <c r="BT52" s="3"/>
      <c r="BU52" s="3"/>
      <c r="BV52" s="3"/>
      <c r="BW52" s="3"/>
      <c r="BX52" s="3"/>
      <c r="BY52" s="3"/>
    </row>
    <row r="53" ht="13.5" customHeight="1">
      <c r="A53" s="6"/>
      <c r="B53" s="303" t="s">
        <v>435</v>
      </c>
      <c r="C53" s="301"/>
      <c r="D53" s="302"/>
      <c r="E53" s="14"/>
      <c r="G53" s="304"/>
      <c r="H53" s="169"/>
      <c r="I53" s="169"/>
      <c r="J53" s="305"/>
      <c r="K53" s="14"/>
      <c r="L53" s="6"/>
      <c r="M53" s="303" t="s">
        <v>436</v>
      </c>
      <c r="N53" s="301"/>
      <c r="O53" s="301"/>
      <c r="P53" s="302"/>
      <c r="Q53" s="14"/>
      <c r="R53" s="6"/>
      <c r="S53" s="303" t="s">
        <v>437</v>
      </c>
      <c r="T53" s="301"/>
      <c r="U53" s="301"/>
      <c r="V53" s="302"/>
      <c r="W53" s="14"/>
      <c r="X53" s="6"/>
      <c r="Y53" s="303" t="s">
        <v>438</v>
      </c>
      <c r="Z53" s="301"/>
      <c r="AA53" s="301"/>
      <c r="AB53" s="302"/>
      <c r="AC53" s="14"/>
      <c r="AD53" s="6"/>
      <c r="AE53" s="303" t="s">
        <v>437</v>
      </c>
      <c r="AF53" s="301"/>
      <c r="AG53" s="301"/>
      <c r="AH53" s="302"/>
      <c r="AI53" s="14"/>
      <c r="AJ53" s="6"/>
      <c r="AK53" s="303" t="s">
        <v>439</v>
      </c>
      <c r="AL53" s="301"/>
      <c r="AM53" s="301"/>
      <c r="AN53" s="302"/>
      <c r="AO53" s="14"/>
      <c r="AQ53" s="304"/>
      <c r="AR53" s="169"/>
      <c r="AS53" s="169"/>
      <c r="AT53" s="305"/>
      <c r="AU53" s="14"/>
      <c r="AW53" s="304"/>
      <c r="AX53" s="169"/>
      <c r="AY53" s="169"/>
      <c r="AZ53" s="305"/>
      <c r="BA53" s="14"/>
      <c r="BR53" s="288"/>
      <c r="BS53" s="3"/>
      <c r="BT53" s="3"/>
      <c r="BU53" s="3"/>
      <c r="BV53" s="3"/>
      <c r="BW53" s="3"/>
      <c r="BX53" s="3"/>
      <c r="BY53" s="3"/>
    </row>
    <row r="54" ht="13.5" customHeight="1">
      <c r="A54" s="6"/>
      <c r="B54" s="303" t="s">
        <v>438</v>
      </c>
      <c r="C54" s="301"/>
      <c r="D54" s="302"/>
      <c r="E54" s="14"/>
      <c r="G54" s="304"/>
      <c r="H54" s="169"/>
      <c r="I54" s="169"/>
      <c r="J54" s="305"/>
      <c r="K54" s="14"/>
      <c r="M54" s="304"/>
      <c r="N54" s="169"/>
      <c r="O54" s="169"/>
      <c r="P54" s="305"/>
      <c r="Q54" s="14"/>
      <c r="R54" s="6"/>
      <c r="S54" s="303" t="s">
        <v>439</v>
      </c>
      <c r="T54" s="301"/>
      <c r="U54" s="301"/>
      <c r="V54" s="302"/>
      <c r="W54" s="14"/>
      <c r="X54" s="6"/>
      <c r="Y54" s="303" t="s">
        <v>437</v>
      </c>
      <c r="Z54" s="301"/>
      <c r="AA54" s="301"/>
      <c r="AB54" s="302"/>
      <c r="AC54" s="14"/>
      <c r="AD54" s="6"/>
      <c r="AE54" s="303" t="s">
        <v>439</v>
      </c>
      <c r="AF54" s="301"/>
      <c r="AG54" s="301"/>
      <c r="AH54" s="302"/>
      <c r="AI54" s="14"/>
      <c r="AJ54" s="6"/>
      <c r="AK54" s="303" t="s">
        <v>436</v>
      </c>
      <c r="AL54" s="301"/>
      <c r="AM54" s="301"/>
      <c r="AN54" s="302"/>
      <c r="AO54" s="14"/>
      <c r="AQ54" s="304"/>
      <c r="AR54" s="169"/>
      <c r="AS54" s="169"/>
      <c r="AT54" s="305"/>
      <c r="AU54" s="14"/>
      <c r="AW54" s="304"/>
      <c r="AX54" s="169"/>
      <c r="AY54" s="169"/>
      <c r="AZ54" s="305"/>
      <c r="BA54" s="14"/>
      <c r="BR54" s="288"/>
      <c r="BS54" s="3"/>
      <c r="BT54" s="3"/>
      <c r="BU54" s="3"/>
      <c r="BV54" s="3"/>
      <c r="BW54" s="3"/>
      <c r="BX54" s="3"/>
      <c r="BY54" s="3"/>
    </row>
    <row r="55" ht="13.5" customHeight="1">
      <c r="A55" s="6"/>
      <c r="B55" s="303" t="s">
        <v>437</v>
      </c>
      <c r="C55" s="301"/>
      <c r="D55" s="302"/>
      <c r="E55" s="14"/>
      <c r="G55" s="304"/>
      <c r="H55" s="169"/>
      <c r="I55" s="169"/>
      <c r="J55" s="305"/>
      <c r="K55" s="14"/>
      <c r="M55" s="304"/>
      <c r="N55" s="169"/>
      <c r="O55" s="169"/>
      <c r="P55" s="305"/>
      <c r="Q55" s="14"/>
      <c r="R55" s="6"/>
      <c r="S55" s="303" t="s">
        <v>436</v>
      </c>
      <c r="T55" s="301"/>
      <c r="U55" s="301"/>
      <c r="V55" s="302"/>
      <c r="W55" s="14"/>
      <c r="X55" s="6"/>
      <c r="Y55" s="303" t="s">
        <v>439</v>
      </c>
      <c r="Z55" s="301"/>
      <c r="AA55" s="301"/>
      <c r="AB55" s="302"/>
      <c r="AC55" s="14"/>
      <c r="AD55" s="6"/>
      <c r="AE55" s="303" t="s">
        <v>436</v>
      </c>
      <c r="AF55" s="301"/>
      <c r="AG55" s="301"/>
      <c r="AH55" s="302"/>
      <c r="AI55" s="14"/>
      <c r="AK55" s="304"/>
      <c r="AL55" s="169"/>
      <c r="AM55" s="169"/>
      <c r="AN55" s="305"/>
      <c r="AO55" s="14"/>
      <c r="AQ55" s="304"/>
      <c r="AR55" s="169"/>
      <c r="AS55" s="169"/>
      <c r="AT55" s="305"/>
      <c r="AU55" s="14"/>
      <c r="AW55" s="304"/>
      <c r="AX55" s="169"/>
      <c r="AY55" s="169"/>
      <c r="AZ55" s="305"/>
      <c r="BA55" s="14"/>
      <c r="BR55" s="288"/>
      <c r="BS55" s="3"/>
      <c r="BT55" s="3"/>
      <c r="BU55" s="3"/>
      <c r="BV55" s="3"/>
      <c r="BW55" s="3"/>
      <c r="BX55" s="3"/>
      <c r="BY55" s="3"/>
    </row>
    <row r="56" ht="13.5" customHeight="1">
      <c r="A56" s="6"/>
      <c r="B56" s="303" t="s">
        <v>439</v>
      </c>
      <c r="C56" s="301"/>
      <c r="D56" s="302"/>
      <c r="E56" s="14"/>
      <c r="G56" s="304"/>
      <c r="H56" s="169"/>
      <c r="I56" s="169"/>
      <c r="J56" s="305"/>
      <c r="K56" s="14"/>
      <c r="M56" s="304"/>
      <c r="N56" s="169"/>
      <c r="O56" s="169"/>
      <c r="P56" s="305"/>
      <c r="Q56" s="14"/>
      <c r="S56" s="304"/>
      <c r="T56" s="169"/>
      <c r="U56" s="169"/>
      <c r="V56" s="305"/>
      <c r="W56" s="14"/>
      <c r="X56" s="6"/>
      <c r="Y56" s="303" t="s">
        <v>436</v>
      </c>
      <c r="Z56" s="301"/>
      <c r="AA56" s="301"/>
      <c r="AB56" s="302"/>
      <c r="AC56" s="14"/>
      <c r="AE56" s="304"/>
      <c r="AF56" s="169"/>
      <c r="AG56" s="169"/>
      <c r="AH56" s="305"/>
      <c r="AI56" s="14"/>
      <c r="AK56" s="304"/>
      <c r="AL56" s="169"/>
      <c r="AM56" s="169"/>
      <c r="AN56" s="305"/>
      <c r="AO56" s="14"/>
      <c r="AQ56" s="304"/>
      <c r="AR56" s="169"/>
      <c r="AS56" s="169"/>
      <c r="AT56" s="305"/>
      <c r="AU56" s="14"/>
      <c r="AW56" s="304"/>
      <c r="AX56" s="169"/>
      <c r="AY56" s="169"/>
      <c r="AZ56" s="305"/>
      <c r="BA56" s="14"/>
      <c r="BR56" s="288"/>
      <c r="BS56" s="3"/>
      <c r="BT56" s="3"/>
      <c r="BU56" s="3"/>
      <c r="BV56" s="3"/>
      <c r="BW56" s="3"/>
      <c r="BX56" s="3"/>
      <c r="BY56" s="3"/>
    </row>
    <row r="57" ht="13.5" customHeight="1">
      <c r="A57" s="6"/>
      <c r="B57" s="303" t="s">
        <v>436</v>
      </c>
      <c r="C57" s="301"/>
      <c r="D57" s="302"/>
      <c r="E57" s="14"/>
      <c r="G57" s="304"/>
      <c r="H57" s="169"/>
      <c r="I57" s="169"/>
      <c r="J57" s="305"/>
      <c r="K57" s="14"/>
      <c r="M57" s="304"/>
      <c r="N57" s="169"/>
      <c r="O57" s="169"/>
      <c r="P57" s="305"/>
      <c r="Q57" s="14"/>
      <c r="S57" s="304"/>
      <c r="T57" s="169"/>
      <c r="U57" s="169"/>
      <c r="V57" s="305"/>
      <c r="W57" s="14"/>
      <c r="Y57" s="304"/>
      <c r="Z57" s="169"/>
      <c r="AA57" s="169"/>
      <c r="AB57" s="305"/>
      <c r="AC57" s="14"/>
      <c r="AE57" s="304"/>
      <c r="AF57" s="169"/>
      <c r="AG57" s="169"/>
      <c r="AH57" s="305"/>
      <c r="AI57" s="14"/>
      <c r="AK57" s="304"/>
      <c r="AL57" s="169"/>
      <c r="AM57" s="169"/>
      <c r="AN57" s="305"/>
      <c r="AO57" s="14"/>
      <c r="AQ57" s="304"/>
      <c r="AR57" s="169"/>
      <c r="AS57" s="169"/>
      <c r="AT57" s="305"/>
      <c r="AU57" s="14"/>
      <c r="AW57" s="304"/>
      <c r="AX57" s="169"/>
      <c r="AY57" s="169"/>
      <c r="AZ57" s="305"/>
      <c r="BA57" s="14"/>
      <c r="BR57" s="288"/>
      <c r="BS57" s="3"/>
      <c r="BT57" s="3"/>
      <c r="BU57" s="3"/>
      <c r="BV57" s="3"/>
      <c r="BW57" s="3"/>
      <c r="BX57" s="3"/>
      <c r="BY57" s="3"/>
    </row>
    <row r="58" ht="13.5" customHeight="1">
      <c r="B58" s="304"/>
      <c r="C58" s="169"/>
      <c r="D58" s="306"/>
      <c r="E58" s="14"/>
      <c r="G58" s="304"/>
      <c r="H58" s="169"/>
      <c r="I58" s="169"/>
      <c r="J58" s="305"/>
      <c r="K58" s="14"/>
      <c r="M58" s="304"/>
      <c r="N58" s="169"/>
      <c r="O58" s="169"/>
      <c r="P58" s="305"/>
      <c r="Q58" s="14"/>
      <c r="S58" s="304"/>
      <c r="T58" s="169"/>
      <c r="U58" s="169"/>
      <c r="V58" s="305"/>
      <c r="W58" s="14"/>
      <c r="Y58" s="304"/>
      <c r="Z58" s="169"/>
      <c r="AA58" s="169"/>
      <c r="AB58" s="305"/>
      <c r="AC58" s="14"/>
      <c r="AE58" s="304"/>
      <c r="AF58" s="169"/>
      <c r="AG58" s="169"/>
      <c r="AH58" s="305"/>
      <c r="AI58" s="14"/>
      <c r="AK58" s="304"/>
      <c r="AL58" s="169"/>
      <c r="AM58" s="169"/>
      <c r="AN58" s="305"/>
      <c r="AO58" s="14"/>
      <c r="AQ58" s="304"/>
      <c r="AR58" s="169"/>
      <c r="AS58" s="169"/>
      <c r="AT58" s="305"/>
      <c r="AU58" s="14"/>
      <c r="AW58" s="304"/>
      <c r="AX58" s="169"/>
      <c r="AY58" s="169"/>
      <c r="AZ58" s="305"/>
      <c r="BA58" s="14"/>
      <c r="BR58" s="288"/>
      <c r="BS58" s="3"/>
      <c r="BT58" s="3"/>
      <c r="BU58" s="3"/>
      <c r="BV58" s="3"/>
      <c r="BW58" s="3"/>
      <c r="BX58" s="3"/>
      <c r="BY58" s="3"/>
    </row>
    <row r="59" ht="13.5" customHeight="1">
      <c r="B59" s="304"/>
      <c r="C59" s="169"/>
      <c r="D59" s="306"/>
      <c r="E59" s="14"/>
      <c r="G59" s="304"/>
      <c r="H59" s="169"/>
      <c r="I59" s="169"/>
      <c r="J59" s="305"/>
      <c r="K59" s="14"/>
      <c r="M59" s="304"/>
      <c r="N59" s="169"/>
      <c r="O59" s="169"/>
      <c r="P59" s="305"/>
      <c r="Q59" s="14"/>
      <c r="S59" s="304"/>
      <c r="T59" s="169"/>
      <c r="U59" s="169"/>
      <c r="V59" s="305"/>
      <c r="W59" s="14"/>
      <c r="Y59" s="304"/>
      <c r="Z59" s="169"/>
      <c r="AA59" s="169"/>
      <c r="AB59" s="305"/>
      <c r="AC59" s="14"/>
      <c r="AE59" s="304"/>
      <c r="AF59" s="169"/>
      <c r="AG59" s="169"/>
      <c r="AH59" s="305"/>
      <c r="AI59" s="14"/>
      <c r="AK59" s="304"/>
      <c r="AL59" s="169"/>
      <c r="AM59" s="169"/>
      <c r="AN59" s="305"/>
      <c r="AO59" s="14"/>
      <c r="AQ59" s="304"/>
      <c r="AR59" s="169"/>
      <c r="AS59" s="169"/>
      <c r="AT59" s="305"/>
      <c r="AU59" s="14"/>
      <c r="AW59" s="304"/>
      <c r="AX59" s="169"/>
      <c r="AY59" s="169"/>
      <c r="AZ59" s="305"/>
      <c r="BA59" s="14"/>
      <c r="BR59" s="288"/>
      <c r="BS59" s="3"/>
      <c r="BT59" s="3"/>
      <c r="BU59" s="3"/>
      <c r="BV59" s="3"/>
      <c r="BW59" s="3"/>
      <c r="BX59" s="3"/>
      <c r="BY59" s="3"/>
    </row>
    <row r="60" ht="13.5" customHeight="1">
      <c r="B60" s="304"/>
      <c r="C60" s="169"/>
      <c r="D60" s="306"/>
      <c r="E60" s="14"/>
      <c r="G60" s="304"/>
      <c r="H60" s="169"/>
      <c r="I60" s="169"/>
      <c r="J60" s="305"/>
      <c r="K60" s="14"/>
      <c r="M60" s="304"/>
      <c r="N60" s="169"/>
      <c r="O60" s="169"/>
      <c r="P60" s="305"/>
      <c r="Q60" s="14"/>
      <c r="S60" s="304"/>
      <c r="T60" s="169"/>
      <c r="U60" s="169"/>
      <c r="V60" s="305"/>
      <c r="W60" s="14"/>
      <c r="Y60" s="304"/>
      <c r="Z60" s="169"/>
      <c r="AA60" s="169"/>
      <c r="AB60" s="305"/>
      <c r="AC60" s="14"/>
      <c r="AE60" s="304"/>
      <c r="AF60" s="169"/>
      <c r="AG60" s="169"/>
      <c r="AH60" s="305"/>
      <c r="AI60" s="14"/>
      <c r="AK60" s="304"/>
      <c r="AL60" s="169"/>
      <c r="AM60" s="169"/>
      <c r="AN60" s="305"/>
      <c r="AO60" s="14"/>
      <c r="AQ60" s="304"/>
      <c r="AR60" s="169"/>
      <c r="AS60" s="169"/>
      <c r="AT60" s="305"/>
      <c r="AU60" s="14"/>
      <c r="AW60" s="304"/>
      <c r="AX60" s="169"/>
      <c r="AY60" s="169"/>
      <c r="AZ60" s="305"/>
      <c r="BA60" s="14"/>
      <c r="BR60" s="288"/>
      <c r="BS60" s="3"/>
      <c r="BT60" s="3"/>
      <c r="BU60" s="3"/>
      <c r="BV60" s="3"/>
      <c r="BW60" s="3"/>
      <c r="BX60" s="3"/>
      <c r="BY60" s="3"/>
    </row>
    <row r="61" ht="13.5" customHeight="1">
      <c r="A61" s="6"/>
      <c r="B61" s="300" t="s">
        <v>440</v>
      </c>
      <c r="C61" s="301"/>
      <c r="D61" s="302"/>
      <c r="E61" s="14"/>
      <c r="F61" s="6"/>
      <c r="G61" s="300" t="s">
        <v>440</v>
      </c>
      <c r="H61" s="301"/>
      <c r="I61" s="301"/>
      <c r="J61" s="302"/>
      <c r="K61" s="14"/>
      <c r="L61" s="6"/>
      <c r="M61" s="300" t="s">
        <v>440</v>
      </c>
      <c r="N61" s="301"/>
      <c r="O61" s="301"/>
      <c r="P61" s="302"/>
      <c r="Q61" s="14"/>
      <c r="R61" s="6"/>
      <c r="S61" s="300" t="s">
        <v>440</v>
      </c>
      <c r="T61" s="301"/>
      <c r="U61" s="301"/>
      <c r="V61" s="302"/>
      <c r="W61" s="14"/>
      <c r="X61" s="6"/>
      <c r="Y61" s="300" t="s">
        <v>440</v>
      </c>
      <c r="Z61" s="301"/>
      <c r="AA61" s="301"/>
      <c r="AB61" s="302"/>
      <c r="AC61" s="14"/>
      <c r="AD61" s="6"/>
      <c r="AE61" s="300" t="s">
        <v>440</v>
      </c>
      <c r="AF61" s="301"/>
      <c r="AG61" s="301"/>
      <c r="AH61" s="302"/>
      <c r="AI61" s="14"/>
      <c r="AJ61" s="6"/>
      <c r="AK61" s="300" t="s">
        <v>440</v>
      </c>
      <c r="AL61" s="301"/>
      <c r="AM61" s="301"/>
      <c r="AN61" s="302"/>
      <c r="AO61" s="14"/>
      <c r="AP61" s="6"/>
      <c r="AQ61" s="300" t="s">
        <v>440</v>
      </c>
      <c r="AR61" s="301"/>
      <c r="AS61" s="301"/>
      <c r="AT61" s="302"/>
      <c r="AU61" s="14"/>
      <c r="AV61" s="6"/>
      <c r="AW61" s="300" t="s">
        <v>440</v>
      </c>
      <c r="AX61" s="301"/>
      <c r="AY61" s="301"/>
      <c r="AZ61" s="302"/>
      <c r="BA61" s="14"/>
      <c r="BR61" s="288"/>
      <c r="BS61" s="3"/>
      <c r="BT61" s="3"/>
      <c r="BU61" s="3"/>
      <c r="BV61" s="3"/>
      <c r="BW61" s="3"/>
      <c r="BX61" s="3"/>
      <c r="BY61" s="3"/>
    </row>
    <row r="62" ht="13.5" customHeight="1">
      <c r="A62" s="6"/>
      <c r="B62" s="303" t="s">
        <v>441</v>
      </c>
      <c r="C62" s="301"/>
      <c r="D62" s="302"/>
      <c r="E62" s="14"/>
      <c r="F62" s="6"/>
      <c r="G62" s="303" t="s">
        <v>442</v>
      </c>
      <c r="H62" s="301"/>
      <c r="I62" s="301"/>
      <c r="J62" s="302"/>
      <c r="K62" s="14"/>
      <c r="L62" s="6"/>
      <c r="M62" s="303" t="s">
        <v>442</v>
      </c>
      <c r="N62" s="301"/>
      <c r="O62" s="301"/>
      <c r="P62" s="302"/>
      <c r="Q62" s="14"/>
      <c r="R62" s="6"/>
      <c r="S62" s="303" t="s">
        <v>443</v>
      </c>
      <c r="T62" s="301"/>
      <c r="U62" s="301"/>
      <c r="V62" s="302"/>
      <c r="W62" s="14"/>
      <c r="X62" s="6"/>
      <c r="Y62" s="303" t="s">
        <v>441</v>
      </c>
      <c r="Z62" s="301"/>
      <c r="AA62" s="301"/>
      <c r="AB62" s="302"/>
      <c r="AC62" s="14"/>
      <c r="AD62" s="6"/>
      <c r="AE62" s="303" t="s">
        <v>444</v>
      </c>
      <c r="AF62" s="301"/>
      <c r="AG62" s="301"/>
      <c r="AH62" s="302"/>
      <c r="AI62" s="14"/>
      <c r="AJ62" s="6"/>
      <c r="AK62" s="303" t="s">
        <v>443</v>
      </c>
      <c r="AL62" s="301"/>
      <c r="AM62" s="301"/>
      <c r="AN62" s="302"/>
      <c r="AO62" s="14"/>
      <c r="AQ62" s="304"/>
      <c r="AR62" s="169"/>
      <c r="AS62" s="169"/>
      <c r="AT62" s="305"/>
      <c r="AU62" s="14"/>
      <c r="AW62" s="304"/>
      <c r="AX62" s="169"/>
      <c r="AY62" s="169"/>
      <c r="AZ62" s="305"/>
      <c r="BA62" s="14"/>
      <c r="BR62" s="288"/>
      <c r="BS62" s="3"/>
      <c r="BT62" s="3"/>
      <c r="BU62" s="3"/>
      <c r="BV62" s="3"/>
      <c r="BW62" s="3"/>
      <c r="BX62" s="3"/>
      <c r="BY62" s="3"/>
    </row>
    <row r="63" ht="13.5" customHeight="1">
      <c r="A63" s="6"/>
      <c r="B63" s="303" t="s">
        <v>444</v>
      </c>
      <c r="C63" s="301"/>
      <c r="D63" s="302"/>
      <c r="E63" s="14"/>
      <c r="G63" s="304"/>
      <c r="H63" s="169"/>
      <c r="I63" s="169"/>
      <c r="J63" s="305"/>
      <c r="K63" s="14"/>
      <c r="M63" s="304"/>
      <c r="N63" s="169"/>
      <c r="O63" s="169"/>
      <c r="P63" s="305"/>
      <c r="Q63" s="14"/>
      <c r="R63" s="6"/>
      <c r="S63" s="303" t="s">
        <v>442</v>
      </c>
      <c r="T63" s="301"/>
      <c r="U63" s="301"/>
      <c r="V63" s="302"/>
      <c r="W63" s="14"/>
      <c r="X63" s="6"/>
      <c r="Y63" s="303" t="s">
        <v>444</v>
      </c>
      <c r="Z63" s="301"/>
      <c r="AA63" s="301"/>
      <c r="AB63" s="302"/>
      <c r="AC63" s="14"/>
      <c r="AD63" s="6"/>
      <c r="AE63" s="303" t="s">
        <v>443</v>
      </c>
      <c r="AF63" s="301"/>
      <c r="AG63" s="301"/>
      <c r="AH63" s="302"/>
      <c r="AI63" s="14"/>
      <c r="AJ63" s="6"/>
      <c r="AK63" s="303" t="s">
        <v>442</v>
      </c>
      <c r="AL63" s="301"/>
      <c r="AM63" s="301"/>
      <c r="AN63" s="302"/>
      <c r="AO63" s="14"/>
      <c r="AQ63" s="304"/>
      <c r="AR63" s="169"/>
      <c r="AS63" s="169"/>
      <c r="AT63" s="305"/>
      <c r="AU63" s="14"/>
      <c r="AW63" s="304"/>
      <c r="AX63" s="169"/>
      <c r="AY63" s="169"/>
      <c r="AZ63" s="305"/>
      <c r="BA63" s="14"/>
      <c r="BR63" s="288"/>
      <c r="BS63" s="3"/>
      <c r="BT63" s="3"/>
      <c r="BU63" s="3"/>
      <c r="BV63" s="3"/>
      <c r="BW63" s="3"/>
      <c r="BX63" s="3"/>
      <c r="BY63" s="3"/>
    </row>
    <row r="64" ht="13.5" customHeight="1">
      <c r="A64" s="6"/>
      <c r="B64" s="303" t="s">
        <v>443</v>
      </c>
      <c r="C64" s="301"/>
      <c r="D64" s="302"/>
      <c r="E64" s="14"/>
      <c r="G64" s="304"/>
      <c r="H64" s="169"/>
      <c r="I64" s="169"/>
      <c r="J64" s="305"/>
      <c r="K64" s="14"/>
      <c r="M64" s="304"/>
      <c r="N64" s="169"/>
      <c r="O64" s="169"/>
      <c r="P64" s="305"/>
      <c r="Q64" s="14"/>
      <c r="S64" s="304"/>
      <c r="T64" s="169"/>
      <c r="U64" s="169"/>
      <c r="V64" s="305"/>
      <c r="W64" s="14"/>
      <c r="X64" s="6"/>
      <c r="Y64" s="303" t="s">
        <v>443</v>
      </c>
      <c r="Z64" s="301"/>
      <c r="AA64" s="301"/>
      <c r="AB64" s="302"/>
      <c r="AC64" s="14"/>
      <c r="AD64" s="6"/>
      <c r="AE64" s="303" t="s">
        <v>442</v>
      </c>
      <c r="AF64" s="301"/>
      <c r="AG64" s="301"/>
      <c r="AH64" s="302"/>
      <c r="AI64" s="14"/>
      <c r="AK64" s="304"/>
      <c r="AL64" s="169"/>
      <c r="AM64" s="169"/>
      <c r="AN64" s="305"/>
      <c r="AO64" s="14"/>
      <c r="AQ64" s="304"/>
      <c r="AR64" s="169"/>
      <c r="AS64" s="169"/>
      <c r="AT64" s="305"/>
      <c r="AU64" s="14"/>
      <c r="AW64" s="304"/>
      <c r="AX64" s="169"/>
      <c r="AY64" s="169"/>
      <c r="AZ64" s="305"/>
      <c r="BA64" s="14"/>
      <c r="BR64" s="288"/>
      <c r="BS64" s="3"/>
      <c r="BT64" s="3"/>
      <c r="BU64" s="3"/>
      <c r="BV64" s="3"/>
      <c r="BW64" s="3"/>
      <c r="BX64" s="3"/>
      <c r="BY64" s="3"/>
    </row>
    <row r="65" ht="13.5" customHeight="1">
      <c r="A65" s="6"/>
      <c r="B65" s="303" t="s">
        <v>442</v>
      </c>
      <c r="C65" s="301"/>
      <c r="D65" s="302"/>
      <c r="E65" s="14"/>
      <c r="G65" s="304"/>
      <c r="H65" s="169"/>
      <c r="I65" s="169"/>
      <c r="J65" s="305"/>
      <c r="K65" s="14"/>
      <c r="M65" s="304"/>
      <c r="N65" s="169"/>
      <c r="O65" s="169"/>
      <c r="P65" s="305"/>
      <c r="Q65" s="14"/>
      <c r="S65" s="304"/>
      <c r="T65" s="169"/>
      <c r="U65" s="169"/>
      <c r="V65" s="305"/>
      <c r="W65" s="14"/>
      <c r="X65" s="6"/>
      <c r="Y65" s="303" t="s">
        <v>442</v>
      </c>
      <c r="Z65" s="301"/>
      <c r="AA65" s="301"/>
      <c r="AB65" s="302"/>
      <c r="AC65" s="14"/>
      <c r="AE65" s="304"/>
      <c r="AF65" s="169"/>
      <c r="AG65" s="169"/>
      <c r="AH65" s="305"/>
      <c r="AI65" s="14"/>
      <c r="AK65" s="304"/>
      <c r="AL65" s="169"/>
      <c r="AM65" s="169"/>
      <c r="AN65" s="305"/>
      <c r="AO65" s="14"/>
      <c r="AQ65" s="304"/>
      <c r="AR65" s="169"/>
      <c r="AS65" s="169"/>
      <c r="AT65" s="305"/>
      <c r="AU65" s="14"/>
      <c r="AW65" s="304"/>
      <c r="AX65" s="169"/>
      <c r="AY65" s="169"/>
      <c r="AZ65" s="305"/>
      <c r="BA65" s="14"/>
      <c r="BR65" s="288"/>
      <c r="BS65" s="3"/>
      <c r="BT65" s="3"/>
      <c r="BU65" s="3"/>
      <c r="BV65" s="3"/>
      <c r="BW65" s="3"/>
      <c r="BX65" s="3"/>
      <c r="BY65" s="3"/>
    </row>
    <row r="66" ht="13.5" customHeight="1">
      <c r="B66" s="304"/>
      <c r="C66" s="169"/>
      <c r="D66" s="306"/>
      <c r="E66" s="14"/>
      <c r="G66" s="304"/>
      <c r="H66" s="169"/>
      <c r="I66" s="169"/>
      <c r="J66" s="305"/>
      <c r="K66" s="14"/>
      <c r="M66" s="304"/>
      <c r="N66" s="169"/>
      <c r="O66" s="169"/>
      <c r="P66" s="305"/>
      <c r="Q66" s="14"/>
      <c r="S66" s="304"/>
      <c r="T66" s="169"/>
      <c r="U66" s="169"/>
      <c r="V66" s="305"/>
      <c r="W66" s="14"/>
      <c r="Y66" s="304"/>
      <c r="Z66" s="169"/>
      <c r="AA66" s="169"/>
      <c r="AB66" s="305"/>
      <c r="AC66" s="14"/>
      <c r="AE66" s="304"/>
      <c r="AF66" s="169"/>
      <c r="AG66" s="169"/>
      <c r="AH66" s="305"/>
      <c r="AI66" s="14"/>
      <c r="AK66" s="304"/>
      <c r="AL66" s="169"/>
      <c r="AM66" s="169"/>
      <c r="AN66" s="305"/>
      <c r="AO66" s="14"/>
      <c r="AQ66" s="304"/>
      <c r="AR66" s="169"/>
      <c r="AS66" s="169"/>
      <c r="AT66" s="305"/>
      <c r="AU66" s="14"/>
      <c r="AW66" s="304"/>
      <c r="AX66" s="169"/>
      <c r="AY66" s="169"/>
      <c r="AZ66" s="305"/>
      <c r="BA66" s="14"/>
      <c r="BR66" s="288"/>
      <c r="BS66" s="3"/>
      <c r="BT66" s="3"/>
      <c r="BU66" s="3"/>
      <c r="BV66" s="3"/>
      <c r="BW66" s="3"/>
      <c r="BX66" s="3"/>
      <c r="BY66" s="3"/>
    </row>
    <row r="67" ht="13.5" customHeight="1">
      <c r="B67" s="304"/>
      <c r="C67" s="169"/>
      <c r="D67" s="306"/>
      <c r="E67" s="14"/>
      <c r="G67" s="304"/>
      <c r="H67" s="169"/>
      <c r="I67" s="169"/>
      <c r="J67" s="305"/>
      <c r="K67" s="14"/>
      <c r="M67" s="304"/>
      <c r="N67" s="169"/>
      <c r="O67" s="169"/>
      <c r="P67" s="305"/>
      <c r="Q67" s="14"/>
      <c r="S67" s="304"/>
      <c r="T67" s="169"/>
      <c r="U67" s="169"/>
      <c r="V67" s="305"/>
      <c r="W67" s="14"/>
      <c r="Y67" s="304"/>
      <c r="Z67" s="169"/>
      <c r="AA67" s="169"/>
      <c r="AB67" s="305"/>
      <c r="AC67" s="14"/>
      <c r="AE67" s="304"/>
      <c r="AF67" s="169"/>
      <c r="AG67" s="169"/>
      <c r="AH67" s="305"/>
      <c r="AI67" s="14"/>
      <c r="AK67" s="304"/>
      <c r="AL67" s="169"/>
      <c r="AM67" s="169"/>
      <c r="AN67" s="305"/>
      <c r="AO67" s="14"/>
      <c r="AQ67" s="304"/>
      <c r="AR67" s="169"/>
      <c r="AS67" s="169"/>
      <c r="AT67" s="305"/>
      <c r="AU67" s="14"/>
      <c r="AW67" s="304"/>
      <c r="AX67" s="169"/>
      <c r="AY67" s="169"/>
      <c r="AZ67" s="305"/>
      <c r="BA67" s="14"/>
      <c r="BR67" s="288"/>
      <c r="BS67" s="3"/>
      <c r="BT67" s="3"/>
      <c r="BU67" s="3"/>
      <c r="BV67" s="3"/>
      <c r="BW67" s="3"/>
      <c r="BX67" s="3"/>
      <c r="BY67" s="3"/>
    </row>
    <row r="68" ht="13.5" customHeight="1">
      <c r="B68" s="304"/>
      <c r="C68" s="169"/>
      <c r="D68" s="306"/>
      <c r="E68" s="14"/>
      <c r="G68" s="304"/>
      <c r="H68" s="169"/>
      <c r="I68" s="169"/>
      <c r="J68" s="305"/>
      <c r="K68" s="14"/>
      <c r="M68" s="304"/>
      <c r="N68" s="169"/>
      <c r="O68" s="169"/>
      <c r="P68" s="305"/>
      <c r="Q68" s="14"/>
      <c r="S68" s="304"/>
      <c r="T68" s="169"/>
      <c r="U68" s="169"/>
      <c r="V68" s="305"/>
      <c r="W68" s="14"/>
      <c r="Y68" s="304"/>
      <c r="Z68" s="169"/>
      <c r="AA68" s="169"/>
      <c r="AB68" s="305"/>
      <c r="AC68" s="14"/>
      <c r="AE68" s="304"/>
      <c r="AF68" s="169"/>
      <c r="AG68" s="169"/>
      <c r="AH68" s="305"/>
      <c r="AI68" s="14"/>
      <c r="AK68" s="304"/>
      <c r="AL68" s="169"/>
      <c r="AM68" s="169"/>
      <c r="AN68" s="305"/>
      <c r="AO68" s="14"/>
      <c r="AQ68" s="304"/>
      <c r="AR68" s="169"/>
      <c r="AS68" s="169"/>
      <c r="AT68" s="305"/>
      <c r="AU68" s="14"/>
      <c r="AW68" s="304"/>
      <c r="AX68" s="169"/>
      <c r="AY68" s="169"/>
      <c r="AZ68" s="305"/>
      <c r="BA68" s="14"/>
      <c r="BR68" s="288"/>
      <c r="BS68" s="3"/>
      <c r="BT68" s="3"/>
      <c r="BU68" s="3"/>
      <c r="BV68" s="3"/>
      <c r="BW68" s="3"/>
      <c r="BX68" s="3"/>
      <c r="BY68" s="3"/>
    </row>
    <row r="69" ht="13.5" customHeight="1">
      <c r="B69" s="304"/>
      <c r="C69" s="169"/>
      <c r="D69" s="306"/>
      <c r="E69" s="14"/>
      <c r="G69" s="304"/>
      <c r="H69" s="169"/>
      <c r="I69" s="169"/>
      <c r="J69" s="305"/>
      <c r="K69" s="14"/>
      <c r="M69" s="304"/>
      <c r="N69" s="169"/>
      <c r="O69" s="169"/>
      <c r="P69" s="305"/>
      <c r="Q69" s="14"/>
      <c r="S69" s="304"/>
      <c r="T69" s="169"/>
      <c r="U69" s="169"/>
      <c r="V69" s="305"/>
      <c r="W69" s="14"/>
      <c r="Y69" s="304"/>
      <c r="Z69" s="169"/>
      <c r="AA69" s="169"/>
      <c r="AB69" s="305"/>
      <c r="AC69" s="14"/>
      <c r="AE69" s="304"/>
      <c r="AF69" s="169"/>
      <c r="AG69" s="169"/>
      <c r="AH69" s="305"/>
      <c r="AI69" s="14"/>
      <c r="AK69" s="304"/>
      <c r="AL69" s="169"/>
      <c r="AM69" s="169"/>
      <c r="AN69" s="305"/>
      <c r="AO69" s="14"/>
      <c r="AQ69" s="304"/>
      <c r="AR69" s="169"/>
      <c r="AS69" s="169"/>
      <c r="AT69" s="305"/>
      <c r="AU69" s="14"/>
      <c r="AW69" s="304"/>
      <c r="AX69" s="169"/>
      <c r="AY69" s="169"/>
      <c r="AZ69" s="305"/>
      <c r="BA69" s="14"/>
      <c r="BR69" s="288"/>
      <c r="BS69" s="3"/>
      <c r="BT69" s="3"/>
      <c r="BU69" s="3"/>
      <c r="BV69" s="3"/>
      <c r="BW69" s="3"/>
      <c r="BX69" s="3"/>
      <c r="BY69" s="3"/>
    </row>
    <row r="70" ht="13.5" customHeight="1">
      <c r="B70" s="312"/>
      <c r="C70" s="207"/>
      <c r="D70" s="313"/>
      <c r="E70" s="14"/>
      <c r="G70" s="312"/>
      <c r="H70" s="207"/>
      <c r="I70" s="207"/>
      <c r="J70" s="313"/>
      <c r="K70" s="14"/>
      <c r="M70" s="312"/>
      <c r="N70" s="207"/>
      <c r="O70" s="207"/>
      <c r="P70" s="313"/>
      <c r="Q70" s="14"/>
      <c r="S70" s="312"/>
      <c r="T70" s="207"/>
      <c r="U70" s="207"/>
      <c r="V70" s="313"/>
      <c r="W70" s="14"/>
      <c r="Y70" s="312"/>
      <c r="Z70" s="207"/>
      <c r="AA70" s="207"/>
      <c r="AB70" s="313"/>
      <c r="AC70" s="14"/>
      <c r="AE70" s="312"/>
      <c r="AF70" s="207"/>
      <c r="AG70" s="207"/>
      <c r="AH70" s="313"/>
      <c r="AI70" s="14"/>
      <c r="AK70" s="312"/>
      <c r="AL70" s="207"/>
      <c r="AM70" s="207"/>
      <c r="AN70" s="313"/>
      <c r="AO70" s="14"/>
      <c r="AQ70" s="312"/>
      <c r="AR70" s="207"/>
      <c r="AS70" s="207"/>
      <c r="AT70" s="313"/>
      <c r="AU70" s="14"/>
      <c r="AW70" s="312"/>
      <c r="AX70" s="207"/>
      <c r="AY70" s="207"/>
      <c r="AZ70" s="313"/>
      <c r="BA70" s="14"/>
      <c r="BR70" s="288"/>
      <c r="BS70" s="3"/>
      <c r="BT70" s="3"/>
      <c r="BU70" s="3"/>
      <c r="BV70" s="3"/>
      <c r="BW70" s="3"/>
      <c r="BX70" s="3"/>
      <c r="BY70" s="3"/>
    </row>
    <row r="71" ht="15.75" customHeight="1">
      <c r="BR71" s="288"/>
      <c r="BS71" s="3"/>
      <c r="BT71" s="3"/>
      <c r="BU71" s="3"/>
      <c r="BV71" s="3"/>
      <c r="BW71" s="3"/>
      <c r="BX71" s="3"/>
      <c r="BY71" s="3"/>
    </row>
    <row r="72" ht="15.75" customHeight="1">
      <c r="A72" s="288"/>
      <c r="B72" s="288"/>
      <c r="C72" s="288"/>
      <c r="D72" s="288"/>
      <c r="E72" s="288"/>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8"/>
      <c r="AJ72" s="288"/>
      <c r="AK72" s="288"/>
      <c r="AL72" s="288"/>
      <c r="AM72" s="288"/>
      <c r="AN72" s="288"/>
      <c r="AO72" s="288"/>
      <c r="AP72" s="288"/>
      <c r="AQ72" s="288"/>
      <c r="AR72" s="288"/>
      <c r="AS72" s="288"/>
      <c r="AT72" s="288"/>
      <c r="AU72" s="288"/>
      <c r="AV72" s="288"/>
      <c r="AW72" s="288"/>
      <c r="AX72" s="288"/>
      <c r="AY72" s="288"/>
      <c r="AZ72" s="288"/>
      <c r="BA72" s="288"/>
      <c r="BB72" s="288"/>
      <c r="BC72" s="288"/>
      <c r="BD72" s="288"/>
      <c r="BE72" s="288"/>
      <c r="BF72" s="288"/>
      <c r="BG72" s="288"/>
      <c r="BH72" s="288"/>
      <c r="BI72" s="288"/>
      <c r="BJ72" s="288"/>
      <c r="BK72" s="288"/>
      <c r="BL72" s="288"/>
      <c r="BM72" s="288"/>
      <c r="BN72" s="288"/>
      <c r="BO72" s="288"/>
      <c r="BP72" s="288"/>
      <c r="BQ72" s="288"/>
      <c r="BR72" s="288"/>
      <c r="BS72" s="3"/>
      <c r="BT72" s="3"/>
      <c r="BU72" s="3"/>
      <c r="BV72" s="3"/>
      <c r="BW72" s="3"/>
      <c r="BX72" s="3"/>
      <c r="BY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row>
    <row r="102" ht="15.75" customHeight="1">
      <c r="BR102" s="3"/>
    </row>
    <row r="103" ht="15.75" customHeight="1">
      <c r="BR103" s="3"/>
    </row>
    <row r="104" ht="15.75" customHeight="1">
      <c r="BR104" s="3"/>
    </row>
    <row r="105" ht="15.75" customHeight="1">
      <c r="BR105" s="3"/>
    </row>
    <row r="106" ht="15.75" customHeight="1">
      <c r="BR106" s="3"/>
    </row>
    <row r="107" ht="15.75" customHeight="1">
      <c r="BR107" s="3"/>
    </row>
    <row r="108" ht="15.75" customHeight="1">
      <c r="BR108" s="3"/>
    </row>
    <row r="109" ht="15.75" customHeight="1">
      <c r="BR109" s="3"/>
    </row>
    <row r="110" ht="15.75" customHeight="1">
      <c r="BR110" s="3"/>
    </row>
    <row r="111" ht="15.75" customHeight="1">
      <c r="BR111" s="3"/>
    </row>
    <row r="112" ht="15.75" customHeight="1">
      <c r="BR112" s="3"/>
    </row>
    <row r="113" ht="15.75" customHeight="1">
      <c r="BR113" s="3"/>
    </row>
    <row r="114" ht="15.75" customHeight="1">
      <c r="BR114" s="3"/>
    </row>
    <row r="115" ht="15.75" customHeight="1">
      <c r="BR115" s="3"/>
    </row>
    <row r="116" ht="15.75" customHeight="1">
      <c r="BR116" s="3"/>
    </row>
    <row r="117" ht="15.75" customHeight="1">
      <c r="BR117" s="3"/>
    </row>
    <row r="118" ht="15.75" customHeight="1">
      <c r="BR118" s="3"/>
    </row>
    <row r="119" ht="15.75" customHeight="1">
      <c r="BR119" s="3"/>
    </row>
    <row r="120" ht="15.75" customHeight="1">
      <c r="BR120" s="3"/>
    </row>
    <row r="121" ht="15.75" customHeight="1">
      <c r="BR121" s="3"/>
    </row>
    <row r="122" ht="15.75" customHeight="1">
      <c r="BR122" s="3"/>
    </row>
    <row r="123" ht="15.75" customHeight="1">
      <c r="BR123" s="3"/>
    </row>
    <row r="124" ht="15.75" customHeight="1">
      <c r="BR124" s="3"/>
    </row>
    <row r="125" ht="15.75" customHeight="1">
      <c r="BR125" s="3"/>
    </row>
    <row r="126" ht="15.75" customHeight="1">
      <c r="BR126" s="3"/>
    </row>
    <row r="127" ht="15.75" customHeight="1">
      <c r="BR127" s="3"/>
    </row>
    <row r="128" ht="15.75" customHeight="1">
      <c r="BR128" s="3"/>
    </row>
    <row r="129" ht="15.75" customHeight="1">
      <c r="BR129" s="3"/>
    </row>
    <row r="130" ht="15.75" customHeight="1">
      <c r="BR130" s="3"/>
    </row>
    <row r="131" ht="15.75" customHeight="1">
      <c r="BR131" s="3"/>
    </row>
    <row r="132" ht="15.75" customHeight="1">
      <c r="BR132" s="3"/>
    </row>
    <row r="133" ht="15.75" customHeight="1">
      <c r="BR133" s="3"/>
    </row>
    <row r="134" ht="15.75" customHeight="1">
      <c r="BR134" s="3"/>
    </row>
    <row r="135" ht="15.75" customHeight="1">
      <c r="BR135" s="3"/>
    </row>
    <row r="136" ht="15.75" customHeight="1">
      <c r="BR136" s="3"/>
    </row>
    <row r="137" ht="15.75" customHeight="1">
      <c r="BR137" s="3"/>
    </row>
    <row r="138" ht="15.75" customHeight="1">
      <c r="BR138" s="3"/>
    </row>
    <row r="139" ht="15.75" customHeight="1">
      <c r="BR139" s="3"/>
    </row>
    <row r="140" ht="15.75" customHeight="1">
      <c r="BR140" s="3"/>
    </row>
    <row r="141" ht="15.75" customHeight="1">
      <c r="BR141" s="3"/>
    </row>
    <row r="142" ht="15.75" customHeight="1">
      <c r="BR142" s="3"/>
    </row>
    <row r="143" ht="15.75" customHeight="1">
      <c r="BR143" s="3"/>
    </row>
    <row r="144" ht="15.75" customHeight="1">
      <c r="BR144" s="3"/>
    </row>
    <row r="145" ht="15.75" customHeight="1">
      <c r="BR145" s="3"/>
    </row>
    <row r="146" ht="15.75" customHeight="1">
      <c r="BR146" s="3"/>
    </row>
    <row r="147" ht="15.75" customHeight="1">
      <c r="BR147" s="3"/>
    </row>
    <row r="148" ht="15.75" customHeight="1">
      <c r="BR148" s="3"/>
    </row>
    <row r="149" ht="15.75" customHeight="1">
      <c r="BR149" s="3"/>
    </row>
    <row r="150" ht="15.75" customHeight="1">
      <c r="BR150" s="3"/>
    </row>
    <row r="151" ht="15.75" customHeight="1">
      <c r="BR151" s="3"/>
    </row>
    <row r="152" ht="15.75" customHeight="1">
      <c r="BR152" s="3"/>
    </row>
    <row r="153" ht="15.75" customHeight="1">
      <c r="BR153" s="3"/>
    </row>
    <row r="154" ht="15.75" customHeight="1">
      <c r="BR154" s="3"/>
    </row>
    <row r="155" ht="15.75" customHeight="1">
      <c r="BR155" s="3"/>
    </row>
    <row r="156" ht="15.75" customHeight="1">
      <c r="BR156" s="3"/>
    </row>
    <row r="157" ht="15.75" customHeight="1">
      <c r="BR157" s="3"/>
    </row>
    <row r="158" ht="15.75" customHeight="1">
      <c r="BR158" s="3"/>
    </row>
    <row r="159" ht="15.75" customHeight="1">
      <c r="BR159" s="3"/>
    </row>
    <row r="160" ht="15.75" customHeight="1">
      <c r="BR160" s="3"/>
    </row>
    <row r="161" ht="15.75" customHeight="1">
      <c r="BR161" s="3"/>
    </row>
    <row r="162" ht="15.75" customHeight="1">
      <c r="BR162" s="3"/>
    </row>
    <row r="163" ht="15.75" customHeight="1">
      <c r="BR163" s="3"/>
    </row>
    <row r="164" ht="15.75" customHeight="1">
      <c r="BR164" s="3"/>
    </row>
    <row r="165" ht="15.75" customHeight="1">
      <c r="BR165" s="3"/>
    </row>
    <row r="166" ht="15.75" customHeight="1">
      <c r="BR166" s="3"/>
    </row>
    <row r="167" ht="15.75" customHeight="1">
      <c r="BR167" s="3"/>
    </row>
    <row r="168" ht="15.75" customHeight="1">
      <c r="BR168" s="3"/>
    </row>
    <row r="169" ht="15.75" customHeight="1">
      <c r="BR169" s="3"/>
    </row>
    <row r="170" ht="15.75" customHeight="1">
      <c r="BR170" s="3"/>
    </row>
    <row r="171" ht="15.75" customHeight="1">
      <c r="BR171" s="3"/>
    </row>
    <row r="172" ht="15.75" customHeight="1">
      <c r="BR172" s="3"/>
    </row>
    <row r="173" ht="15.75" customHeight="1">
      <c r="BR173" s="3"/>
    </row>
    <row r="174" ht="15.75" customHeight="1">
      <c r="BR174" s="3"/>
    </row>
    <row r="175" ht="15.75" customHeight="1">
      <c r="BR175" s="3"/>
    </row>
    <row r="176" ht="15.75" customHeight="1">
      <c r="BR176" s="3"/>
    </row>
    <row r="177" ht="15.75" customHeight="1">
      <c r="BR177" s="3"/>
    </row>
    <row r="178" ht="15.75" customHeight="1">
      <c r="BR178" s="3"/>
    </row>
    <row r="179" ht="15.75" customHeight="1">
      <c r="BR179" s="3"/>
    </row>
    <row r="180" ht="15.75" customHeight="1">
      <c r="BR180" s="3"/>
    </row>
    <row r="181" ht="15.75" customHeight="1">
      <c r="BR181" s="3"/>
    </row>
    <row r="182" ht="15.75" customHeight="1">
      <c r="BR182" s="3"/>
    </row>
    <row r="183" ht="15.75" customHeight="1">
      <c r="BR183" s="3"/>
    </row>
    <row r="184" ht="15.75" customHeight="1">
      <c r="BR184" s="3"/>
    </row>
    <row r="185" ht="15.75" customHeight="1">
      <c r="BR185" s="3"/>
    </row>
    <row r="186" ht="15.75" customHeight="1">
      <c r="BR186" s="3"/>
    </row>
    <row r="187" ht="15.75" customHeight="1">
      <c r="BR187" s="3"/>
    </row>
    <row r="188" ht="15.75" customHeight="1">
      <c r="BR188" s="3"/>
    </row>
    <row r="189" ht="15.75" customHeight="1">
      <c r="BR189" s="3"/>
    </row>
    <row r="190" ht="15.75" customHeight="1">
      <c r="BR190" s="3"/>
    </row>
    <row r="191" ht="15.75" customHeight="1">
      <c r="BR191" s="3"/>
    </row>
    <row r="192" ht="15.75" customHeight="1">
      <c r="BR192" s="3"/>
    </row>
    <row r="193" ht="15.75" customHeight="1">
      <c r="BR193" s="3"/>
    </row>
    <row r="194" ht="15.75" customHeight="1">
      <c r="BR194" s="3"/>
    </row>
    <row r="195" ht="15.75" customHeight="1">
      <c r="BR195" s="3"/>
    </row>
    <row r="196" ht="15.75" customHeight="1">
      <c r="BR196" s="3"/>
    </row>
    <row r="197" ht="15.75" customHeight="1">
      <c r="BR197" s="3"/>
    </row>
    <row r="198" ht="15.75" customHeight="1">
      <c r="BR198" s="3"/>
    </row>
    <row r="199" ht="15.75" customHeight="1">
      <c r="BR199" s="3"/>
    </row>
    <row r="200" ht="15.75" customHeight="1">
      <c r="BR200" s="3"/>
    </row>
    <row r="201" ht="15.75" customHeight="1">
      <c r="BR201" s="3"/>
    </row>
    <row r="202" ht="15.75" customHeight="1">
      <c r="BR202" s="3"/>
    </row>
    <row r="203" ht="15.75" customHeight="1">
      <c r="BR203" s="3"/>
    </row>
    <row r="204" ht="15.75" customHeight="1">
      <c r="BR204" s="3"/>
    </row>
    <row r="205" ht="15.75" customHeight="1">
      <c r="BR205" s="3"/>
    </row>
    <row r="206" ht="15.75" customHeight="1">
      <c r="BR206" s="3"/>
    </row>
    <row r="207" ht="15.75" customHeight="1">
      <c r="BR207" s="3"/>
    </row>
    <row r="208" ht="15.75" customHeight="1">
      <c r="BR208" s="3"/>
    </row>
    <row r="209" ht="15.75" customHeight="1">
      <c r="BR209" s="3"/>
    </row>
    <row r="210" ht="15.75" customHeight="1">
      <c r="BR210" s="3"/>
    </row>
    <row r="211" ht="15.75" customHeight="1">
      <c r="BR211" s="3"/>
    </row>
    <row r="212" ht="15.75" customHeight="1">
      <c r="BR212" s="3"/>
    </row>
    <row r="213" ht="15.75" customHeight="1">
      <c r="BR213" s="3"/>
    </row>
    <row r="214" ht="15.75" customHeight="1">
      <c r="BR214" s="3"/>
    </row>
    <row r="215" ht="15.75" customHeight="1">
      <c r="BR215" s="3"/>
    </row>
    <row r="216" ht="15.75" customHeight="1">
      <c r="BR216" s="3"/>
    </row>
    <row r="217" ht="15.75" customHeight="1">
      <c r="BR217" s="3"/>
    </row>
    <row r="218" ht="15.75" customHeight="1">
      <c r="BR218" s="3"/>
    </row>
    <row r="219" ht="15.75" customHeight="1">
      <c r="BR219" s="3"/>
    </row>
    <row r="220" ht="15.75" customHeight="1">
      <c r="BR220" s="3"/>
    </row>
    <row r="221" ht="15.75" customHeight="1">
      <c r="BR221" s="3"/>
    </row>
    <row r="222" ht="15.75" customHeight="1">
      <c r="BR222" s="3"/>
    </row>
    <row r="223" ht="15.75" customHeight="1">
      <c r="BR223" s="3"/>
    </row>
    <row r="224" ht="15.75" customHeight="1">
      <c r="BR224" s="3"/>
    </row>
    <row r="225" ht="15.75" customHeight="1">
      <c r="BR225" s="3"/>
    </row>
    <row r="226" ht="15.75" customHeight="1">
      <c r="BR226" s="3"/>
    </row>
    <row r="227" ht="15.75" customHeight="1">
      <c r="BR227" s="3"/>
    </row>
    <row r="228" ht="15.75" customHeight="1">
      <c r="BR228" s="3"/>
    </row>
    <row r="229" ht="15.75" customHeight="1">
      <c r="BR229" s="3"/>
    </row>
    <row r="230" ht="15.75" customHeight="1">
      <c r="BR230" s="3"/>
    </row>
    <row r="231" ht="15.75" customHeight="1">
      <c r="BR231" s="3"/>
    </row>
    <row r="232" ht="15.75" customHeight="1">
      <c r="BR232" s="3"/>
    </row>
    <row r="233" ht="15.75" customHeight="1">
      <c r="BR233" s="3"/>
    </row>
    <row r="234" ht="15.75" customHeight="1">
      <c r="BR234" s="3"/>
    </row>
    <row r="235" ht="15.75" customHeight="1">
      <c r="BR235" s="3"/>
    </row>
    <row r="236" ht="15.75" customHeight="1">
      <c r="BR236" s="3"/>
    </row>
    <row r="237" ht="15.75" customHeight="1">
      <c r="BR237" s="3"/>
    </row>
    <row r="238" ht="15.75" customHeight="1">
      <c r="BR238" s="3"/>
    </row>
    <row r="239" ht="15.75" customHeight="1">
      <c r="BR239" s="3"/>
    </row>
    <row r="240" ht="15.75" customHeight="1">
      <c r="BR240" s="3"/>
    </row>
    <row r="241" ht="15.75" customHeight="1">
      <c r="BR241" s="3"/>
    </row>
    <row r="242" ht="15.75" customHeight="1">
      <c r="BR242" s="3"/>
    </row>
    <row r="243" ht="15.75" customHeight="1">
      <c r="BR243" s="3"/>
    </row>
    <row r="244" ht="15.75" customHeight="1">
      <c r="BR244" s="3"/>
    </row>
    <row r="245" ht="15.75" customHeight="1">
      <c r="BR245" s="3"/>
    </row>
    <row r="246" ht="15.75" customHeight="1">
      <c r="BR246" s="3"/>
    </row>
    <row r="247" ht="15.75" customHeight="1">
      <c r="BR247" s="3"/>
    </row>
    <row r="248" ht="15.75" customHeight="1">
      <c r="BR248" s="3"/>
    </row>
    <row r="249" ht="15.75" customHeight="1">
      <c r="BR249" s="3"/>
    </row>
    <row r="250" ht="15.75" customHeight="1">
      <c r="BR250" s="3"/>
    </row>
    <row r="251" ht="15.75" customHeight="1">
      <c r="BR251" s="3"/>
    </row>
    <row r="252" ht="15.75" customHeight="1">
      <c r="BR252" s="3"/>
    </row>
    <row r="253" ht="15.75" customHeight="1">
      <c r="BR253" s="3"/>
    </row>
    <row r="254" ht="15.75" customHeight="1">
      <c r="BR254" s="3"/>
    </row>
    <row r="255" ht="15.75" customHeight="1">
      <c r="BR255" s="3"/>
    </row>
    <row r="256" ht="15.75" customHeight="1">
      <c r="BR256" s="3"/>
    </row>
    <row r="257" ht="15.75" customHeight="1">
      <c r="BR257" s="3"/>
    </row>
    <row r="258" ht="15.75" customHeight="1">
      <c r="BR258" s="3"/>
    </row>
    <row r="259" ht="15.75" customHeight="1">
      <c r="BR259" s="3"/>
    </row>
    <row r="260" ht="15.75" customHeight="1">
      <c r="BR260" s="3"/>
    </row>
    <row r="261" ht="15.75" customHeight="1">
      <c r="BR261" s="3"/>
    </row>
    <row r="262" ht="15.75" customHeight="1">
      <c r="BR262" s="3"/>
    </row>
    <row r="263" ht="15.75" customHeight="1">
      <c r="BR263" s="3"/>
    </row>
    <row r="264" ht="15.75" customHeight="1">
      <c r="BR264" s="3"/>
    </row>
    <row r="265" ht="15.75" customHeight="1">
      <c r="BR265" s="3"/>
    </row>
    <row r="266" ht="15.75" customHeight="1">
      <c r="BR266" s="3"/>
    </row>
    <row r="267" ht="15.75" customHeight="1">
      <c r="BR267" s="3"/>
    </row>
    <row r="268" ht="15.75" customHeight="1">
      <c r="BR268" s="3"/>
    </row>
    <row r="269" ht="15.75" customHeight="1">
      <c r="BR269" s="3"/>
    </row>
    <row r="270" ht="15.75" customHeight="1">
      <c r="BR270" s="3"/>
    </row>
    <row r="271" ht="15.75" customHeight="1">
      <c r="BR271" s="3"/>
    </row>
    <row r="272" ht="15.75" customHeight="1">
      <c r="BR272" s="3"/>
    </row>
    <row r="273" ht="15.75" customHeight="1">
      <c r="BR273" s="3"/>
    </row>
    <row r="274" ht="15.75" customHeight="1">
      <c r="BR274" s="3"/>
    </row>
    <row r="275" ht="15.75" customHeight="1">
      <c r="BR275" s="3"/>
    </row>
    <row r="276" ht="15.75" customHeight="1">
      <c r="BR276" s="3"/>
    </row>
    <row r="277" ht="15.75" customHeight="1">
      <c r="BR277" s="3"/>
    </row>
    <row r="278" ht="15.75" customHeight="1">
      <c r="BR278" s="3"/>
    </row>
    <row r="279" ht="15.75" customHeight="1">
      <c r="BR279" s="3"/>
    </row>
    <row r="280" ht="15.75" customHeight="1">
      <c r="BR280" s="3"/>
    </row>
    <row r="281" ht="15.75" customHeight="1">
      <c r="BR281" s="3"/>
    </row>
    <row r="282" ht="15.75" customHeight="1">
      <c r="BR282" s="3"/>
    </row>
    <row r="283" ht="15.75" customHeight="1">
      <c r="BR283" s="3"/>
    </row>
    <row r="284" ht="15.75" customHeight="1">
      <c r="BR284" s="3"/>
    </row>
    <row r="285" ht="15.75" customHeight="1">
      <c r="BR285" s="3"/>
    </row>
    <row r="286" ht="15.75" customHeight="1">
      <c r="BR286" s="3"/>
    </row>
    <row r="287" ht="15.75" customHeight="1">
      <c r="BR287" s="3"/>
    </row>
    <row r="288" ht="15.75" customHeight="1">
      <c r="BR288" s="3"/>
    </row>
    <row r="289" ht="15.75" customHeight="1">
      <c r="BR289" s="3"/>
    </row>
    <row r="290" ht="15.75" customHeight="1">
      <c r="BR290" s="3"/>
    </row>
    <row r="291" ht="15.75" customHeight="1">
      <c r="BR291" s="3"/>
    </row>
    <row r="292" ht="15.75" customHeight="1">
      <c r="BR292" s="3"/>
    </row>
    <row r="293" ht="15.75" customHeight="1">
      <c r="BR293" s="3"/>
    </row>
    <row r="294" ht="15.75" customHeight="1">
      <c r="BR294" s="3"/>
    </row>
    <row r="295" ht="15.75" customHeight="1">
      <c r="BR295" s="3"/>
    </row>
    <row r="296" ht="15.75" customHeight="1">
      <c r="BR296" s="3"/>
    </row>
    <row r="297" ht="15.75" customHeight="1">
      <c r="BR297" s="3"/>
    </row>
    <row r="298" ht="15.75" customHeight="1">
      <c r="BR298" s="3"/>
    </row>
    <row r="299" ht="15.75" customHeight="1">
      <c r="BR299" s="3"/>
    </row>
    <row r="300" ht="15.75" customHeight="1">
      <c r="BR300" s="3"/>
    </row>
    <row r="301" ht="15.75" customHeight="1">
      <c r="BR301" s="3"/>
    </row>
    <row r="302" ht="15.75" customHeight="1">
      <c r="BR302" s="3"/>
    </row>
    <row r="303" ht="15.75" customHeight="1">
      <c r="BR303" s="3"/>
    </row>
    <row r="304" ht="15.75" customHeight="1">
      <c r="BR304" s="3"/>
    </row>
    <row r="305" ht="15.75" customHeight="1">
      <c r="BR305" s="3"/>
    </row>
    <row r="306" ht="15.75" customHeight="1">
      <c r="BR306" s="3"/>
    </row>
    <row r="307" ht="15.75" customHeight="1">
      <c r="BR307" s="3"/>
    </row>
    <row r="308" ht="15.75" customHeight="1">
      <c r="BR308" s="3"/>
    </row>
    <row r="309" ht="15.75" customHeight="1">
      <c r="BR309" s="3"/>
    </row>
    <row r="310" ht="15.75" customHeight="1">
      <c r="BR310" s="3"/>
    </row>
    <row r="311" ht="15.75" customHeight="1">
      <c r="BR311" s="3"/>
    </row>
    <row r="312" ht="15.75" customHeight="1">
      <c r="BR312" s="3"/>
    </row>
    <row r="313" ht="15.75" customHeight="1">
      <c r="BR313" s="3"/>
    </row>
    <row r="314" ht="15.75" customHeight="1">
      <c r="BR314" s="3"/>
    </row>
    <row r="315" ht="15.75" customHeight="1">
      <c r="BR315" s="3"/>
    </row>
    <row r="316" ht="15.75" customHeight="1">
      <c r="BR316" s="3"/>
    </row>
    <row r="317" ht="15.75" customHeight="1">
      <c r="BR317" s="3"/>
    </row>
    <row r="318" ht="15.75" customHeight="1">
      <c r="BR318" s="3"/>
    </row>
    <row r="319" ht="15.75" customHeight="1">
      <c r="BR319" s="3"/>
    </row>
    <row r="320" ht="15.75" customHeight="1">
      <c r="BR320" s="3"/>
    </row>
    <row r="321" ht="15.75" customHeight="1">
      <c r="BR321" s="3"/>
    </row>
    <row r="322" ht="15.75" customHeight="1">
      <c r="BR322" s="3"/>
    </row>
    <row r="323" ht="15.75" customHeight="1">
      <c r="BR323" s="3"/>
    </row>
    <row r="324" ht="15.75" customHeight="1">
      <c r="BR324" s="3"/>
    </row>
    <row r="325" ht="15.75" customHeight="1">
      <c r="BR325" s="3"/>
    </row>
    <row r="326" ht="15.75" customHeight="1">
      <c r="BR326" s="3"/>
    </row>
    <row r="327" ht="15.75" customHeight="1">
      <c r="BR327" s="3"/>
    </row>
    <row r="328" ht="15.75" customHeight="1">
      <c r="BR328" s="3"/>
    </row>
    <row r="329" ht="15.75" customHeight="1">
      <c r="BR329" s="3"/>
    </row>
    <row r="330" ht="15.75" customHeight="1">
      <c r="BR330" s="3"/>
    </row>
    <row r="331" ht="15.75" customHeight="1">
      <c r="BR331" s="3"/>
    </row>
    <row r="332" ht="15.75" customHeight="1">
      <c r="BR332" s="3"/>
    </row>
    <row r="333" ht="15.75" customHeight="1">
      <c r="BR333" s="3"/>
    </row>
    <row r="334" ht="15.75" customHeight="1">
      <c r="BR334" s="3"/>
    </row>
    <row r="335" ht="15.75" customHeight="1">
      <c r="BR335" s="3"/>
    </row>
    <row r="336" ht="15.75" customHeight="1">
      <c r="BR336" s="3"/>
    </row>
    <row r="337" ht="15.75" customHeight="1">
      <c r="BR337" s="3"/>
    </row>
    <row r="338" ht="15.75" customHeight="1">
      <c r="BR338" s="3"/>
    </row>
    <row r="339" ht="15.75" customHeight="1">
      <c r="BR339" s="3"/>
    </row>
    <row r="340" ht="15.75" customHeight="1">
      <c r="BR340" s="3"/>
    </row>
    <row r="341" ht="15.75" customHeight="1">
      <c r="BR341" s="3"/>
    </row>
    <row r="342" ht="15.75" customHeight="1">
      <c r="BR342" s="3"/>
    </row>
    <row r="343" ht="15.75" customHeight="1">
      <c r="BR343" s="3"/>
    </row>
    <row r="344" ht="15.75" customHeight="1">
      <c r="BR344" s="3"/>
    </row>
    <row r="345" ht="15.75" customHeight="1">
      <c r="BR345" s="3"/>
    </row>
    <row r="346" ht="15.75" customHeight="1">
      <c r="BR346" s="3"/>
    </row>
    <row r="347" ht="15.75" customHeight="1">
      <c r="BR347" s="3"/>
    </row>
    <row r="348" ht="15.75" customHeight="1">
      <c r="BR348" s="3"/>
    </row>
    <row r="349" ht="15.75" customHeight="1">
      <c r="BR349" s="3"/>
    </row>
    <row r="350" ht="15.75" customHeight="1">
      <c r="BR350" s="3"/>
    </row>
    <row r="351" ht="15.75" customHeight="1">
      <c r="BR351" s="3"/>
    </row>
    <row r="352" ht="15.75" customHeight="1">
      <c r="BR352" s="3"/>
    </row>
    <row r="353" ht="15.75" customHeight="1">
      <c r="BR353" s="3"/>
    </row>
    <row r="354" ht="15.75" customHeight="1">
      <c r="BR354" s="3"/>
    </row>
    <row r="355" ht="15.75" customHeight="1">
      <c r="BR355" s="3"/>
    </row>
    <row r="356" ht="15.75" customHeight="1">
      <c r="BR356" s="3"/>
    </row>
    <row r="357" ht="15.75" customHeight="1">
      <c r="BR357" s="3"/>
    </row>
    <row r="358" ht="15.75" customHeight="1">
      <c r="BR358" s="3"/>
    </row>
    <row r="359" ht="15.75" customHeight="1">
      <c r="BR359" s="3"/>
    </row>
    <row r="360" ht="15.75" customHeight="1">
      <c r="BR360" s="3"/>
    </row>
    <row r="361" ht="15.75" customHeight="1">
      <c r="BR361" s="3"/>
    </row>
    <row r="362" ht="15.75" customHeight="1">
      <c r="BR362" s="3"/>
    </row>
    <row r="363" ht="15.75" customHeight="1">
      <c r="BR363" s="3"/>
    </row>
    <row r="364" ht="15.75" customHeight="1">
      <c r="BR364" s="3"/>
    </row>
    <row r="365" ht="15.75" customHeight="1">
      <c r="BR365" s="3"/>
    </row>
    <row r="366" ht="15.75" customHeight="1">
      <c r="BR366" s="3"/>
    </row>
    <row r="367" ht="15.75" customHeight="1">
      <c r="BR367" s="3"/>
    </row>
    <row r="368" ht="15.75" customHeight="1">
      <c r="BR368" s="3"/>
    </row>
    <row r="369" ht="15.75" customHeight="1">
      <c r="BR369" s="3"/>
    </row>
    <row r="370" ht="15.75" customHeight="1">
      <c r="BR370" s="3"/>
    </row>
    <row r="371" ht="15.75" customHeight="1">
      <c r="BR371" s="3"/>
    </row>
    <row r="372" ht="15.75" customHeight="1">
      <c r="BR372" s="3"/>
    </row>
    <row r="373" ht="15.75" customHeight="1">
      <c r="BR373" s="3"/>
    </row>
    <row r="374" ht="15.75" customHeight="1">
      <c r="BR374" s="3"/>
    </row>
    <row r="375" ht="15.75" customHeight="1">
      <c r="BR375" s="3"/>
    </row>
    <row r="376" ht="15.75" customHeight="1">
      <c r="BR376" s="3"/>
    </row>
    <row r="377" ht="15.75" customHeight="1">
      <c r="BR377" s="3"/>
    </row>
    <row r="378" ht="15.75" customHeight="1">
      <c r="BR378" s="3"/>
    </row>
    <row r="379" ht="15.75" customHeight="1">
      <c r="BR379" s="3"/>
    </row>
    <row r="380" ht="15.75" customHeight="1">
      <c r="BR380" s="3"/>
    </row>
    <row r="381" ht="15.75" customHeight="1">
      <c r="BR381" s="3"/>
    </row>
    <row r="382" ht="15.75" customHeight="1">
      <c r="BR382" s="3"/>
    </row>
    <row r="383" ht="15.75" customHeight="1">
      <c r="BR383" s="3"/>
    </row>
    <row r="384" ht="15.75" customHeight="1">
      <c r="BR384" s="3"/>
    </row>
    <row r="385" ht="15.75" customHeight="1">
      <c r="BR385" s="3"/>
    </row>
    <row r="386" ht="15.75" customHeight="1">
      <c r="BR386" s="3"/>
    </row>
    <row r="387" ht="15.75" customHeight="1">
      <c r="BR387" s="3"/>
    </row>
    <row r="388" ht="15.75" customHeight="1">
      <c r="BR388" s="3"/>
    </row>
    <row r="389" ht="15.75" customHeight="1">
      <c r="BR389" s="3"/>
    </row>
    <row r="390" ht="15.75" customHeight="1">
      <c r="BR390" s="3"/>
    </row>
    <row r="391" ht="15.75" customHeight="1">
      <c r="BR391" s="3"/>
    </row>
    <row r="392" ht="15.75" customHeight="1">
      <c r="BR392" s="3"/>
    </row>
    <row r="393" ht="15.75" customHeight="1">
      <c r="BR393" s="3"/>
    </row>
    <row r="394" ht="15.75" customHeight="1">
      <c r="BR394" s="3"/>
    </row>
    <row r="395" ht="15.75" customHeight="1">
      <c r="BR395" s="3"/>
    </row>
    <row r="396" ht="15.75" customHeight="1">
      <c r="BR396" s="3"/>
    </row>
    <row r="397" ht="15.75" customHeight="1">
      <c r="BR397" s="3"/>
    </row>
    <row r="398" ht="15.75" customHeight="1">
      <c r="BR398" s="3"/>
    </row>
    <row r="399" ht="15.75" customHeight="1">
      <c r="BR399" s="3"/>
    </row>
    <row r="400" ht="15.75" customHeight="1">
      <c r="BR400" s="3"/>
    </row>
    <row r="401" ht="15.75" customHeight="1">
      <c r="BR401" s="3"/>
    </row>
    <row r="402" ht="15.75" customHeight="1">
      <c r="BR402" s="3"/>
    </row>
    <row r="403" ht="15.75" customHeight="1">
      <c r="BR403" s="3"/>
    </row>
    <row r="404" ht="15.75" customHeight="1">
      <c r="BR404" s="3"/>
    </row>
    <row r="405" ht="15.75" customHeight="1">
      <c r="BR405" s="3"/>
    </row>
    <row r="406" ht="15.75" customHeight="1">
      <c r="BR406" s="3"/>
    </row>
    <row r="407" ht="15.75" customHeight="1">
      <c r="BR407" s="3"/>
    </row>
    <row r="408" ht="15.75" customHeight="1">
      <c r="BR408" s="3"/>
    </row>
    <row r="409" ht="15.75" customHeight="1">
      <c r="BR409" s="3"/>
    </row>
    <row r="410" ht="15.75" customHeight="1">
      <c r="BR410" s="3"/>
    </row>
    <row r="411" ht="15.75" customHeight="1">
      <c r="BR411" s="3"/>
    </row>
    <row r="412" ht="15.75" customHeight="1">
      <c r="BR412" s="3"/>
    </row>
    <row r="413" ht="15.75" customHeight="1">
      <c r="BR413" s="3"/>
    </row>
    <row r="414" ht="15.75" customHeight="1">
      <c r="BR414" s="3"/>
    </row>
    <row r="415" ht="15.75" customHeight="1">
      <c r="BR415" s="3"/>
    </row>
    <row r="416" ht="15.75" customHeight="1">
      <c r="BR416" s="3"/>
    </row>
    <row r="417" ht="15.75" customHeight="1">
      <c r="BR417" s="3"/>
    </row>
    <row r="418" ht="15.75" customHeight="1">
      <c r="BR418" s="3"/>
    </row>
    <row r="419" ht="15.75" customHeight="1">
      <c r="BR419" s="3"/>
    </row>
    <row r="420" ht="15.75" customHeight="1">
      <c r="BR420" s="3"/>
    </row>
    <row r="421" ht="15.75" customHeight="1">
      <c r="BR421" s="3"/>
    </row>
    <row r="422" ht="15.75" customHeight="1">
      <c r="BR422" s="3"/>
    </row>
    <row r="423" ht="15.75" customHeight="1">
      <c r="BR423" s="3"/>
    </row>
    <row r="424" ht="15.75" customHeight="1">
      <c r="BR424" s="3"/>
    </row>
    <row r="425" ht="15.75" customHeight="1">
      <c r="BR425" s="3"/>
    </row>
    <row r="426" ht="15.75" customHeight="1">
      <c r="BR426" s="3"/>
    </row>
    <row r="427" ht="15.75" customHeight="1">
      <c r="BR427" s="3"/>
    </row>
    <row r="428" ht="15.75" customHeight="1">
      <c r="BR428" s="3"/>
    </row>
    <row r="429" ht="15.75" customHeight="1">
      <c r="BR429" s="3"/>
    </row>
    <row r="430" ht="15.75" customHeight="1">
      <c r="BR430" s="3"/>
    </row>
    <row r="431" ht="15.75" customHeight="1">
      <c r="BR431" s="3"/>
    </row>
    <row r="432" ht="15.75" customHeight="1">
      <c r="BR432" s="3"/>
    </row>
    <row r="433" ht="15.75" customHeight="1">
      <c r="BR433" s="3"/>
    </row>
    <row r="434" ht="15.75" customHeight="1">
      <c r="BR434" s="3"/>
    </row>
    <row r="435" ht="15.75" customHeight="1">
      <c r="BR435" s="3"/>
    </row>
    <row r="436" ht="15.75" customHeight="1">
      <c r="BR436" s="3"/>
    </row>
    <row r="437" ht="15.75" customHeight="1">
      <c r="BR437" s="3"/>
    </row>
    <row r="438" ht="15.75" customHeight="1">
      <c r="BR438" s="3"/>
    </row>
    <row r="439" ht="15.75" customHeight="1">
      <c r="BR439" s="3"/>
    </row>
    <row r="440" ht="15.75" customHeight="1">
      <c r="BR440" s="3"/>
    </row>
    <row r="441" ht="15.75" customHeight="1">
      <c r="BR441" s="3"/>
    </row>
    <row r="442" ht="15.75" customHeight="1">
      <c r="BR442" s="3"/>
    </row>
    <row r="443" ht="15.75" customHeight="1">
      <c r="BR443" s="3"/>
    </row>
    <row r="444" ht="15.75" customHeight="1">
      <c r="BR444" s="3"/>
    </row>
    <row r="445" ht="15.75" customHeight="1">
      <c r="BR445" s="3"/>
    </row>
    <row r="446" ht="15.75" customHeight="1">
      <c r="BR446" s="3"/>
    </row>
    <row r="447" ht="15.75" customHeight="1">
      <c r="BR447" s="3"/>
    </row>
    <row r="448" ht="15.75" customHeight="1">
      <c r="BR448" s="3"/>
    </row>
    <row r="449" ht="15.75" customHeight="1">
      <c r="BR449" s="3"/>
    </row>
    <row r="450" ht="15.75" customHeight="1">
      <c r="BR450" s="3"/>
    </row>
    <row r="451" ht="15.75" customHeight="1">
      <c r="BR451" s="3"/>
    </row>
    <row r="452" ht="15.75" customHeight="1">
      <c r="BR452" s="3"/>
    </row>
    <row r="453" ht="15.75" customHeight="1">
      <c r="BR453" s="3"/>
    </row>
    <row r="454" ht="15.75" customHeight="1">
      <c r="BR454" s="3"/>
    </row>
    <row r="455" ht="15.75" customHeight="1">
      <c r="BR455" s="3"/>
    </row>
    <row r="456" ht="15.75" customHeight="1">
      <c r="BR456" s="3"/>
    </row>
    <row r="457" ht="15.75" customHeight="1">
      <c r="BR457" s="3"/>
    </row>
    <row r="458" ht="15.75" customHeight="1">
      <c r="BR458" s="3"/>
    </row>
    <row r="459" ht="15.75" customHeight="1">
      <c r="BR459" s="3"/>
    </row>
    <row r="460" ht="15.75" customHeight="1">
      <c r="BR460" s="3"/>
    </row>
    <row r="461" ht="15.75" customHeight="1">
      <c r="BR461" s="3"/>
    </row>
    <row r="462" ht="15.75" customHeight="1">
      <c r="BR462" s="3"/>
    </row>
    <row r="463" ht="15.75" customHeight="1">
      <c r="BR463" s="3"/>
    </row>
    <row r="464" ht="15.75" customHeight="1">
      <c r="BR464" s="3"/>
    </row>
    <row r="465" ht="15.75" customHeight="1">
      <c r="BR465" s="3"/>
    </row>
    <row r="466" ht="15.75" customHeight="1">
      <c r="BR466" s="3"/>
    </row>
    <row r="467" ht="15.75" customHeight="1">
      <c r="BR467" s="3"/>
    </row>
    <row r="468" ht="15.75" customHeight="1">
      <c r="BR468" s="3"/>
    </row>
    <row r="469" ht="15.75" customHeight="1">
      <c r="BR469" s="3"/>
    </row>
    <row r="470" ht="15.75" customHeight="1">
      <c r="BR470" s="3"/>
    </row>
    <row r="471" ht="15.75" customHeight="1">
      <c r="BR471" s="3"/>
    </row>
    <row r="472" ht="15.75" customHeight="1">
      <c r="BR472" s="3"/>
    </row>
    <row r="473" ht="15.75" customHeight="1">
      <c r="BR473" s="3"/>
    </row>
    <row r="474" ht="15.75" customHeight="1">
      <c r="BR474" s="3"/>
    </row>
    <row r="475" ht="15.75" customHeight="1">
      <c r="BR475" s="3"/>
    </row>
    <row r="476" ht="15.75" customHeight="1">
      <c r="BR476" s="3"/>
    </row>
    <row r="477" ht="15.75" customHeight="1">
      <c r="BR477" s="3"/>
    </row>
    <row r="478" ht="15.75" customHeight="1">
      <c r="BR478" s="3"/>
    </row>
    <row r="479" ht="15.75" customHeight="1">
      <c r="BR479" s="3"/>
    </row>
    <row r="480" ht="15.75" customHeight="1">
      <c r="BR480" s="3"/>
    </row>
    <row r="481" ht="15.75" customHeight="1">
      <c r="BR481" s="3"/>
    </row>
    <row r="482" ht="15.75" customHeight="1">
      <c r="BR482" s="3"/>
    </row>
    <row r="483" ht="15.75" customHeight="1">
      <c r="BR483" s="3"/>
    </row>
    <row r="484" ht="15.75" customHeight="1">
      <c r="BR484" s="3"/>
    </row>
    <row r="485" ht="15.75" customHeight="1">
      <c r="BR485" s="3"/>
    </row>
    <row r="486" ht="15.75" customHeight="1">
      <c r="BR486" s="3"/>
    </row>
    <row r="487" ht="15.75" customHeight="1">
      <c r="BR487" s="3"/>
    </row>
    <row r="488" ht="15.75" customHeight="1">
      <c r="BR488" s="3"/>
    </row>
    <row r="489" ht="15.75" customHeight="1">
      <c r="BR489" s="3"/>
    </row>
    <row r="490" ht="15.75" customHeight="1">
      <c r="BR490" s="3"/>
    </row>
    <row r="491" ht="15.75" customHeight="1">
      <c r="BR491" s="3"/>
    </row>
    <row r="492" ht="15.75" customHeight="1">
      <c r="BR492" s="3"/>
    </row>
    <row r="493" ht="15.75" customHeight="1">
      <c r="BR493" s="3"/>
    </row>
    <row r="494" ht="15.75" customHeight="1">
      <c r="BR494" s="3"/>
    </row>
    <row r="495" ht="15.75" customHeight="1">
      <c r="BR495" s="3"/>
    </row>
    <row r="496" ht="15.75" customHeight="1">
      <c r="BR496" s="3"/>
    </row>
    <row r="497" ht="15.75" customHeight="1">
      <c r="BR497" s="3"/>
    </row>
    <row r="498" ht="15.75" customHeight="1">
      <c r="BR498" s="3"/>
    </row>
    <row r="499" ht="15.75" customHeight="1">
      <c r="BR499" s="3"/>
    </row>
    <row r="500" ht="15.75" customHeight="1">
      <c r="BR500" s="3"/>
    </row>
    <row r="501" ht="15.75" customHeight="1">
      <c r="BR501" s="3"/>
    </row>
    <row r="502" ht="15.75" customHeight="1">
      <c r="BR502" s="3"/>
    </row>
    <row r="503" ht="15.75" customHeight="1">
      <c r="BR503" s="3"/>
    </row>
    <row r="504" ht="15.75" customHeight="1">
      <c r="BR504" s="3"/>
    </row>
    <row r="505" ht="15.75" customHeight="1">
      <c r="BR505" s="3"/>
    </row>
    <row r="506" ht="15.75" customHeight="1">
      <c r="BR506" s="3"/>
    </row>
    <row r="507" ht="15.75" customHeight="1">
      <c r="BR507" s="3"/>
    </row>
    <row r="508" ht="15.75" customHeight="1">
      <c r="BR508" s="3"/>
    </row>
    <row r="509" ht="15.75" customHeight="1">
      <c r="BR509" s="3"/>
    </row>
    <row r="510" ht="15.75" customHeight="1">
      <c r="BR510" s="3"/>
    </row>
    <row r="511" ht="15.75" customHeight="1">
      <c r="BR511" s="3"/>
    </row>
    <row r="512" ht="15.75" customHeight="1">
      <c r="BR512" s="3"/>
    </row>
    <row r="513" ht="15.75" customHeight="1">
      <c r="BR513" s="3"/>
    </row>
    <row r="514" ht="15.75" customHeight="1">
      <c r="BR514" s="3"/>
    </row>
    <row r="515" ht="15.75" customHeight="1">
      <c r="BR515" s="3"/>
    </row>
    <row r="516" ht="15.75" customHeight="1">
      <c r="BR516" s="3"/>
    </row>
    <row r="517" ht="15.75" customHeight="1">
      <c r="BR517" s="3"/>
    </row>
    <row r="518" ht="15.75" customHeight="1">
      <c r="BR518" s="3"/>
    </row>
    <row r="519" ht="15.75" customHeight="1">
      <c r="BR519" s="3"/>
    </row>
    <row r="520" ht="15.75" customHeight="1">
      <c r="BR520" s="3"/>
    </row>
    <row r="521" ht="15.75" customHeight="1">
      <c r="BR521" s="3"/>
    </row>
    <row r="522" ht="15.75" customHeight="1">
      <c r="BR522" s="3"/>
    </row>
    <row r="523" ht="15.75" customHeight="1">
      <c r="BR523" s="3"/>
    </row>
    <row r="524" ht="15.75" customHeight="1">
      <c r="BR524" s="3"/>
    </row>
    <row r="525" ht="15.75" customHeight="1">
      <c r="BR525" s="3"/>
    </row>
    <row r="526" ht="15.75" customHeight="1">
      <c r="BR526" s="3"/>
    </row>
    <row r="527" ht="15.75" customHeight="1">
      <c r="BR527" s="3"/>
    </row>
    <row r="528" ht="15.75" customHeight="1">
      <c r="BR528" s="3"/>
    </row>
    <row r="529" ht="15.75" customHeight="1">
      <c r="BR529" s="3"/>
    </row>
    <row r="530" ht="15.75" customHeight="1">
      <c r="BR530" s="3"/>
    </row>
    <row r="531" ht="15.75" customHeight="1">
      <c r="BR531" s="3"/>
    </row>
    <row r="532" ht="15.75" customHeight="1">
      <c r="BR532" s="3"/>
    </row>
    <row r="533" ht="15.75" customHeight="1">
      <c r="BR533" s="3"/>
    </row>
    <row r="534" ht="15.75" customHeight="1">
      <c r="BR534" s="3"/>
    </row>
    <row r="535" ht="15.75" customHeight="1">
      <c r="BR535" s="3"/>
    </row>
    <row r="536" ht="15.75" customHeight="1">
      <c r="BR536" s="3"/>
    </row>
    <row r="537" ht="15.75" customHeight="1">
      <c r="BR537" s="3"/>
    </row>
    <row r="538" ht="15.75" customHeight="1">
      <c r="BR538" s="3"/>
    </row>
    <row r="539" ht="15.75" customHeight="1">
      <c r="BR539" s="3"/>
    </row>
    <row r="540" ht="15.75" customHeight="1">
      <c r="BR540" s="3"/>
    </row>
    <row r="541" ht="15.75" customHeight="1">
      <c r="BR541" s="3"/>
    </row>
    <row r="542" ht="15.75" customHeight="1">
      <c r="BR542" s="3"/>
    </row>
    <row r="543" ht="15.75" customHeight="1">
      <c r="BR543" s="3"/>
    </row>
    <row r="544" ht="15.75" customHeight="1">
      <c r="BR544" s="3"/>
    </row>
    <row r="545" ht="15.75" customHeight="1">
      <c r="BR545" s="3"/>
    </row>
    <row r="546" ht="15.75" customHeight="1">
      <c r="BR546" s="3"/>
    </row>
    <row r="547" ht="15.75" customHeight="1">
      <c r="BR547" s="3"/>
    </row>
    <row r="548" ht="15.75" customHeight="1">
      <c r="BR548" s="3"/>
    </row>
    <row r="549" ht="15.75" customHeight="1">
      <c r="BR549" s="3"/>
    </row>
    <row r="550" ht="15.75" customHeight="1">
      <c r="BR550" s="3"/>
    </row>
    <row r="551" ht="15.75" customHeight="1">
      <c r="BR551" s="3"/>
    </row>
    <row r="552" ht="15.75" customHeight="1">
      <c r="BR552" s="3"/>
    </row>
    <row r="553" ht="15.75" customHeight="1">
      <c r="BR553" s="3"/>
    </row>
    <row r="554" ht="15.75" customHeight="1">
      <c r="BR554" s="3"/>
    </row>
    <row r="555" ht="15.75" customHeight="1">
      <c r="BR555" s="3"/>
    </row>
    <row r="556" ht="15.75" customHeight="1">
      <c r="BR556" s="3"/>
    </row>
    <row r="557" ht="15.75" customHeight="1">
      <c r="BR557" s="3"/>
    </row>
    <row r="558" ht="15.75" customHeight="1">
      <c r="BR558" s="3"/>
    </row>
    <row r="559" ht="15.75" customHeight="1">
      <c r="BR559" s="3"/>
    </row>
    <row r="560" ht="15.75" customHeight="1">
      <c r="BR560" s="3"/>
    </row>
    <row r="561" ht="15.75" customHeight="1">
      <c r="BR561" s="3"/>
    </row>
    <row r="562" ht="15.75" customHeight="1">
      <c r="BR562" s="3"/>
    </row>
    <row r="563" ht="15.75" customHeight="1">
      <c r="BR563" s="3"/>
    </row>
    <row r="564" ht="15.75" customHeight="1">
      <c r="BR564" s="3"/>
    </row>
    <row r="565" ht="15.75" customHeight="1">
      <c r="BR565" s="3"/>
    </row>
    <row r="566" ht="15.75" customHeight="1">
      <c r="BR566" s="3"/>
    </row>
    <row r="567" ht="15.75" customHeight="1">
      <c r="BR567" s="3"/>
    </row>
    <row r="568" ht="15.75" customHeight="1">
      <c r="BR568" s="3"/>
    </row>
    <row r="569" ht="15.75" customHeight="1">
      <c r="BR569" s="3"/>
    </row>
    <row r="570" ht="15.75" customHeight="1">
      <c r="BR570" s="3"/>
    </row>
    <row r="571" ht="15.75" customHeight="1">
      <c r="BR571" s="3"/>
    </row>
    <row r="572" ht="15.75" customHeight="1">
      <c r="BR572" s="3"/>
    </row>
    <row r="573" ht="15.75" customHeight="1">
      <c r="BR573" s="3"/>
    </row>
    <row r="574" ht="15.75" customHeight="1">
      <c r="BR574" s="3"/>
    </row>
    <row r="575" ht="15.75" customHeight="1">
      <c r="BR575" s="3"/>
    </row>
    <row r="576" ht="15.75" customHeight="1">
      <c r="BR576" s="3"/>
    </row>
    <row r="577" ht="15.75" customHeight="1">
      <c r="BR577" s="3"/>
    </row>
    <row r="578" ht="15.75" customHeight="1">
      <c r="BR578" s="3"/>
    </row>
    <row r="579" ht="15.75" customHeight="1">
      <c r="BR579" s="3"/>
    </row>
    <row r="580" ht="15.75" customHeight="1">
      <c r="BR580" s="3"/>
    </row>
    <row r="581" ht="15.75" customHeight="1">
      <c r="BR581" s="3"/>
    </row>
    <row r="582" ht="15.75" customHeight="1">
      <c r="BR582" s="3"/>
    </row>
    <row r="583" ht="15.75" customHeight="1">
      <c r="BR583" s="3"/>
    </row>
    <row r="584" ht="15.75" customHeight="1">
      <c r="BR584" s="3"/>
    </row>
    <row r="585" ht="15.75" customHeight="1">
      <c r="BR585" s="3"/>
    </row>
    <row r="586" ht="15.75" customHeight="1">
      <c r="BR586" s="3"/>
    </row>
    <row r="587" ht="15.75" customHeight="1">
      <c r="BR587" s="3"/>
    </row>
    <row r="588" ht="15.75" customHeight="1">
      <c r="BR588" s="3"/>
    </row>
    <row r="589" ht="15.75" customHeight="1">
      <c r="BR589" s="3"/>
    </row>
    <row r="590" ht="15.75" customHeight="1">
      <c r="BR590" s="3"/>
    </row>
    <row r="591" ht="15.75" customHeight="1">
      <c r="BR591" s="3"/>
    </row>
    <row r="592" ht="15.75" customHeight="1">
      <c r="BR592" s="3"/>
    </row>
    <row r="593" ht="15.75" customHeight="1">
      <c r="BR593" s="3"/>
    </row>
    <row r="594" ht="15.75" customHeight="1">
      <c r="BR594" s="3"/>
    </row>
    <row r="595" ht="15.75" customHeight="1">
      <c r="BR595" s="3"/>
    </row>
    <row r="596" ht="15.75" customHeight="1">
      <c r="BR596" s="3"/>
    </row>
    <row r="597" ht="15.75" customHeight="1">
      <c r="BR597" s="3"/>
    </row>
    <row r="598" ht="15.75" customHeight="1">
      <c r="BR598" s="3"/>
    </row>
    <row r="599" ht="15.75" customHeight="1">
      <c r="BR599" s="3"/>
    </row>
    <row r="600" ht="15.75" customHeight="1">
      <c r="BR600" s="3"/>
    </row>
    <row r="601" ht="15.75" customHeight="1">
      <c r="BR601" s="3"/>
    </row>
    <row r="602" ht="15.75" customHeight="1">
      <c r="BR602" s="3"/>
    </row>
    <row r="603" ht="15.75" customHeight="1">
      <c r="BR603" s="3"/>
    </row>
    <row r="604" ht="15.75" customHeight="1">
      <c r="BR604" s="3"/>
    </row>
    <row r="605" ht="15.75" customHeight="1">
      <c r="BR605" s="3"/>
    </row>
    <row r="606" ht="15.75" customHeight="1">
      <c r="BR606" s="3"/>
    </row>
    <row r="607" ht="15.75" customHeight="1">
      <c r="BR607" s="3"/>
    </row>
    <row r="608" ht="15.75" customHeight="1">
      <c r="BR608" s="3"/>
    </row>
    <row r="609" ht="15.75" customHeight="1">
      <c r="BR609" s="3"/>
    </row>
    <row r="610" ht="15.75" customHeight="1">
      <c r="BR610" s="3"/>
    </row>
    <row r="611" ht="15.75" customHeight="1">
      <c r="BR611" s="3"/>
    </row>
    <row r="612" ht="15.75" customHeight="1">
      <c r="BR612" s="3"/>
    </row>
    <row r="613" ht="15.75" customHeight="1">
      <c r="BR613" s="3"/>
    </row>
    <row r="614" ht="15.75" customHeight="1">
      <c r="BR614" s="3"/>
    </row>
    <row r="615" ht="15.75" customHeight="1">
      <c r="BR615" s="3"/>
    </row>
    <row r="616" ht="15.75" customHeight="1">
      <c r="BR616" s="3"/>
    </row>
    <row r="617" ht="15.75" customHeight="1">
      <c r="BR617" s="3"/>
    </row>
    <row r="618" ht="15.75" customHeight="1">
      <c r="BR618" s="3"/>
    </row>
    <row r="619" ht="15.75" customHeight="1">
      <c r="BR619" s="3"/>
    </row>
    <row r="620" ht="15.75" customHeight="1">
      <c r="BR620" s="3"/>
    </row>
    <row r="621" ht="15.75" customHeight="1">
      <c r="BR621" s="3"/>
    </row>
    <row r="622" ht="15.75" customHeight="1">
      <c r="BR622" s="3"/>
    </row>
    <row r="623" ht="15.75" customHeight="1">
      <c r="BR623" s="3"/>
    </row>
    <row r="624" ht="15.75" customHeight="1">
      <c r="BR624" s="3"/>
    </row>
    <row r="625" ht="15.75" customHeight="1">
      <c r="BR625" s="3"/>
    </row>
    <row r="626" ht="15.75" customHeight="1">
      <c r="BR626" s="3"/>
    </row>
    <row r="627" ht="15.75" customHeight="1">
      <c r="BR627" s="3"/>
    </row>
    <row r="628" ht="15.75" customHeight="1">
      <c r="BR628" s="3"/>
    </row>
    <row r="629" ht="15.75" customHeight="1">
      <c r="BR629" s="3"/>
    </row>
    <row r="630" ht="15.75" customHeight="1">
      <c r="BR630" s="3"/>
    </row>
    <row r="631" ht="15.75" customHeight="1">
      <c r="BR631" s="3"/>
    </row>
    <row r="632" ht="15.75" customHeight="1">
      <c r="BR632" s="3"/>
    </row>
    <row r="633" ht="15.75" customHeight="1">
      <c r="BR633" s="3"/>
    </row>
    <row r="634" ht="15.75" customHeight="1">
      <c r="BR634" s="3"/>
    </row>
    <row r="635" ht="15.75" customHeight="1">
      <c r="BR635" s="3"/>
    </row>
    <row r="636" ht="15.75" customHeight="1">
      <c r="BR636" s="3"/>
    </row>
    <row r="637" ht="15.75" customHeight="1">
      <c r="BR637" s="3"/>
    </row>
    <row r="638" ht="15.75" customHeight="1">
      <c r="BR638" s="3"/>
    </row>
    <row r="639" ht="15.75" customHeight="1">
      <c r="BR639" s="3"/>
    </row>
    <row r="640" ht="15.75" customHeight="1">
      <c r="BR640" s="3"/>
    </row>
    <row r="641" ht="15.75" customHeight="1">
      <c r="BR641" s="3"/>
    </row>
    <row r="642" ht="15.75" customHeight="1">
      <c r="BR642" s="3"/>
    </row>
    <row r="643" ht="15.75" customHeight="1">
      <c r="BR643" s="3"/>
    </row>
    <row r="644" ht="15.75" customHeight="1">
      <c r="BR644" s="3"/>
    </row>
    <row r="645" ht="15.75" customHeight="1">
      <c r="BR645" s="3"/>
    </row>
    <row r="646" ht="15.75" customHeight="1">
      <c r="BR646" s="3"/>
    </row>
    <row r="647" ht="15.75" customHeight="1">
      <c r="BR647" s="3"/>
    </row>
    <row r="648" ht="15.75" customHeight="1">
      <c r="BR648" s="3"/>
    </row>
    <row r="649" ht="15.75" customHeight="1">
      <c r="BR649" s="3"/>
    </row>
    <row r="650" ht="15.75" customHeight="1">
      <c r="BR650" s="3"/>
    </row>
    <row r="651" ht="15.75" customHeight="1">
      <c r="BR651" s="3"/>
    </row>
    <row r="652" ht="15.75" customHeight="1">
      <c r="BR652" s="3"/>
    </row>
    <row r="653" ht="15.75" customHeight="1">
      <c r="BR653" s="3"/>
    </row>
    <row r="654" ht="15.75" customHeight="1">
      <c r="BR654" s="3"/>
    </row>
    <row r="655" ht="15.75" customHeight="1">
      <c r="BR655" s="3"/>
    </row>
    <row r="656" ht="15.75" customHeight="1">
      <c r="BR656" s="3"/>
    </row>
    <row r="657" ht="15.75" customHeight="1">
      <c r="BR657" s="3"/>
    </row>
    <row r="658" ht="15.75" customHeight="1">
      <c r="BR658" s="3"/>
    </row>
    <row r="659" ht="15.75" customHeight="1">
      <c r="BR659" s="3"/>
    </row>
    <row r="660" ht="15.75" customHeight="1">
      <c r="BR660" s="3"/>
    </row>
    <row r="661" ht="15.75" customHeight="1">
      <c r="BR661" s="3"/>
    </row>
    <row r="662" ht="15.75" customHeight="1">
      <c r="BR662" s="3"/>
    </row>
    <row r="663" ht="15.75" customHeight="1">
      <c r="BR663" s="3"/>
    </row>
    <row r="664" ht="15.75" customHeight="1">
      <c r="BR664" s="3"/>
    </row>
    <row r="665" ht="15.75" customHeight="1">
      <c r="BR665" s="3"/>
    </row>
    <row r="666" ht="15.75" customHeight="1">
      <c r="BR666" s="3"/>
    </row>
    <row r="667" ht="15.75" customHeight="1">
      <c r="BR667" s="3"/>
    </row>
    <row r="668" ht="15.75" customHeight="1">
      <c r="BR668" s="3"/>
    </row>
    <row r="669" ht="15.75" customHeight="1">
      <c r="BR669" s="3"/>
    </row>
    <row r="670" ht="15.75" customHeight="1">
      <c r="BR670" s="3"/>
    </row>
    <row r="671" ht="15.75" customHeight="1">
      <c r="BR671" s="3"/>
    </row>
    <row r="672" ht="15.75" customHeight="1">
      <c r="BR672" s="3"/>
    </row>
    <row r="673" ht="15.75" customHeight="1">
      <c r="BR673" s="3"/>
    </row>
    <row r="674" ht="15.75" customHeight="1">
      <c r="BR674" s="3"/>
    </row>
    <row r="675" ht="15.75" customHeight="1">
      <c r="BR675" s="3"/>
    </row>
    <row r="676" ht="15.75" customHeight="1">
      <c r="BR676" s="3"/>
    </row>
    <row r="677" ht="15.75" customHeight="1">
      <c r="BR677" s="3"/>
    </row>
    <row r="678" ht="15.75" customHeight="1">
      <c r="BR678" s="3"/>
    </row>
    <row r="679" ht="15.75" customHeight="1">
      <c r="BR679" s="3"/>
    </row>
    <row r="680" ht="15.75" customHeight="1">
      <c r="BR680" s="3"/>
    </row>
    <row r="681" ht="15.75" customHeight="1">
      <c r="BR681" s="3"/>
    </row>
    <row r="682" ht="15.75" customHeight="1">
      <c r="BR682" s="3"/>
    </row>
    <row r="683" ht="15.75" customHeight="1">
      <c r="BR683" s="3"/>
    </row>
    <row r="684" ht="15.75" customHeight="1">
      <c r="BR684" s="3"/>
    </row>
    <row r="685" ht="15.75" customHeight="1">
      <c r="BR685" s="3"/>
    </row>
    <row r="686" ht="15.75" customHeight="1">
      <c r="BR686" s="3"/>
    </row>
    <row r="687" ht="15.75" customHeight="1">
      <c r="BR687" s="3"/>
    </row>
    <row r="688" ht="15.75" customHeight="1">
      <c r="BR688" s="3"/>
    </row>
    <row r="689" ht="15.75" customHeight="1">
      <c r="BR689" s="3"/>
    </row>
    <row r="690" ht="15.75" customHeight="1">
      <c r="BR690" s="3"/>
    </row>
    <row r="691" ht="15.75" customHeight="1">
      <c r="BR691" s="3"/>
    </row>
    <row r="692" ht="15.75" customHeight="1">
      <c r="BR692" s="3"/>
    </row>
    <row r="693" ht="15.75" customHeight="1">
      <c r="BR693" s="3"/>
    </row>
    <row r="694" ht="15.75" customHeight="1">
      <c r="BR694" s="3"/>
    </row>
    <row r="695" ht="15.75" customHeight="1">
      <c r="BR695" s="3"/>
    </row>
    <row r="696" ht="15.75" customHeight="1">
      <c r="BR696" s="3"/>
    </row>
    <row r="697" ht="15.75" customHeight="1">
      <c r="BR697" s="3"/>
    </row>
    <row r="698" ht="15.75" customHeight="1">
      <c r="BR698" s="3"/>
    </row>
    <row r="699" ht="15.75" customHeight="1">
      <c r="BR699" s="3"/>
    </row>
    <row r="700" ht="15.75" customHeight="1">
      <c r="BR700" s="3"/>
    </row>
    <row r="701" ht="15.75" customHeight="1">
      <c r="BR701" s="3"/>
    </row>
    <row r="702" ht="15.75" customHeight="1">
      <c r="BR702" s="3"/>
    </row>
    <row r="703" ht="15.75" customHeight="1">
      <c r="BR703" s="3"/>
    </row>
    <row r="704" ht="15.75" customHeight="1">
      <c r="BR704" s="3"/>
    </row>
    <row r="705" ht="15.75" customHeight="1">
      <c r="BR705" s="3"/>
    </row>
    <row r="706" ht="15.75" customHeight="1">
      <c r="BR706" s="3"/>
    </row>
    <row r="707" ht="15.75" customHeight="1">
      <c r="BR707" s="3"/>
    </row>
    <row r="708" ht="15.75" customHeight="1">
      <c r="BR708" s="3"/>
    </row>
    <row r="709" ht="15.75" customHeight="1">
      <c r="BR709" s="3"/>
    </row>
    <row r="710" ht="15.75" customHeight="1">
      <c r="BR710" s="3"/>
    </row>
    <row r="711" ht="15.75" customHeight="1">
      <c r="BR711" s="3"/>
    </row>
    <row r="712" ht="15.75" customHeight="1">
      <c r="BR712" s="3"/>
    </row>
    <row r="713" ht="15.75" customHeight="1">
      <c r="BR713" s="3"/>
    </row>
    <row r="714" ht="15.75" customHeight="1">
      <c r="BR714" s="3"/>
    </row>
    <row r="715" ht="15.75" customHeight="1">
      <c r="BR715" s="3"/>
    </row>
    <row r="716" ht="15.75" customHeight="1">
      <c r="BR716" s="3"/>
    </row>
    <row r="717" ht="15.75" customHeight="1">
      <c r="BR717" s="3"/>
    </row>
    <row r="718" ht="15.75" customHeight="1">
      <c r="BR718" s="3"/>
    </row>
    <row r="719" ht="15.75" customHeight="1">
      <c r="BR719" s="3"/>
    </row>
    <row r="720" ht="15.75" customHeight="1">
      <c r="BR720" s="3"/>
    </row>
    <row r="721" ht="15.75" customHeight="1">
      <c r="BR721" s="3"/>
    </row>
    <row r="722" ht="15.75" customHeight="1">
      <c r="BR722" s="3"/>
    </row>
    <row r="723" ht="15.75" customHeight="1">
      <c r="BR723" s="3"/>
    </row>
    <row r="724" ht="15.75" customHeight="1">
      <c r="BR724" s="3"/>
    </row>
    <row r="725" ht="15.75" customHeight="1">
      <c r="BR725" s="3"/>
    </row>
    <row r="726" ht="15.75" customHeight="1">
      <c r="BR726" s="3"/>
    </row>
    <row r="727" ht="15.75" customHeight="1">
      <c r="BR727" s="3"/>
    </row>
    <row r="728" ht="15.75" customHeight="1">
      <c r="BR728" s="3"/>
    </row>
    <row r="729" ht="15.75" customHeight="1">
      <c r="BR729" s="3"/>
    </row>
    <row r="730" ht="15.75" customHeight="1">
      <c r="BR730" s="3"/>
    </row>
    <row r="731" ht="15.75" customHeight="1">
      <c r="BR731" s="3"/>
    </row>
    <row r="732" ht="15.75" customHeight="1">
      <c r="BR732" s="3"/>
    </row>
    <row r="733" ht="15.75" customHeight="1">
      <c r="BR733" s="3"/>
    </row>
    <row r="734" ht="15.75" customHeight="1">
      <c r="BR734" s="3"/>
    </row>
    <row r="735" ht="15.75" customHeight="1">
      <c r="BR735" s="3"/>
    </row>
    <row r="736" ht="15.75" customHeight="1">
      <c r="BR736" s="3"/>
    </row>
    <row r="737" ht="15.75" customHeight="1">
      <c r="BR737" s="3"/>
    </row>
    <row r="738" ht="15.75" customHeight="1">
      <c r="BR738" s="3"/>
    </row>
    <row r="739" ht="15.75" customHeight="1">
      <c r="BR739" s="3"/>
    </row>
    <row r="740" ht="15.75" customHeight="1">
      <c r="BR740" s="3"/>
    </row>
    <row r="741" ht="15.75" customHeight="1">
      <c r="BR741" s="3"/>
    </row>
    <row r="742" ht="15.75" customHeight="1">
      <c r="BR742" s="3"/>
    </row>
    <row r="743" ht="15.75" customHeight="1">
      <c r="BR743" s="3"/>
    </row>
    <row r="744" ht="15.75" customHeight="1">
      <c r="BR744" s="3"/>
    </row>
    <row r="745" ht="15.75" customHeight="1">
      <c r="BR745" s="3"/>
    </row>
    <row r="746" ht="15.75" customHeight="1">
      <c r="BR746" s="3"/>
    </row>
    <row r="747" ht="15.75" customHeight="1">
      <c r="BR747" s="3"/>
    </row>
    <row r="748" ht="15.75" customHeight="1">
      <c r="BR748" s="3"/>
    </row>
    <row r="749" ht="15.75" customHeight="1">
      <c r="BR749" s="3"/>
    </row>
    <row r="750" ht="15.75" customHeight="1">
      <c r="BR750" s="3"/>
    </row>
    <row r="751" ht="15.75" customHeight="1">
      <c r="BR751" s="3"/>
    </row>
    <row r="752" ht="15.75" customHeight="1">
      <c r="BR752" s="3"/>
    </row>
    <row r="753" ht="15.75" customHeight="1">
      <c r="BR753" s="3"/>
    </row>
    <row r="754" ht="15.75" customHeight="1">
      <c r="BR754" s="3"/>
    </row>
    <row r="755" ht="15.75" customHeight="1">
      <c r="BR755" s="3"/>
    </row>
    <row r="756" ht="15.75" customHeight="1">
      <c r="BR756" s="3"/>
    </row>
    <row r="757" ht="15.75" customHeight="1">
      <c r="BR757" s="3"/>
    </row>
    <row r="758" ht="15.75" customHeight="1">
      <c r="BR758" s="3"/>
    </row>
    <row r="759" ht="15.75" customHeight="1">
      <c r="BR759" s="3"/>
    </row>
    <row r="760" ht="15.75" customHeight="1">
      <c r="BR760" s="3"/>
    </row>
    <row r="761" ht="15.75" customHeight="1">
      <c r="BR761" s="3"/>
    </row>
    <row r="762" ht="15.75" customHeight="1">
      <c r="BR762" s="3"/>
    </row>
    <row r="763" ht="15.75" customHeight="1">
      <c r="BR763" s="3"/>
    </row>
    <row r="764" ht="15.75" customHeight="1">
      <c r="BR764" s="3"/>
    </row>
    <row r="765" ht="15.75" customHeight="1">
      <c r="BR765" s="3"/>
    </row>
    <row r="766" ht="15.75" customHeight="1">
      <c r="BR766" s="3"/>
    </row>
    <row r="767" ht="15.75" customHeight="1">
      <c r="BR767" s="3"/>
    </row>
    <row r="768" ht="15.75" customHeight="1">
      <c r="BR768" s="3"/>
    </row>
    <row r="769" ht="15.75" customHeight="1">
      <c r="BR769" s="3"/>
    </row>
    <row r="770" ht="15.75" customHeight="1">
      <c r="BR770" s="3"/>
    </row>
    <row r="771" ht="15.75" customHeight="1">
      <c r="BR771" s="3"/>
    </row>
    <row r="772" ht="15.75" customHeight="1">
      <c r="BR772" s="3"/>
    </row>
    <row r="773" ht="15.75" customHeight="1">
      <c r="BR773" s="3"/>
    </row>
    <row r="774" ht="15.75" customHeight="1">
      <c r="BR774" s="3"/>
    </row>
    <row r="775" ht="15.75" customHeight="1">
      <c r="BR775" s="3"/>
    </row>
    <row r="776" ht="15.75" customHeight="1">
      <c r="BR776" s="3"/>
    </row>
    <row r="777" ht="15.75" customHeight="1">
      <c r="BR777" s="3"/>
    </row>
    <row r="778" ht="15.75" customHeight="1">
      <c r="BR778" s="3"/>
    </row>
    <row r="779" ht="15.75" customHeight="1">
      <c r="BR779" s="3"/>
    </row>
    <row r="780" ht="15.75" customHeight="1">
      <c r="BR780" s="3"/>
    </row>
    <row r="781" ht="15.75" customHeight="1">
      <c r="BR781" s="3"/>
    </row>
    <row r="782" ht="15.75" customHeight="1">
      <c r="BR782" s="3"/>
    </row>
    <row r="783" ht="15.75" customHeight="1">
      <c r="BR783" s="3"/>
    </row>
    <row r="784" ht="15.75" customHeight="1">
      <c r="BR784" s="3"/>
    </row>
    <row r="785" ht="15.75" customHeight="1">
      <c r="BR785" s="3"/>
    </row>
    <row r="786" ht="15.75" customHeight="1">
      <c r="BR786" s="3"/>
    </row>
    <row r="787" ht="15.75" customHeight="1">
      <c r="BR787" s="3"/>
    </row>
    <row r="788" ht="15.75" customHeight="1">
      <c r="BR788" s="3"/>
    </row>
    <row r="789" ht="15.75" customHeight="1">
      <c r="BR789" s="3"/>
    </row>
    <row r="790" ht="15.75" customHeight="1">
      <c r="BR790" s="3"/>
    </row>
    <row r="791" ht="15.75" customHeight="1">
      <c r="BR791" s="3"/>
    </row>
    <row r="792" ht="15.75" customHeight="1">
      <c r="BR792" s="3"/>
    </row>
    <row r="793" ht="15.75" customHeight="1">
      <c r="BR793" s="3"/>
    </row>
    <row r="794" ht="15.75" customHeight="1">
      <c r="BR794" s="3"/>
    </row>
    <row r="795" ht="15.75" customHeight="1">
      <c r="BR795" s="3"/>
    </row>
    <row r="796" ht="15.75" customHeight="1">
      <c r="BR796" s="3"/>
    </row>
    <row r="797" ht="15.75" customHeight="1">
      <c r="BR797" s="3"/>
    </row>
    <row r="798" ht="15.75" customHeight="1">
      <c r="BR798" s="3"/>
    </row>
    <row r="799" ht="15.75" customHeight="1">
      <c r="BR799" s="3"/>
    </row>
    <row r="800" ht="15.75" customHeight="1">
      <c r="BR800" s="3"/>
    </row>
    <row r="801" ht="15.75" customHeight="1">
      <c r="BR801" s="3"/>
    </row>
    <row r="802" ht="15.75" customHeight="1">
      <c r="BR802" s="3"/>
    </row>
    <row r="803" ht="15.75" customHeight="1">
      <c r="BR803" s="3"/>
    </row>
    <row r="804" ht="15.75" customHeight="1">
      <c r="BR804" s="3"/>
    </row>
    <row r="805" ht="15.75" customHeight="1">
      <c r="BR805" s="3"/>
    </row>
    <row r="806" ht="15.75" customHeight="1">
      <c r="BR806" s="3"/>
    </row>
    <row r="807" ht="15.75" customHeight="1">
      <c r="BR807" s="3"/>
    </row>
    <row r="808" ht="15.75" customHeight="1">
      <c r="BR808" s="3"/>
    </row>
    <row r="809" ht="15.75" customHeight="1">
      <c r="BR809" s="3"/>
    </row>
    <row r="810" ht="15.75" customHeight="1">
      <c r="BR810" s="3"/>
    </row>
    <row r="811" ht="15.75" customHeight="1">
      <c r="BR811" s="3"/>
    </row>
    <row r="812" ht="15.75" customHeight="1">
      <c r="BR812" s="3"/>
    </row>
    <row r="813" ht="15.75" customHeight="1">
      <c r="BR813" s="3"/>
    </row>
    <row r="814" ht="15.75" customHeight="1">
      <c r="BR814" s="3"/>
    </row>
    <row r="815" ht="15.75" customHeight="1">
      <c r="BR815" s="3"/>
    </row>
    <row r="816" ht="15.75" customHeight="1">
      <c r="BR816" s="3"/>
    </row>
    <row r="817" ht="15.75" customHeight="1">
      <c r="BR817" s="3"/>
    </row>
    <row r="818" ht="15.75" customHeight="1">
      <c r="BR818" s="3"/>
    </row>
    <row r="819" ht="15.75" customHeight="1">
      <c r="BR819" s="3"/>
    </row>
    <row r="820" ht="15.75" customHeight="1">
      <c r="BR820" s="3"/>
    </row>
    <row r="821" ht="15.75" customHeight="1">
      <c r="BR821" s="3"/>
    </row>
    <row r="822" ht="15.75" customHeight="1">
      <c r="BR822" s="3"/>
    </row>
    <row r="823" ht="15.75" customHeight="1">
      <c r="BR823" s="3"/>
    </row>
    <row r="824" ht="15.75" customHeight="1">
      <c r="BR824" s="3"/>
    </row>
    <row r="825" ht="15.75" customHeight="1">
      <c r="BR825" s="3"/>
    </row>
    <row r="826" ht="15.75" customHeight="1">
      <c r="BR826" s="3"/>
    </row>
    <row r="827" ht="15.75" customHeight="1">
      <c r="BR827" s="3"/>
    </row>
    <row r="828" ht="15.75" customHeight="1">
      <c r="BR828" s="3"/>
    </row>
    <row r="829" ht="15.75" customHeight="1">
      <c r="BR829" s="3"/>
    </row>
    <row r="830" ht="15.75" customHeight="1">
      <c r="BR830" s="3"/>
    </row>
    <row r="831" ht="15.75" customHeight="1">
      <c r="BR831" s="3"/>
    </row>
    <row r="832" ht="15.75" customHeight="1">
      <c r="BR832" s="3"/>
    </row>
    <row r="833" ht="15.75" customHeight="1">
      <c r="BR833" s="3"/>
    </row>
    <row r="834" ht="15.75" customHeight="1">
      <c r="BR834" s="3"/>
    </row>
    <row r="835" ht="15.75" customHeight="1">
      <c r="BR835" s="3"/>
    </row>
    <row r="836" ht="15.75" customHeight="1">
      <c r="BR836" s="3"/>
    </row>
    <row r="837" ht="15.75" customHeight="1">
      <c r="BR837" s="3"/>
    </row>
    <row r="838" ht="15.75" customHeight="1">
      <c r="BR838" s="3"/>
    </row>
    <row r="839" ht="15.75" customHeight="1">
      <c r="BR839" s="3"/>
    </row>
    <row r="840" ht="15.75" customHeight="1">
      <c r="BR840" s="3"/>
    </row>
    <row r="841" ht="15.75" customHeight="1">
      <c r="BR841" s="3"/>
    </row>
    <row r="842" ht="15.75" customHeight="1">
      <c r="BR842" s="3"/>
    </row>
    <row r="843" ht="15.75" customHeight="1">
      <c r="BR843" s="3"/>
    </row>
    <row r="844" ht="15.75" customHeight="1">
      <c r="BR844" s="3"/>
    </row>
    <row r="845" ht="15.75" customHeight="1">
      <c r="BR845" s="3"/>
    </row>
    <row r="846" ht="15.75" customHeight="1">
      <c r="BR846" s="3"/>
    </row>
    <row r="847" ht="15.75" customHeight="1">
      <c r="BR847" s="3"/>
    </row>
    <row r="848" ht="15.75" customHeight="1">
      <c r="BR848" s="3"/>
    </row>
    <row r="849" ht="15.75" customHeight="1">
      <c r="BR849" s="3"/>
    </row>
    <row r="850" ht="15.75" customHeight="1">
      <c r="BR850" s="3"/>
    </row>
    <row r="851" ht="15.75" customHeight="1">
      <c r="BR851" s="3"/>
    </row>
    <row r="852" ht="15.75" customHeight="1">
      <c r="BR852" s="3"/>
    </row>
    <row r="853" ht="15.75" customHeight="1">
      <c r="BR853" s="3"/>
    </row>
    <row r="854" ht="15.75" customHeight="1">
      <c r="BR854" s="3"/>
    </row>
    <row r="855" ht="15.75" customHeight="1">
      <c r="BR855" s="3"/>
    </row>
    <row r="856" ht="15.75" customHeight="1">
      <c r="BR856" s="3"/>
    </row>
    <row r="857" ht="15.75" customHeight="1">
      <c r="BR857" s="3"/>
    </row>
    <row r="858" ht="15.75" customHeight="1">
      <c r="BR858" s="3"/>
    </row>
    <row r="859" ht="15.75" customHeight="1">
      <c r="BR859" s="3"/>
    </row>
    <row r="860" ht="15.75" customHeight="1">
      <c r="BR860" s="3"/>
    </row>
    <row r="861" ht="15.75" customHeight="1">
      <c r="BR861" s="3"/>
    </row>
    <row r="862" ht="15.75" customHeight="1">
      <c r="BR862" s="3"/>
    </row>
    <row r="863" ht="15.75" customHeight="1">
      <c r="BR863" s="3"/>
    </row>
    <row r="864" ht="15.75" customHeight="1">
      <c r="BR864" s="3"/>
    </row>
    <row r="865" ht="15.75" customHeight="1">
      <c r="BR865" s="3"/>
    </row>
    <row r="866" ht="15.75" customHeight="1">
      <c r="BR866" s="3"/>
    </row>
    <row r="867" ht="15.75" customHeight="1">
      <c r="BR867" s="3"/>
    </row>
    <row r="868" ht="15.75" customHeight="1">
      <c r="BR868" s="3"/>
    </row>
    <row r="869" ht="15.75" customHeight="1">
      <c r="BR869" s="3"/>
    </row>
    <row r="870" ht="15.75" customHeight="1">
      <c r="BR870" s="3"/>
    </row>
    <row r="871" ht="15.75" customHeight="1">
      <c r="BR871" s="3"/>
    </row>
    <row r="872" ht="15.75" customHeight="1">
      <c r="BR872" s="3"/>
    </row>
    <row r="873" ht="15.75" customHeight="1">
      <c r="BR873" s="3"/>
    </row>
    <row r="874" ht="15.75" customHeight="1">
      <c r="BR874" s="3"/>
    </row>
    <row r="875" ht="15.75" customHeight="1">
      <c r="BR875" s="3"/>
    </row>
    <row r="876" ht="15.75" customHeight="1">
      <c r="BR876" s="3"/>
    </row>
    <row r="877" ht="15.75" customHeight="1">
      <c r="BR877" s="3"/>
    </row>
    <row r="878" ht="15.75" customHeight="1">
      <c r="BR878" s="3"/>
    </row>
    <row r="879" ht="15.75" customHeight="1">
      <c r="BR879" s="3"/>
    </row>
    <row r="880" ht="15.75" customHeight="1">
      <c r="BR880" s="3"/>
    </row>
    <row r="881" ht="15.75" customHeight="1">
      <c r="BR881" s="3"/>
    </row>
    <row r="882" ht="15.75" customHeight="1">
      <c r="BR882" s="3"/>
    </row>
    <row r="883" ht="15.75" customHeight="1">
      <c r="BR883" s="3"/>
    </row>
    <row r="884" ht="15.75" customHeight="1">
      <c r="BR884" s="3"/>
    </row>
    <row r="885" ht="15.75" customHeight="1">
      <c r="BR885" s="3"/>
    </row>
    <row r="886" ht="15.75" customHeight="1">
      <c r="BR886" s="3"/>
    </row>
    <row r="887" ht="15.75" customHeight="1">
      <c r="BR887" s="3"/>
    </row>
    <row r="888" ht="15.75" customHeight="1">
      <c r="BR888" s="3"/>
    </row>
    <row r="889" ht="15.75" customHeight="1">
      <c r="BR889" s="3"/>
    </row>
    <row r="890" ht="15.75" customHeight="1">
      <c r="BR890" s="3"/>
    </row>
    <row r="891" ht="15.75" customHeight="1">
      <c r="BR891" s="3"/>
    </row>
    <row r="892" ht="15.75" customHeight="1">
      <c r="BR892" s="3"/>
    </row>
    <row r="893" ht="15.75" customHeight="1">
      <c r="BR893" s="3"/>
    </row>
    <row r="894" ht="15.75" customHeight="1">
      <c r="BR894" s="3"/>
    </row>
    <row r="895" ht="15.75" customHeight="1">
      <c r="BR895" s="3"/>
    </row>
    <row r="896" ht="15.75" customHeight="1">
      <c r="BR896" s="3"/>
    </row>
    <row r="897" ht="15.75" customHeight="1">
      <c r="BR897" s="3"/>
    </row>
    <row r="898" ht="15.75" customHeight="1">
      <c r="BR898" s="3"/>
    </row>
    <row r="899" ht="15.75" customHeight="1">
      <c r="BR899" s="3"/>
    </row>
    <row r="900" ht="15.75" customHeight="1">
      <c r="BR900" s="3"/>
    </row>
    <row r="901" ht="15.75" customHeight="1">
      <c r="BR901" s="3"/>
    </row>
    <row r="902" ht="15.75" customHeight="1">
      <c r="BR902" s="3"/>
    </row>
    <row r="903" ht="15.75" customHeight="1">
      <c r="BR903" s="3"/>
    </row>
    <row r="904" ht="15.75" customHeight="1">
      <c r="BR904" s="3"/>
    </row>
    <row r="905" ht="15.75" customHeight="1">
      <c r="BR905" s="3"/>
    </row>
    <row r="906" ht="15.75" customHeight="1">
      <c r="BR906" s="3"/>
    </row>
    <row r="907" ht="15.75" customHeight="1">
      <c r="BR907" s="3"/>
    </row>
    <row r="908" ht="15.75" customHeight="1">
      <c r="BR908" s="3"/>
    </row>
    <row r="909" ht="15.75" customHeight="1">
      <c r="BR909" s="3"/>
    </row>
    <row r="910" ht="15.75" customHeight="1">
      <c r="BR910" s="3"/>
    </row>
    <row r="911" ht="15.75" customHeight="1">
      <c r="BR911" s="3"/>
    </row>
    <row r="912" ht="15.75" customHeight="1">
      <c r="BR912" s="3"/>
    </row>
    <row r="913" ht="15.75" customHeight="1">
      <c r="BR913" s="3"/>
    </row>
    <row r="914" ht="15.75" customHeight="1">
      <c r="BR914" s="3"/>
    </row>
    <row r="915" ht="15.75" customHeight="1">
      <c r="BR915" s="3"/>
    </row>
    <row r="916" ht="15.75" customHeight="1">
      <c r="BR916" s="3"/>
    </row>
    <row r="917" ht="15.75" customHeight="1">
      <c r="BR917" s="3"/>
    </row>
    <row r="918" ht="15.75" customHeight="1">
      <c r="BR918" s="3"/>
    </row>
    <row r="919" ht="15.75" customHeight="1">
      <c r="BR919" s="3"/>
    </row>
    <row r="920" ht="15.75" customHeight="1">
      <c r="BR920" s="3"/>
    </row>
    <row r="921" ht="15.75" customHeight="1">
      <c r="BR921" s="3"/>
    </row>
    <row r="922" ht="15.75" customHeight="1">
      <c r="BR922" s="3"/>
    </row>
    <row r="923" ht="15.75" customHeight="1">
      <c r="BR923" s="3"/>
    </row>
    <row r="924" ht="15.75" customHeight="1">
      <c r="BR924" s="3"/>
    </row>
    <row r="925" ht="15.75" customHeight="1">
      <c r="BR925" s="3"/>
    </row>
    <row r="926" ht="15.75" customHeight="1">
      <c r="BR926" s="3"/>
    </row>
    <row r="927" ht="15.75" customHeight="1">
      <c r="BR927" s="3"/>
    </row>
    <row r="928" ht="15.75" customHeight="1">
      <c r="BR928" s="3"/>
    </row>
    <row r="929" ht="15.75" customHeight="1">
      <c r="BR929" s="3"/>
    </row>
    <row r="930" ht="15.75" customHeight="1">
      <c r="BR930" s="3"/>
    </row>
    <row r="931" ht="15.75" customHeight="1">
      <c r="BR931" s="3"/>
    </row>
    <row r="932" ht="15.75" customHeight="1">
      <c r="BR932" s="3"/>
    </row>
    <row r="933" ht="15.75" customHeight="1">
      <c r="BR933" s="3"/>
    </row>
    <row r="934" ht="15.75" customHeight="1">
      <c r="BR934" s="3"/>
    </row>
    <row r="935" ht="15.75" customHeight="1">
      <c r="BR935" s="3"/>
    </row>
    <row r="936" ht="15.75" customHeight="1">
      <c r="BR936" s="3"/>
    </row>
    <row r="937" ht="15.75" customHeight="1">
      <c r="BR937" s="3"/>
    </row>
    <row r="938" ht="15.75" customHeight="1">
      <c r="BR938" s="3"/>
    </row>
    <row r="939" ht="15.75" customHeight="1">
      <c r="BR939" s="3"/>
    </row>
    <row r="940" ht="15.75" customHeight="1">
      <c r="BR940" s="3"/>
    </row>
    <row r="941" ht="15.75" customHeight="1">
      <c r="BR941" s="3"/>
    </row>
    <row r="942" ht="15.75" customHeight="1">
      <c r="BR942" s="3"/>
    </row>
    <row r="943" ht="15.75" customHeight="1">
      <c r="BR943" s="3"/>
    </row>
    <row r="944" ht="15.75" customHeight="1">
      <c r="BR944" s="3"/>
    </row>
    <row r="945" ht="15.75" customHeight="1">
      <c r="BR945" s="3"/>
    </row>
    <row r="946" ht="15.75" customHeight="1">
      <c r="BR946" s="3"/>
    </row>
    <row r="947" ht="15.75" customHeight="1">
      <c r="BR947" s="3"/>
    </row>
    <row r="948" ht="15.75" customHeight="1">
      <c r="BR948" s="3"/>
    </row>
    <row r="949" ht="15.75" customHeight="1">
      <c r="BR949" s="3"/>
    </row>
    <row r="950" ht="15.75" customHeight="1">
      <c r="BR950" s="3"/>
    </row>
    <row r="951" ht="15.75" customHeight="1">
      <c r="BR951" s="3"/>
    </row>
    <row r="952" ht="15.75" customHeight="1">
      <c r="BR952" s="3"/>
    </row>
    <row r="953" ht="15.75" customHeight="1">
      <c r="BR953" s="3"/>
    </row>
    <row r="954" ht="15.75" customHeight="1">
      <c r="BR954" s="3"/>
    </row>
    <row r="955" ht="15.75" customHeight="1">
      <c r="BR955" s="3"/>
    </row>
    <row r="956" ht="15.75" customHeight="1">
      <c r="BR956" s="3"/>
    </row>
    <row r="957" ht="15.75" customHeight="1">
      <c r="BR957" s="3"/>
    </row>
    <row r="958" ht="15.75" customHeight="1">
      <c r="BR958" s="3"/>
    </row>
    <row r="959" ht="15.75" customHeight="1">
      <c r="BR959" s="3"/>
    </row>
    <row r="960" ht="15.75" customHeight="1">
      <c r="BR960" s="3"/>
    </row>
    <row r="961" ht="15.75" customHeight="1">
      <c r="BR961" s="3"/>
    </row>
    <row r="962" ht="15.75" customHeight="1">
      <c r="BR962" s="3"/>
    </row>
    <row r="963" ht="15.75" customHeight="1">
      <c r="BR963" s="3"/>
    </row>
    <row r="964" ht="15.75" customHeight="1">
      <c r="BR964" s="3"/>
    </row>
    <row r="965" ht="15.75" customHeight="1">
      <c r="BR965" s="3"/>
    </row>
    <row r="966" ht="15.75" customHeight="1">
      <c r="BR966" s="3"/>
    </row>
    <row r="967" ht="15.75" customHeight="1">
      <c r="BR967" s="3"/>
    </row>
    <row r="968" ht="15.75" customHeight="1">
      <c r="BR968" s="3"/>
    </row>
    <row r="969" ht="15.75" customHeight="1">
      <c r="BR969" s="3"/>
    </row>
    <row r="970" ht="15.75" customHeight="1">
      <c r="BR970" s="3"/>
    </row>
    <row r="971" ht="15.75" customHeight="1">
      <c r="BR971" s="3"/>
    </row>
    <row r="972" ht="15.75" customHeight="1">
      <c r="BR972" s="3"/>
    </row>
    <row r="973" ht="15.75" customHeight="1">
      <c r="BR973" s="3"/>
    </row>
    <row r="974" ht="15.75" customHeight="1">
      <c r="BR974" s="3"/>
    </row>
    <row r="975" ht="15.75" customHeight="1">
      <c r="BR975" s="3"/>
    </row>
    <row r="976" ht="15.75" customHeight="1">
      <c r="BR976" s="3"/>
    </row>
    <row r="977" ht="15.75" customHeight="1">
      <c r="BR977" s="3"/>
    </row>
    <row r="978" ht="15.75" customHeight="1">
      <c r="BR978" s="3"/>
    </row>
    <row r="979" ht="15.75" customHeight="1">
      <c r="BR979" s="3"/>
    </row>
    <row r="980" ht="15.75" customHeight="1">
      <c r="BR980" s="3"/>
    </row>
    <row r="981" ht="15.75" customHeight="1">
      <c r="BR981" s="3"/>
    </row>
    <row r="982" ht="15.75" customHeight="1">
      <c r="BR982" s="3"/>
    </row>
    <row r="983" ht="15.75" customHeight="1">
      <c r="BR983" s="3"/>
    </row>
    <row r="984" ht="15.75" customHeight="1">
      <c r="BR984" s="3"/>
    </row>
    <row r="985" ht="15.75" customHeight="1">
      <c r="BR985" s="3"/>
    </row>
    <row r="986" ht="15.75" customHeight="1">
      <c r="BR986" s="3"/>
    </row>
    <row r="987" ht="15.75" customHeight="1">
      <c r="BR987" s="3"/>
    </row>
    <row r="988" ht="15.75" customHeight="1">
      <c r="BR988" s="3"/>
    </row>
    <row r="989" ht="15.75" customHeight="1">
      <c r="BR989" s="3"/>
    </row>
    <row r="990" ht="15.75" customHeight="1">
      <c r="BR990" s="3"/>
    </row>
    <row r="991" ht="15.75" customHeight="1">
      <c r="BR991" s="3"/>
    </row>
    <row r="992" ht="15.75" customHeight="1">
      <c r="BR992" s="3"/>
    </row>
    <row r="993" ht="15.75" customHeight="1">
      <c r="BR993" s="3"/>
    </row>
    <row r="994" ht="15.75" customHeight="1">
      <c r="BR994" s="3"/>
    </row>
    <row r="995" ht="15.75" customHeight="1">
      <c r="BR995" s="3"/>
    </row>
    <row r="996" ht="15.75" customHeight="1">
      <c r="BR996" s="3"/>
    </row>
    <row r="997" ht="15.75" customHeight="1">
      <c r="BR997" s="3"/>
    </row>
    <row r="998" ht="15.75" customHeight="1">
      <c r="BR998" s="3"/>
    </row>
    <row r="999" ht="15.75" customHeight="1">
      <c r="BR999" s="3"/>
    </row>
    <row r="1000" ht="15.75" customHeight="1">
      <c r="BR1000" s="3"/>
    </row>
  </sheetData>
  <mergeCells count="553">
    <mergeCell ref="AK26:AN26"/>
    <mergeCell ref="AK27:AN27"/>
    <mergeCell ref="Y25:AB25"/>
    <mergeCell ref="AE25:AH25"/>
    <mergeCell ref="AK25:AN25"/>
    <mergeCell ref="Y26:AB26"/>
    <mergeCell ref="AE26:AH26"/>
    <mergeCell ref="Y27:AB27"/>
    <mergeCell ref="AE27:AH27"/>
    <mergeCell ref="S15:V15"/>
    <mergeCell ref="S16:V16"/>
    <mergeCell ref="S17:V17"/>
    <mergeCell ref="Y17:AB17"/>
    <mergeCell ref="S18:V18"/>
    <mergeCell ref="Y18:AB18"/>
    <mergeCell ref="Y19:AB19"/>
    <mergeCell ref="AK22:AN22"/>
    <mergeCell ref="AK23:AN23"/>
    <mergeCell ref="AE23:AH23"/>
    <mergeCell ref="AE24:AH24"/>
    <mergeCell ref="Y20:AB20"/>
    <mergeCell ref="Y22:AB22"/>
    <mergeCell ref="AE22:AH22"/>
    <mergeCell ref="AQ22:AT22"/>
    <mergeCell ref="Y23:AB23"/>
    <mergeCell ref="Y24:AB24"/>
    <mergeCell ref="AK24:AN24"/>
    <mergeCell ref="S27:V27"/>
    <mergeCell ref="S28:V28"/>
    <mergeCell ref="Y28:AB28"/>
    <mergeCell ref="AE28:AH28"/>
    <mergeCell ref="AK28:AN28"/>
    <mergeCell ref="AE29:AH29"/>
    <mergeCell ref="AK29:AN29"/>
    <mergeCell ref="AQ30:AT30"/>
    <mergeCell ref="AQ31:AT31"/>
    <mergeCell ref="AQ23:AT23"/>
    <mergeCell ref="AQ24:AT24"/>
    <mergeCell ref="AQ25:AT25"/>
    <mergeCell ref="AQ26:AT26"/>
    <mergeCell ref="AQ27:AT27"/>
    <mergeCell ref="AQ28:AT28"/>
    <mergeCell ref="AQ29:AT29"/>
    <mergeCell ref="Y33:AB33"/>
    <mergeCell ref="AE33:AH33"/>
    <mergeCell ref="AK33:AN33"/>
    <mergeCell ref="AQ33:AT33"/>
    <mergeCell ref="AE34:AH34"/>
    <mergeCell ref="AK34:AN34"/>
    <mergeCell ref="AQ34:AT34"/>
    <mergeCell ref="Y34:AB34"/>
    <mergeCell ref="Y35:AB35"/>
    <mergeCell ref="AE35:AH35"/>
    <mergeCell ref="AK35:AN35"/>
    <mergeCell ref="Y36:AB36"/>
    <mergeCell ref="AK36:AN36"/>
    <mergeCell ref="AK37:AN37"/>
    <mergeCell ref="AE31:AH31"/>
    <mergeCell ref="AE32:AH32"/>
    <mergeCell ref="AK32:AN32"/>
    <mergeCell ref="AQ32:AT32"/>
    <mergeCell ref="Y29:AB29"/>
    <mergeCell ref="Y30:AB30"/>
    <mergeCell ref="AE30:AH30"/>
    <mergeCell ref="AK30:AN30"/>
    <mergeCell ref="Y31:AB31"/>
    <mergeCell ref="AK31:AN31"/>
    <mergeCell ref="Y32:AB32"/>
    <mergeCell ref="Y37:AB37"/>
    <mergeCell ref="Y38:AB38"/>
    <mergeCell ref="Y39:AB39"/>
    <mergeCell ref="Y40:AB40"/>
    <mergeCell ref="Y41:AB41"/>
    <mergeCell ref="Y42:AB42"/>
    <mergeCell ref="Y43:AB43"/>
    <mergeCell ref="Y44:AB44"/>
    <mergeCell ref="AK38:AN38"/>
    <mergeCell ref="AK39:AN39"/>
    <mergeCell ref="AK40:AN40"/>
    <mergeCell ref="AK41:AN41"/>
    <mergeCell ref="AK42:AN42"/>
    <mergeCell ref="AK43:AN43"/>
    <mergeCell ref="AK44:AN44"/>
    <mergeCell ref="AQ42:AT42"/>
    <mergeCell ref="AQ43:AT43"/>
    <mergeCell ref="AQ44:AT44"/>
    <mergeCell ref="AQ35:AT35"/>
    <mergeCell ref="AQ36:AT36"/>
    <mergeCell ref="AQ37:AT37"/>
    <mergeCell ref="AQ38:AT38"/>
    <mergeCell ref="AQ39:AT39"/>
    <mergeCell ref="AQ40:AT40"/>
    <mergeCell ref="AQ41:AT41"/>
    <mergeCell ref="Y46:AB46"/>
    <mergeCell ref="Y47:AB47"/>
    <mergeCell ref="AE47:AH47"/>
    <mergeCell ref="Y48:AB48"/>
    <mergeCell ref="AE48:AH48"/>
    <mergeCell ref="Y49:AB49"/>
    <mergeCell ref="Y50:AB50"/>
    <mergeCell ref="Y56:AB56"/>
    <mergeCell ref="AE56:AH56"/>
    <mergeCell ref="Y57:AB57"/>
    <mergeCell ref="AE57:AH57"/>
    <mergeCell ref="Y58:AB58"/>
    <mergeCell ref="AE58:AH58"/>
    <mergeCell ref="Y51:AB51"/>
    <mergeCell ref="AE51:AH51"/>
    <mergeCell ref="Y52:AB52"/>
    <mergeCell ref="AE52:AH52"/>
    <mergeCell ref="Y53:AB53"/>
    <mergeCell ref="AE53:AH53"/>
    <mergeCell ref="AE54:AH54"/>
    <mergeCell ref="AE36:AH36"/>
    <mergeCell ref="AE37:AH37"/>
    <mergeCell ref="AE38:AH38"/>
    <mergeCell ref="AE39:AH39"/>
    <mergeCell ref="AE40:AH40"/>
    <mergeCell ref="AE41:AH41"/>
    <mergeCell ref="AE42:AH42"/>
    <mergeCell ref="AE43:AH43"/>
    <mergeCell ref="AE44:AH44"/>
    <mergeCell ref="Y45:AB45"/>
    <mergeCell ref="AE45:AH45"/>
    <mergeCell ref="AQ45:AT45"/>
    <mergeCell ref="AE46:AH46"/>
    <mergeCell ref="AQ46:AT46"/>
    <mergeCell ref="AE49:AH49"/>
    <mergeCell ref="AE50:AH50"/>
    <mergeCell ref="AK45:AN45"/>
    <mergeCell ref="AK46:AN46"/>
    <mergeCell ref="AK47:AN47"/>
    <mergeCell ref="AQ47:AT47"/>
    <mergeCell ref="AK48:AN48"/>
    <mergeCell ref="AQ48:AT48"/>
    <mergeCell ref="AQ49:AT49"/>
    <mergeCell ref="Y54:AB54"/>
    <mergeCell ref="Y55:AB55"/>
    <mergeCell ref="AE55:AH55"/>
    <mergeCell ref="AK56:AN56"/>
    <mergeCell ref="AK57:AN57"/>
    <mergeCell ref="AK58:AN58"/>
    <mergeCell ref="AK49:AN49"/>
    <mergeCell ref="AK50:AN50"/>
    <mergeCell ref="AK51:AN51"/>
    <mergeCell ref="AK52:AN52"/>
    <mergeCell ref="AK53:AN53"/>
    <mergeCell ref="AK54:AN54"/>
    <mergeCell ref="AK55:AN55"/>
    <mergeCell ref="AQ13:AT13"/>
    <mergeCell ref="AW13:AZ13"/>
    <mergeCell ref="B13:D13"/>
    <mergeCell ref="G13:J13"/>
    <mergeCell ref="M13:P13"/>
    <mergeCell ref="S13:V13"/>
    <mergeCell ref="Y13:AB13"/>
    <mergeCell ref="AE13:AH13"/>
    <mergeCell ref="AK13:AN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Q15:AT15"/>
    <mergeCell ref="AW15:AZ15"/>
    <mergeCell ref="AE15:AH15"/>
    <mergeCell ref="AE16:AH16"/>
    <mergeCell ref="AE17:AH17"/>
    <mergeCell ref="AE18:AH18"/>
    <mergeCell ref="AE19:AH19"/>
    <mergeCell ref="AE20:AH20"/>
    <mergeCell ref="AE21:AH21"/>
    <mergeCell ref="B15:D15"/>
    <mergeCell ref="M15:P15"/>
    <mergeCell ref="Y15:AB15"/>
    <mergeCell ref="AK15:AN15"/>
    <mergeCell ref="B16:D16"/>
    <mergeCell ref="M16:P16"/>
    <mergeCell ref="Y16:AB16"/>
    <mergeCell ref="AW17:AZ17"/>
    <mergeCell ref="AW18:AZ18"/>
    <mergeCell ref="AW20:AZ20"/>
    <mergeCell ref="AW21:AZ21"/>
    <mergeCell ref="AQ18:AT18"/>
    <mergeCell ref="AQ19:AT19"/>
    <mergeCell ref="AQ20:AT20"/>
    <mergeCell ref="AQ21:AT21"/>
    <mergeCell ref="AK19:AN19"/>
    <mergeCell ref="AK20:AN20"/>
    <mergeCell ref="AK21:AN21"/>
    <mergeCell ref="AK16:AN16"/>
    <mergeCell ref="AQ16:AT16"/>
    <mergeCell ref="AW16:AZ16"/>
    <mergeCell ref="AK17:AN17"/>
    <mergeCell ref="AQ17:AT17"/>
    <mergeCell ref="AK18:AN18"/>
    <mergeCell ref="AW19:AZ19"/>
    <mergeCell ref="G20:J20"/>
    <mergeCell ref="G21:J21"/>
    <mergeCell ref="S21:V21"/>
    <mergeCell ref="Y21:AB21"/>
    <mergeCell ref="S19:V19"/>
    <mergeCell ref="S20:V20"/>
    <mergeCell ref="S22:V22"/>
    <mergeCell ref="S23:V23"/>
    <mergeCell ref="S24:V24"/>
    <mergeCell ref="S25:V25"/>
    <mergeCell ref="S26:V26"/>
    <mergeCell ref="S29:V29"/>
    <mergeCell ref="S30:V30"/>
    <mergeCell ref="S31:V31"/>
    <mergeCell ref="S32:V32"/>
    <mergeCell ref="S33:V33"/>
    <mergeCell ref="S34:V34"/>
    <mergeCell ref="S35:V35"/>
    <mergeCell ref="S36:V36"/>
    <mergeCell ref="S37:V37"/>
    <mergeCell ref="S38:V38"/>
    <mergeCell ref="S39:V39"/>
    <mergeCell ref="S40:V40"/>
    <mergeCell ref="S41:V41"/>
    <mergeCell ref="S42:V42"/>
    <mergeCell ref="S43:V43"/>
    <mergeCell ref="S44:V44"/>
    <mergeCell ref="S45:V45"/>
    <mergeCell ref="S46:V46"/>
    <mergeCell ref="S47:V47"/>
    <mergeCell ref="S48:V48"/>
    <mergeCell ref="S49:V49"/>
    <mergeCell ref="S50:V50"/>
    <mergeCell ref="S51:V51"/>
    <mergeCell ref="S52:V52"/>
    <mergeCell ref="S53:V53"/>
    <mergeCell ref="S54:V54"/>
    <mergeCell ref="S55:V55"/>
    <mergeCell ref="S56:V56"/>
    <mergeCell ref="S64:V64"/>
    <mergeCell ref="S65:V65"/>
    <mergeCell ref="S66:V66"/>
    <mergeCell ref="S67:V67"/>
    <mergeCell ref="S68:V68"/>
    <mergeCell ref="S69:V69"/>
    <mergeCell ref="S70:V70"/>
    <mergeCell ref="S57:V57"/>
    <mergeCell ref="S58:V58"/>
    <mergeCell ref="S59:V59"/>
    <mergeCell ref="S60:V60"/>
    <mergeCell ref="S61:V61"/>
    <mergeCell ref="S62:V62"/>
    <mergeCell ref="S63:V63"/>
    <mergeCell ref="AW22:AZ22"/>
    <mergeCell ref="AW23:AZ23"/>
    <mergeCell ref="AW24:AZ24"/>
    <mergeCell ref="AW25:AZ25"/>
    <mergeCell ref="AW26:AZ26"/>
    <mergeCell ref="AW27:AZ27"/>
    <mergeCell ref="AW28:AZ28"/>
    <mergeCell ref="AW29:AZ29"/>
    <mergeCell ref="AW30:AZ30"/>
    <mergeCell ref="AW31:AZ31"/>
    <mergeCell ref="AW32:AZ32"/>
    <mergeCell ref="AW33:AZ33"/>
    <mergeCell ref="AW34:AZ34"/>
    <mergeCell ref="AW35:AZ35"/>
    <mergeCell ref="AW36:AZ36"/>
    <mergeCell ref="AW37:AZ37"/>
    <mergeCell ref="AW38:AZ38"/>
    <mergeCell ref="AW39:AZ39"/>
    <mergeCell ref="AW40:AZ40"/>
    <mergeCell ref="AW41:AZ41"/>
    <mergeCell ref="AW42:AZ42"/>
    <mergeCell ref="AW43:AZ43"/>
    <mergeCell ref="AW44:AZ44"/>
    <mergeCell ref="AW45:AZ45"/>
    <mergeCell ref="AW46:AZ46"/>
    <mergeCell ref="AW47:AZ47"/>
    <mergeCell ref="AW48:AZ48"/>
    <mergeCell ref="AW49:AZ49"/>
    <mergeCell ref="AW50:AZ50"/>
    <mergeCell ref="AW51:AZ51"/>
    <mergeCell ref="AW52:AZ52"/>
    <mergeCell ref="AW53:AZ53"/>
    <mergeCell ref="AW54:AZ54"/>
    <mergeCell ref="AW55:AZ55"/>
    <mergeCell ref="AW56:AZ56"/>
    <mergeCell ref="AW64:AZ64"/>
    <mergeCell ref="AW65:AZ65"/>
    <mergeCell ref="AW66:AZ66"/>
    <mergeCell ref="AW67:AZ67"/>
    <mergeCell ref="AW68:AZ68"/>
    <mergeCell ref="AW69:AZ69"/>
    <mergeCell ref="AW70:AZ70"/>
    <mergeCell ref="AW57:AZ57"/>
    <mergeCell ref="AW58:AZ58"/>
    <mergeCell ref="AW59:AZ59"/>
    <mergeCell ref="AW60:AZ60"/>
    <mergeCell ref="AW61:AZ61"/>
    <mergeCell ref="AW62:AZ62"/>
    <mergeCell ref="AW63:AZ63"/>
    <mergeCell ref="M32:P32"/>
    <mergeCell ref="M33:P33"/>
    <mergeCell ref="M25:P25"/>
    <mergeCell ref="M26:P26"/>
    <mergeCell ref="M27:P27"/>
    <mergeCell ref="M28:P28"/>
    <mergeCell ref="M29:P29"/>
    <mergeCell ref="M30:P30"/>
    <mergeCell ref="M31:P31"/>
    <mergeCell ref="Y60:AB60"/>
    <mergeCell ref="Y61:AB61"/>
    <mergeCell ref="AE61:AH61"/>
    <mergeCell ref="Y62:AB62"/>
    <mergeCell ref="AE62:AH62"/>
    <mergeCell ref="Y63:AB63"/>
    <mergeCell ref="Y64:AB64"/>
    <mergeCell ref="Y70:AB70"/>
    <mergeCell ref="AE70:AH70"/>
    <mergeCell ref="Y65:AB65"/>
    <mergeCell ref="AE65:AH65"/>
    <mergeCell ref="Y66:AB66"/>
    <mergeCell ref="AE66:AH66"/>
    <mergeCell ref="Y67:AB67"/>
    <mergeCell ref="AE67:AH67"/>
    <mergeCell ref="AE68:AH68"/>
    <mergeCell ref="AQ50:AT50"/>
    <mergeCell ref="AQ51:AT51"/>
    <mergeCell ref="AQ52:AT52"/>
    <mergeCell ref="AQ53:AT53"/>
    <mergeCell ref="AQ54:AT54"/>
    <mergeCell ref="AQ55:AT55"/>
    <mergeCell ref="AQ56:AT56"/>
    <mergeCell ref="AQ57:AT57"/>
    <mergeCell ref="AQ58:AT58"/>
    <mergeCell ref="Y59:AB59"/>
    <mergeCell ref="AE59:AH59"/>
    <mergeCell ref="AQ59:AT59"/>
    <mergeCell ref="AE60:AH60"/>
    <mergeCell ref="AQ60:AT60"/>
    <mergeCell ref="AE63:AH63"/>
    <mergeCell ref="AE64:AH64"/>
    <mergeCell ref="AK63:AN63"/>
    <mergeCell ref="AK64:AN64"/>
    <mergeCell ref="AK65:AN65"/>
    <mergeCell ref="AK66:AN66"/>
    <mergeCell ref="AK67:AN67"/>
    <mergeCell ref="AK68:AN68"/>
    <mergeCell ref="AK69:AN69"/>
    <mergeCell ref="AK70:AN70"/>
    <mergeCell ref="AQ64:AT64"/>
    <mergeCell ref="AQ65:AT65"/>
    <mergeCell ref="AQ66:AT66"/>
    <mergeCell ref="AQ67:AT67"/>
    <mergeCell ref="AQ68:AT68"/>
    <mergeCell ref="AQ69:AT69"/>
    <mergeCell ref="AQ70:AT70"/>
    <mergeCell ref="AK59:AN59"/>
    <mergeCell ref="AK60:AN60"/>
    <mergeCell ref="AK61:AN61"/>
    <mergeCell ref="AQ61:AT61"/>
    <mergeCell ref="AK62:AN62"/>
    <mergeCell ref="AQ62:AT62"/>
    <mergeCell ref="AQ63:AT63"/>
    <mergeCell ref="Y68:AB68"/>
    <mergeCell ref="Y69:AB69"/>
    <mergeCell ref="AE69:AH69"/>
    <mergeCell ref="G42:J42"/>
    <mergeCell ref="G43:J43"/>
    <mergeCell ref="B38:D38"/>
    <mergeCell ref="B39:D39"/>
    <mergeCell ref="B40:D40"/>
    <mergeCell ref="B41:D41"/>
    <mergeCell ref="B42:D42"/>
    <mergeCell ref="M42:P42"/>
    <mergeCell ref="M43:P43"/>
    <mergeCell ref="G60:J60"/>
    <mergeCell ref="G61:J61"/>
    <mergeCell ref="B58:D58"/>
    <mergeCell ref="B59:D59"/>
    <mergeCell ref="G59:J59"/>
    <mergeCell ref="M59:P59"/>
    <mergeCell ref="B60:D60"/>
    <mergeCell ref="M60:P60"/>
    <mergeCell ref="M61:P61"/>
    <mergeCell ref="G63:J63"/>
    <mergeCell ref="G64:J64"/>
    <mergeCell ref="B61:D61"/>
    <mergeCell ref="B62:D62"/>
    <mergeCell ref="G62:J62"/>
    <mergeCell ref="M62:P62"/>
    <mergeCell ref="B63:D63"/>
    <mergeCell ref="M63:P63"/>
    <mergeCell ref="M64:P64"/>
    <mergeCell ref="G66:J66"/>
    <mergeCell ref="G67:J67"/>
    <mergeCell ref="B64:D64"/>
    <mergeCell ref="B65:D65"/>
    <mergeCell ref="G65:J65"/>
    <mergeCell ref="M65:P65"/>
    <mergeCell ref="B66:D66"/>
    <mergeCell ref="M66:P66"/>
    <mergeCell ref="M67:P67"/>
    <mergeCell ref="G15:J15"/>
    <mergeCell ref="G16:J16"/>
    <mergeCell ref="B17:D17"/>
    <mergeCell ref="G17:J17"/>
    <mergeCell ref="M17:P17"/>
    <mergeCell ref="G18:J18"/>
    <mergeCell ref="M18:P18"/>
    <mergeCell ref="B18:D18"/>
    <mergeCell ref="B19:D19"/>
    <mergeCell ref="G19:J19"/>
    <mergeCell ref="M19:P19"/>
    <mergeCell ref="B20:D20"/>
    <mergeCell ref="M20:P20"/>
    <mergeCell ref="M21:P21"/>
    <mergeCell ref="B21:D21"/>
    <mergeCell ref="B22:D22"/>
    <mergeCell ref="G22:J22"/>
    <mergeCell ref="M22:P22"/>
    <mergeCell ref="B23:D23"/>
    <mergeCell ref="M23:P23"/>
    <mergeCell ref="M24:P24"/>
    <mergeCell ref="G23:J23"/>
    <mergeCell ref="G24:J24"/>
    <mergeCell ref="G25:J25"/>
    <mergeCell ref="G26:J26"/>
    <mergeCell ref="G27:J27"/>
    <mergeCell ref="G28:J28"/>
    <mergeCell ref="G29:J29"/>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G69:J69"/>
    <mergeCell ref="G70:J70"/>
    <mergeCell ref="B67:D67"/>
    <mergeCell ref="B68:D68"/>
    <mergeCell ref="G68:J68"/>
    <mergeCell ref="M68:P68"/>
    <mergeCell ref="B69:D69"/>
    <mergeCell ref="M69:P69"/>
    <mergeCell ref="B70:D70"/>
    <mergeCell ref="M70:P70"/>
    <mergeCell ref="G35:J35"/>
    <mergeCell ref="G36:J36"/>
    <mergeCell ref="G37:J37"/>
    <mergeCell ref="G30:J30"/>
    <mergeCell ref="G31:J31"/>
    <mergeCell ref="G32:J32"/>
    <mergeCell ref="G33:J33"/>
    <mergeCell ref="G34:J34"/>
    <mergeCell ref="M34:P34"/>
    <mergeCell ref="M35:P35"/>
    <mergeCell ref="G40:J40"/>
    <mergeCell ref="G41:J41"/>
    <mergeCell ref="M36:P36"/>
    <mergeCell ref="M37:P37"/>
    <mergeCell ref="G38:J38"/>
    <mergeCell ref="M38:P38"/>
    <mergeCell ref="G39:J39"/>
    <mergeCell ref="M39:P39"/>
    <mergeCell ref="M40:P40"/>
    <mergeCell ref="M41:P41"/>
    <mergeCell ref="G45:J45"/>
    <mergeCell ref="G46:J46"/>
    <mergeCell ref="B43:D43"/>
    <mergeCell ref="B44:D44"/>
    <mergeCell ref="G44:J44"/>
    <mergeCell ref="M44:P44"/>
    <mergeCell ref="B45:D45"/>
    <mergeCell ref="M45:P45"/>
    <mergeCell ref="M46:P46"/>
    <mergeCell ref="G48:J48"/>
    <mergeCell ref="G49:J49"/>
    <mergeCell ref="B46:D46"/>
    <mergeCell ref="B47:D47"/>
    <mergeCell ref="G47:J47"/>
    <mergeCell ref="M47:P47"/>
    <mergeCell ref="B48:D48"/>
    <mergeCell ref="M48:P48"/>
    <mergeCell ref="M49:P49"/>
    <mergeCell ref="G51:J51"/>
    <mergeCell ref="G52:J52"/>
    <mergeCell ref="B49:D49"/>
    <mergeCell ref="B50:D50"/>
    <mergeCell ref="G50:J50"/>
    <mergeCell ref="M50:P50"/>
    <mergeCell ref="B51:D51"/>
    <mergeCell ref="M51:P51"/>
    <mergeCell ref="M52:P52"/>
    <mergeCell ref="G54:J54"/>
    <mergeCell ref="G55:J55"/>
    <mergeCell ref="B52:D52"/>
    <mergeCell ref="B53:D53"/>
    <mergeCell ref="G53:J53"/>
    <mergeCell ref="M53:P53"/>
    <mergeCell ref="B54:D54"/>
    <mergeCell ref="M54:P54"/>
    <mergeCell ref="M55:P55"/>
    <mergeCell ref="G57:J57"/>
    <mergeCell ref="G58:J58"/>
    <mergeCell ref="B55:D55"/>
    <mergeCell ref="B56:D56"/>
    <mergeCell ref="G56:J56"/>
    <mergeCell ref="M56:P56"/>
    <mergeCell ref="B57:D57"/>
    <mergeCell ref="M57:P57"/>
    <mergeCell ref="M58:P58"/>
  </mergeCells>
  <conditionalFormatting sqref="B15:D20 G15:J18 M15:P20 S15:V20 Y15:AB20 AE15:AH18 AK15:AN19 AQ15:AT15 AW15:AZ15">
    <cfRule type="expression" dxfId="8" priority="1">
      <formula>A15=1</formula>
    </cfRule>
  </conditionalFormatting>
  <conditionalFormatting sqref="B15:D20 G15:J18 M15:P20 S15:V20 Y15:AB20 AE15:AH18 AK15:AN19 AQ15:AT15 AW15:AZ15">
    <cfRule type="expression" dxfId="9" priority="2">
      <formula>A15=2</formula>
    </cfRule>
  </conditionalFormatting>
  <conditionalFormatting sqref="B15:D20 G15:J18 M15:P20 S15:V20 Y15:AB20 AE15:AH18 AK15:AN19 AQ15:AT15 AW15:AZ15">
    <cfRule type="expression" dxfId="10" priority="3">
      <formula>A15=3</formula>
    </cfRule>
  </conditionalFormatting>
  <conditionalFormatting sqref="B15:D20 G15:J18 M15:P20 S15:V20 Y15:AB20 AE15:AH18 AK15:AN19 AQ15:AT15 AW15:AZ15">
    <cfRule type="expression" dxfId="11" priority="4">
      <formula>A15=4</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8" priority="5">
      <formula>A28=1</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9" priority="6">
      <formula>A28=2</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0" priority="7">
      <formula>A28=3</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1" priority="8">
      <formula>A28=4</formula>
    </cfRule>
  </conditionalFormatting>
  <conditionalFormatting sqref="A15:A20 A28:A33 A41:A45 A52:A57 A61:A65 F15:F18 F28:F30 F41:F43 F52 F61:F62 L15:L20 L28:L34 L41:L47 L52 L61:L62 R15:R20 R28:R30 R41:R43 R52:R55 R61:R63 X15:X20 X28:X33 X41:X46 X52:X56 X61:X65 AD15:AD18 AD28:AD32 AD41:AD44 AD52:AD55 AD61:AD64 AJ15:AJ19 AJ28:AJ32 AJ41:AJ45 AJ52:AJ54 AJ61:AJ63 AP15 AP28 AP41 AP52 AP61 AV15 AV28 AV41 AV52 AV61">
    <cfRule type="cellIs" dxfId="4" priority="9" operator="between">
      <formula>1</formula>
      <formula>4</formula>
    </cfRule>
  </conditionalFormatting>
  <conditionalFormatting sqref="AO8:AS11">
    <cfRule type="expression" dxfId="4" priority="10">
      <formula>BI8=0</formula>
    </cfRule>
  </conditionalFormatting>
  <conditionalFormatting sqref="H8:AE9">
    <cfRule type="cellIs" dxfId="4" priority="11" operator="equal">
      <formula>0</formula>
    </cfRule>
  </conditionalFormatting>
  <printOptions horizontalCentered="1"/>
  <pageMargins bottom="0.75" footer="0.0" header="0.0" left="0.25" right="0.25"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5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14" t="s">
        <v>296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15"/>
    </row>
    <row r="2" ht="12.0" customHeight="1">
      <c r="A2" s="4"/>
      <c r="BR2" s="315"/>
    </row>
    <row r="3" ht="12.0" customHeight="1">
      <c r="A3" s="314" t="s">
        <v>445</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15"/>
    </row>
    <row r="4" ht="12.0" customHeight="1">
      <c r="A4" s="4"/>
      <c r="BR4" s="315"/>
    </row>
    <row r="5" ht="12.0" customHeight="1">
      <c r="A5" s="4"/>
      <c r="BR5" s="316"/>
    </row>
    <row r="6">
      <c r="BP6" s="317"/>
      <c r="BQ6" s="317"/>
      <c r="BR6" s="317"/>
    </row>
    <row r="7" ht="19.5" customHeight="1">
      <c r="AK7" s="318" t="s">
        <v>10</v>
      </c>
      <c r="AL7" s="16"/>
      <c r="AM7" s="16"/>
      <c r="AN7" s="17"/>
      <c r="AO7" s="318" t="s">
        <v>12</v>
      </c>
      <c r="AP7" s="16"/>
      <c r="AQ7" s="16"/>
      <c r="AR7" s="16"/>
      <c r="AS7" s="17"/>
      <c r="AT7" s="318" t="s">
        <v>14</v>
      </c>
      <c r="AU7" s="16"/>
      <c r="AV7" s="16"/>
      <c r="AW7" s="16"/>
      <c r="AX7" s="17"/>
      <c r="AY7" s="318" t="s">
        <v>15</v>
      </c>
      <c r="AZ7" s="16"/>
      <c r="BA7" s="16"/>
      <c r="BB7" s="16"/>
      <c r="BC7" s="17"/>
      <c r="BD7" s="318" t="s">
        <v>16</v>
      </c>
      <c r="BE7" s="16"/>
      <c r="BF7" s="16"/>
      <c r="BG7" s="16"/>
      <c r="BH7" s="17"/>
    </row>
    <row r="8" ht="19.5" customHeight="1">
      <c r="B8" s="318" t="s">
        <v>17</v>
      </c>
      <c r="C8" s="16"/>
      <c r="D8" s="16"/>
      <c r="E8" s="16"/>
      <c r="F8" s="16"/>
      <c r="G8" s="17"/>
      <c r="H8" s="29" t="str">
        <f>'Milestones Grid'!$H$6</f>
        <v>TEST NAME- GOLF</v>
      </c>
      <c r="I8" s="16"/>
      <c r="J8" s="16"/>
      <c r="K8" s="16"/>
      <c r="L8" s="16"/>
      <c r="M8" s="16"/>
      <c r="N8" s="16"/>
      <c r="O8" s="16"/>
      <c r="P8" s="16"/>
      <c r="Q8" s="16"/>
      <c r="R8" s="16"/>
      <c r="S8" s="16"/>
      <c r="T8" s="16"/>
      <c r="U8" s="16"/>
      <c r="V8" s="16"/>
      <c r="W8" s="16"/>
      <c r="X8" s="16"/>
      <c r="Y8" s="16"/>
      <c r="Z8" s="16"/>
      <c r="AA8" s="16"/>
      <c r="AB8" s="16"/>
      <c r="AC8" s="16"/>
      <c r="AD8" s="16"/>
      <c r="AE8" s="17"/>
      <c r="AK8" s="318" t="s">
        <v>19</v>
      </c>
      <c r="AL8" s="16"/>
      <c r="AM8" s="16"/>
      <c r="AN8" s="17"/>
      <c r="AO8" s="22">
        <f>'Milestones Grid'!AO6</f>
        <v>6.5</v>
      </c>
      <c r="AP8" s="16"/>
      <c r="AQ8" s="16"/>
      <c r="AR8" s="16"/>
      <c r="AS8" s="17"/>
      <c r="AT8" s="31"/>
      <c r="AU8" s="16"/>
      <c r="AV8" s="16"/>
      <c r="AW8" s="16"/>
      <c r="AX8" s="17"/>
      <c r="AY8" s="25"/>
      <c r="AZ8" s="16"/>
      <c r="BA8" s="16"/>
      <c r="BB8" s="16"/>
      <c r="BC8" s="17"/>
      <c r="BD8" s="32"/>
      <c r="BE8" s="16"/>
      <c r="BF8" s="16"/>
      <c r="BG8" s="16"/>
      <c r="BH8" s="17"/>
      <c r="BI8" s="14">
        <f>'Milestones Grid'!$BQ$24</f>
        <v>6.5</v>
      </c>
    </row>
    <row r="9" ht="19.5" customHeight="1">
      <c r="B9" s="318" t="s">
        <v>22</v>
      </c>
      <c r="C9" s="16"/>
      <c r="D9" s="16"/>
      <c r="E9" s="16"/>
      <c r="F9" s="16"/>
      <c r="G9" s="17"/>
      <c r="H9" s="41">
        <f>'Milestones Grid'!$H$7</f>
        <v>45108</v>
      </c>
      <c r="I9" s="16"/>
      <c r="J9" s="16"/>
      <c r="K9" s="16"/>
      <c r="L9" s="16"/>
      <c r="M9" s="16"/>
      <c r="N9" s="16"/>
      <c r="O9" s="16"/>
      <c r="P9" s="16"/>
      <c r="Q9" s="16"/>
      <c r="R9" s="16"/>
      <c r="S9" s="16"/>
      <c r="T9" s="16"/>
      <c r="U9" s="16"/>
      <c r="V9" s="16"/>
      <c r="W9" s="16"/>
      <c r="X9" s="16"/>
      <c r="Y9" s="16"/>
      <c r="Z9" s="16"/>
      <c r="AA9" s="16"/>
      <c r="AB9" s="16"/>
      <c r="AC9" s="16"/>
      <c r="AD9" s="16"/>
      <c r="AE9" s="17"/>
      <c r="AK9" s="318" t="s">
        <v>23</v>
      </c>
      <c r="AL9" s="16"/>
      <c r="AM9" s="16"/>
      <c r="AN9" s="17"/>
      <c r="AO9" s="22">
        <f>'Milestones Grid'!AO7</f>
        <v>6.5</v>
      </c>
      <c r="AP9" s="16"/>
      <c r="AQ9" s="16"/>
      <c r="AR9" s="16"/>
      <c r="AS9" s="17"/>
      <c r="AT9" s="31"/>
      <c r="AU9" s="16"/>
      <c r="AV9" s="16"/>
      <c r="AW9" s="16"/>
      <c r="AX9" s="17"/>
      <c r="AY9" s="33"/>
      <c r="AZ9" s="16"/>
      <c r="BA9" s="16"/>
      <c r="BB9" s="16"/>
      <c r="BC9" s="17"/>
      <c r="BD9" s="32"/>
      <c r="BE9" s="16"/>
      <c r="BF9" s="16"/>
      <c r="BG9" s="16"/>
      <c r="BH9" s="17"/>
      <c r="BI9" s="14">
        <f>'Milestones Grid'!$BR$24</f>
        <v>0</v>
      </c>
    </row>
    <row r="10" ht="19.5" customHeight="1">
      <c r="B10" s="318" t="s">
        <v>24</v>
      </c>
      <c r="C10" s="16"/>
      <c r="D10" s="16"/>
      <c r="E10" s="16"/>
      <c r="F10" s="16"/>
      <c r="G10" s="17"/>
      <c r="H10" s="319">
        <v>1.0</v>
      </c>
      <c r="I10" s="17"/>
      <c r="J10" s="39" t="str">
        <f>IF(OR(ISBLANK($H$9),ISBLANK($AT$8)),"",INT(YEARFRAC($H$9,$AT$8))&amp;" y, "&amp;INT((YEARFRAC($H$9,$AT$8)-INT(YEARFRAC($H$9,$AT$8)))*12)&amp;" m")</f>
        <v/>
      </c>
      <c r="K10" s="16"/>
      <c r="L10" s="16"/>
      <c r="M10" s="17"/>
      <c r="N10" s="319">
        <v>2.0</v>
      </c>
      <c r="O10" s="17"/>
      <c r="P10" s="39" t="str">
        <f>IF(OR(ISBLANK($H$9),ISBLANK($AT$9)),"",INT(YEARFRAC($H$9,$AT$9))&amp;" y, "&amp;INT((YEARFRAC($H$9,$AT$9)-INT(YEARFRAC($H$9,$AT$9)))*12)&amp;" m")</f>
        <v/>
      </c>
      <c r="Q10" s="16"/>
      <c r="R10" s="16"/>
      <c r="S10" s="17"/>
      <c r="T10" s="319">
        <v>3.0</v>
      </c>
      <c r="U10" s="17"/>
      <c r="V10" s="39" t="str">
        <f>IF(OR(ISBLANK($H$9),ISBLANK($AT$10)),"",INT(YEARFRAC($H$9,$AT$10))&amp;" y, "&amp;INT((YEARFRAC($H$9,$AT$10)-INT(YEARFRAC($H$9,$AT$10)))*12)&amp;" m")</f>
        <v/>
      </c>
      <c r="W10" s="16"/>
      <c r="X10" s="16"/>
      <c r="Y10" s="17"/>
      <c r="Z10" s="319">
        <v>4.0</v>
      </c>
      <c r="AA10" s="17"/>
      <c r="AB10" s="39" t="str">
        <f>IF(OR(ISBLANK($H$9),ISBLANK($AT$11)),"",INT(YEARFRAC($H$9,$AT$11))&amp;" y, "&amp;INT((YEARFRAC($H$9,$AT$11)-INT(YEARFRAC($H$9,$AT$11)))*12)&amp;" m")</f>
        <v/>
      </c>
      <c r="AC10" s="16"/>
      <c r="AD10" s="16"/>
      <c r="AE10" s="17"/>
      <c r="AK10" s="318" t="s">
        <v>30</v>
      </c>
      <c r="AL10" s="16"/>
      <c r="AM10" s="16"/>
      <c r="AN10" s="17"/>
      <c r="AO10" s="22">
        <f>'Milestones Grid'!AO8</f>
        <v>6.5</v>
      </c>
      <c r="AP10" s="16"/>
      <c r="AQ10" s="16"/>
      <c r="AR10" s="16"/>
      <c r="AS10" s="17"/>
      <c r="AT10" s="31"/>
      <c r="AU10" s="16"/>
      <c r="AV10" s="16"/>
      <c r="AW10" s="16"/>
      <c r="AX10" s="17"/>
      <c r="AY10" s="43"/>
      <c r="AZ10" s="16"/>
      <c r="BA10" s="16"/>
      <c r="BB10" s="16"/>
      <c r="BC10" s="17"/>
      <c r="BD10" s="32"/>
      <c r="BE10" s="16"/>
      <c r="BF10" s="16"/>
      <c r="BG10" s="16"/>
      <c r="BH10" s="17"/>
      <c r="BI10" s="14">
        <f>'Milestones Grid'!$BS$24</f>
        <v>0</v>
      </c>
    </row>
    <row r="11" ht="19.5" customHeight="1">
      <c r="AK11" s="318" t="s">
        <v>32</v>
      </c>
      <c r="AL11" s="16"/>
      <c r="AM11" s="16"/>
      <c r="AN11" s="17"/>
      <c r="AO11" s="22">
        <f>'Milestones Grid'!AO9</f>
        <v>6.5</v>
      </c>
      <c r="AP11" s="16"/>
      <c r="AQ11" s="16"/>
      <c r="AR11" s="16"/>
      <c r="AS11" s="17"/>
      <c r="AT11" s="31"/>
      <c r="AU11" s="16"/>
      <c r="AV11" s="16"/>
      <c r="AW11" s="16"/>
      <c r="AX11" s="17"/>
      <c r="AY11" s="45"/>
      <c r="AZ11" s="16"/>
      <c r="BA11" s="16"/>
      <c r="BB11" s="16"/>
      <c r="BC11" s="17"/>
      <c r="BD11" s="32"/>
      <c r="BE11" s="16"/>
      <c r="BF11" s="16"/>
      <c r="BG11" s="16"/>
      <c r="BH11" s="17"/>
      <c r="BI11" s="14">
        <f>'Milestones Grid'!$BT$24</f>
        <v>0</v>
      </c>
    </row>
    <row r="12">
      <c r="B12" s="320"/>
      <c r="C12" s="320"/>
      <c r="D12" s="320"/>
    </row>
    <row r="13" ht="13.5" customHeight="1">
      <c r="A13" s="321"/>
      <c r="B13" s="322" t="s">
        <v>36</v>
      </c>
      <c r="C13" s="323"/>
      <c r="D13" s="324"/>
      <c r="F13" s="322" t="s">
        <v>37</v>
      </c>
      <c r="G13" s="323"/>
      <c r="H13" s="323"/>
      <c r="I13" s="324"/>
      <c r="K13" s="322" t="s">
        <v>38</v>
      </c>
      <c r="L13" s="323"/>
      <c r="M13" s="323"/>
      <c r="N13" s="324"/>
      <c r="P13" s="322" t="s">
        <v>361</v>
      </c>
      <c r="Q13" s="323"/>
      <c r="R13" s="323"/>
      <c r="S13" s="324"/>
      <c r="U13" s="322" t="s">
        <v>40</v>
      </c>
      <c r="V13" s="323"/>
      <c r="W13" s="323"/>
      <c r="X13" s="324"/>
      <c r="Z13" s="322" t="s">
        <v>41</v>
      </c>
      <c r="AA13" s="323"/>
      <c r="AB13" s="323"/>
      <c r="AC13" s="324"/>
      <c r="AE13" s="322" t="s">
        <v>60</v>
      </c>
      <c r="AF13" s="323"/>
      <c r="AG13" s="323"/>
      <c r="AH13" s="324"/>
      <c r="AJ13" s="322" t="s">
        <v>61</v>
      </c>
      <c r="AK13" s="323"/>
      <c r="AL13" s="323"/>
      <c r="AM13" s="324"/>
      <c r="AO13" s="322" t="s">
        <v>44</v>
      </c>
      <c r="AP13" s="323"/>
      <c r="AQ13" s="323"/>
      <c r="AR13" s="324"/>
      <c r="AT13" s="322" t="s">
        <v>45</v>
      </c>
      <c r="AU13" s="323"/>
      <c r="AV13" s="323"/>
      <c r="AW13" s="324"/>
      <c r="AY13" s="322" t="s">
        <v>46</v>
      </c>
      <c r="AZ13" s="323"/>
      <c r="BA13" s="323"/>
      <c r="BB13" s="324"/>
      <c r="BD13" s="322" t="s">
        <v>47</v>
      </c>
      <c r="BE13" s="323"/>
      <c r="BF13" s="323"/>
      <c r="BG13" s="324"/>
    </row>
    <row r="14" ht="13.5" customHeight="1">
      <c r="B14" s="325"/>
      <c r="C14" s="325"/>
      <c r="D14" s="325"/>
    </row>
    <row r="15" ht="13.5" customHeight="1">
      <c r="A15" s="321"/>
      <c r="B15" s="326" t="s">
        <v>446</v>
      </c>
      <c r="C15" s="323"/>
      <c r="D15" s="324"/>
      <c r="E15" s="327"/>
      <c r="F15" s="326" t="s">
        <v>446</v>
      </c>
      <c r="G15" s="323"/>
      <c r="H15" s="323"/>
      <c r="I15" s="324"/>
      <c r="J15" s="327"/>
      <c r="K15" s="326" t="s">
        <v>446</v>
      </c>
      <c r="L15" s="323"/>
      <c r="M15" s="323"/>
      <c r="N15" s="324"/>
      <c r="O15" s="327"/>
      <c r="P15" s="326" t="s">
        <v>446</v>
      </c>
      <c r="Q15" s="323"/>
      <c r="R15" s="323"/>
      <c r="S15" s="324"/>
      <c r="T15" s="327"/>
      <c r="U15" s="326" t="s">
        <v>446</v>
      </c>
      <c r="V15" s="323"/>
      <c r="W15" s="323"/>
      <c r="X15" s="324"/>
      <c r="Y15" s="327"/>
      <c r="Z15" s="326" t="s">
        <v>446</v>
      </c>
      <c r="AA15" s="323"/>
      <c r="AB15" s="323"/>
      <c r="AC15" s="324"/>
      <c r="AD15" s="327"/>
      <c r="AE15" s="326" t="s">
        <v>446</v>
      </c>
      <c r="AF15" s="323"/>
      <c r="AG15" s="323"/>
      <c r="AH15" s="324"/>
      <c r="AI15" s="327"/>
      <c r="AJ15" s="326" t="s">
        <v>446</v>
      </c>
      <c r="AK15" s="323"/>
      <c r="AL15" s="323"/>
      <c r="AM15" s="324"/>
      <c r="AN15" s="327"/>
      <c r="AO15" s="326" t="s">
        <v>446</v>
      </c>
      <c r="AP15" s="323"/>
      <c r="AQ15" s="323"/>
      <c r="AR15" s="324"/>
      <c r="AS15" s="327"/>
      <c r="AT15" s="326" t="s">
        <v>446</v>
      </c>
      <c r="AU15" s="323"/>
      <c r="AV15" s="323"/>
      <c r="AW15" s="324"/>
      <c r="AX15" s="327"/>
      <c r="AY15" s="326" t="s">
        <v>446</v>
      </c>
      <c r="AZ15" s="323"/>
      <c r="BA15" s="323"/>
      <c r="BB15" s="324"/>
      <c r="BC15" s="327"/>
      <c r="BD15" s="326" t="s">
        <v>446</v>
      </c>
      <c r="BE15" s="323"/>
      <c r="BF15" s="323"/>
      <c r="BG15" s="324"/>
      <c r="BH15" s="14"/>
    </row>
    <row r="16" ht="13.5" customHeight="1">
      <c r="A16" s="6"/>
      <c r="B16" s="328" t="s">
        <v>447</v>
      </c>
      <c r="C16" s="323"/>
      <c r="D16" s="324"/>
      <c r="E16" s="327"/>
      <c r="F16" s="328" t="s">
        <v>448</v>
      </c>
      <c r="G16" s="323"/>
      <c r="H16" s="323"/>
      <c r="I16" s="324"/>
      <c r="J16" s="327"/>
      <c r="K16" s="328" t="s">
        <v>448</v>
      </c>
      <c r="L16" s="323"/>
      <c r="M16" s="323"/>
      <c r="N16" s="324"/>
      <c r="O16" s="327"/>
      <c r="P16" s="328" t="s">
        <v>448</v>
      </c>
      <c r="Q16" s="323"/>
      <c r="R16" s="323"/>
      <c r="S16" s="324"/>
      <c r="T16" s="327"/>
      <c r="U16" s="328" t="s">
        <v>447</v>
      </c>
      <c r="V16" s="323"/>
      <c r="W16" s="323"/>
      <c r="X16" s="324"/>
      <c r="Y16" s="327"/>
      <c r="Z16" s="328" t="s">
        <v>448</v>
      </c>
      <c r="AA16" s="323"/>
      <c r="AB16" s="323"/>
      <c r="AC16" s="324"/>
      <c r="AD16" s="327"/>
      <c r="AE16" s="328" t="s">
        <v>448</v>
      </c>
      <c r="AF16" s="323"/>
      <c r="AG16" s="323"/>
      <c r="AH16" s="324"/>
      <c r="AI16" s="329"/>
      <c r="AJ16" s="330"/>
      <c r="AK16" s="330"/>
      <c r="AL16" s="330"/>
      <c r="AM16" s="331"/>
      <c r="AN16" s="327"/>
      <c r="AO16" s="328" t="s">
        <v>449</v>
      </c>
      <c r="AP16" s="323"/>
      <c r="AQ16" s="323"/>
      <c r="AR16" s="324"/>
      <c r="AS16" s="327"/>
      <c r="AT16" s="328" t="s">
        <v>449</v>
      </c>
      <c r="AU16" s="323"/>
      <c r="AV16" s="323"/>
      <c r="AW16" s="324"/>
      <c r="AX16" s="327"/>
      <c r="AY16" s="328" t="s">
        <v>449</v>
      </c>
      <c r="AZ16" s="323"/>
      <c r="BA16" s="323"/>
      <c r="BB16" s="324"/>
      <c r="BC16" s="327"/>
      <c r="BD16" s="328" t="s">
        <v>450</v>
      </c>
      <c r="BE16" s="323"/>
      <c r="BF16" s="323"/>
      <c r="BG16" s="324"/>
      <c r="BH16" s="14"/>
    </row>
    <row r="17" ht="13.5" customHeight="1">
      <c r="A17" s="6"/>
      <c r="B17" s="328" t="s">
        <v>448</v>
      </c>
      <c r="C17" s="323"/>
      <c r="D17" s="324"/>
      <c r="E17" s="327"/>
      <c r="F17" s="328" t="s">
        <v>450</v>
      </c>
      <c r="G17" s="323"/>
      <c r="H17" s="323"/>
      <c r="I17" s="324"/>
      <c r="J17" s="327"/>
      <c r="K17" s="328" t="s">
        <v>450</v>
      </c>
      <c r="L17" s="323"/>
      <c r="M17" s="323"/>
      <c r="N17" s="324"/>
      <c r="O17" s="327"/>
      <c r="P17" s="328" t="s">
        <v>450</v>
      </c>
      <c r="Q17" s="323"/>
      <c r="R17" s="323"/>
      <c r="S17" s="324"/>
      <c r="T17" s="327"/>
      <c r="U17" s="328" t="s">
        <v>448</v>
      </c>
      <c r="V17" s="323"/>
      <c r="W17" s="323"/>
      <c r="X17" s="324"/>
      <c r="Y17" s="327"/>
      <c r="Z17" s="328" t="s">
        <v>450</v>
      </c>
      <c r="AA17" s="323"/>
      <c r="AB17" s="323"/>
      <c r="AC17" s="324"/>
      <c r="AD17" s="327"/>
      <c r="AE17" s="328" t="s">
        <v>450</v>
      </c>
      <c r="AF17" s="323"/>
      <c r="AG17" s="323"/>
      <c r="AH17" s="324"/>
      <c r="AI17" s="329"/>
      <c r="AJ17" s="330"/>
      <c r="AK17" s="330"/>
      <c r="AL17" s="330"/>
      <c r="AM17" s="331"/>
      <c r="AN17" s="327"/>
      <c r="AO17" s="328" t="s">
        <v>447</v>
      </c>
      <c r="AP17" s="323"/>
      <c r="AQ17" s="323"/>
      <c r="AR17" s="324"/>
      <c r="AS17" s="327"/>
      <c r="AT17" s="328" t="s">
        <v>447</v>
      </c>
      <c r="AU17" s="323"/>
      <c r="AV17" s="323"/>
      <c r="AW17" s="324"/>
      <c r="AX17" s="327"/>
      <c r="AY17" s="328" t="s">
        <v>447</v>
      </c>
      <c r="AZ17" s="323"/>
      <c r="BA17" s="323"/>
      <c r="BB17" s="324"/>
      <c r="BC17" s="327"/>
      <c r="BD17" s="328" t="s">
        <v>451</v>
      </c>
      <c r="BE17" s="323"/>
      <c r="BF17" s="323"/>
      <c r="BG17" s="324"/>
      <c r="BH17" s="14"/>
    </row>
    <row r="18" ht="13.5" customHeight="1">
      <c r="A18" s="6"/>
      <c r="B18" s="328" t="s">
        <v>450</v>
      </c>
      <c r="C18" s="323"/>
      <c r="D18" s="324"/>
      <c r="E18" s="327"/>
      <c r="F18" s="328" t="s">
        <v>451</v>
      </c>
      <c r="G18" s="323"/>
      <c r="H18" s="323"/>
      <c r="I18" s="324"/>
      <c r="J18" s="327"/>
      <c r="K18" s="328" t="s">
        <v>451</v>
      </c>
      <c r="L18" s="323"/>
      <c r="M18" s="323"/>
      <c r="N18" s="324"/>
      <c r="O18" s="327"/>
      <c r="P18" s="328" t="s">
        <v>451</v>
      </c>
      <c r="Q18" s="323"/>
      <c r="R18" s="323"/>
      <c r="S18" s="324"/>
      <c r="T18" s="327"/>
      <c r="U18" s="328" t="s">
        <v>450</v>
      </c>
      <c r="V18" s="323"/>
      <c r="W18" s="323"/>
      <c r="X18" s="324"/>
      <c r="Y18" s="327"/>
      <c r="Z18" s="328" t="s">
        <v>451</v>
      </c>
      <c r="AA18" s="323"/>
      <c r="AB18" s="323"/>
      <c r="AC18" s="324"/>
      <c r="AD18" s="327"/>
      <c r="AE18" s="328" t="s">
        <v>451</v>
      </c>
      <c r="AF18" s="323"/>
      <c r="AG18" s="323"/>
      <c r="AH18" s="324"/>
      <c r="AI18" s="329"/>
      <c r="AJ18" s="330"/>
      <c r="AK18" s="330"/>
      <c r="AL18" s="330"/>
      <c r="AM18" s="331"/>
      <c r="AN18" s="327"/>
      <c r="AO18" s="328" t="s">
        <v>448</v>
      </c>
      <c r="AP18" s="323"/>
      <c r="AQ18" s="323"/>
      <c r="AR18" s="324"/>
      <c r="AS18" s="327"/>
      <c r="AT18" s="328" t="s">
        <v>448</v>
      </c>
      <c r="AU18" s="323"/>
      <c r="AV18" s="323"/>
      <c r="AW18" s="324"/>
      <c r="AX18" s="327"/>
      <c r="AY18" s="328" t="s">
        <v>448</v>
      </c>
      <c r="AZ18" s="323"/>
      <c r="BA18" s="323"/>
      <c r="BB18" s="324"/>
      <c r="BC18" s="327"/>
      <c r="BD18" s="328" t="s">
        <v>452</v>
      </c>
      <c r="BE18" s="323"/>
      <c r="BF18" s="323"/>
      <c r="BG18" s="324"/>
      <c r="BH18" s="14"/>
    </row>
    <row r="19" ht="13.5" customHeight="1">
      <c r="A19" s="6"/>
      <c r="B19" s="328" t="s">
        <v>451</v>
      </c>
      <c r="C19" s="323"/>
      <c r="D19" s="324"/>
      <c r="E19" s="327"/>
      <c r="F19" s="328" t="s">
        <v>452</v>
      </c>
      <c r="G19" s="323"/>
      <c r="H19" s="323"/>
      <c r="I19" s="324"/>
      <c r="J19" s="327"/>
      <c r="K19" s="328" t="s">
        <v>452</v>
      </c>
      <c r="L19" s="323"/>
      <c r="M19" s="323"/>
      <c r="N19" s="324"/>
      <c r="O19" s="327"/>
      <c r="P19" s="328" t="s">
        <v>452</v>
      </c>
      <c r="Q19" s="323"/>
      <c r="R19" s="323"/>
      <c r="S19" s="324"/>
      <c r="T19" s="327"/>
      <c r="U19" s="328" t="s">
        <v>451</v>
      </c>
      <c r="V19" s="323"/>
      <c r="W19" s="323"/>
      <c r="X19" s="324"/>
      <c r="Y19" s="327"/>
      <c r="Z19" s="328" t="s">
        <v>452</v>
      </c>
      <c r="AA19" s="323"/>
      <c r="AB19" s="323"/>
      <c r="AC19" s="324"/>
      <c r="AD19" s="327"/>
      <c r="AE19" s="328" t="s">
        <v>452</v>
      </c>
      <c r="AF19" s="323"/>
      <c r="AG19" s="323"/>
      <c r="AH19" s="324"/>
      <c r="AI19" s="329"/>
      <c r="AJ19" s="330"/>
      <c r="AK19" s="330"/>
      <c r="AL19" s="330"/>
      <c r="AM19" s="331"/>
      <c r="AN19" s="327"/>
      <c r="AO19" s="328" t="s">
        <v>450</v>
      </c>
      <c r="AP19" s="323"/>
      <c r="AQ19" s="323"/>
      <c r="AR19" s="324"/>
      <c r="AS19" s="327"/>
      <c r="AT19" s="328" t="s">
        <v>450</v>
      </c>
      <c r="AU19" s="323"/>
      <c r="AV19" s="323"/>
      <c r="AW19" s="324"/>
      <c r="AX19" s="327"/>
      <c r="AY19" s="328" t="s">
        <v>450</v>
      </c>
      <c r="AZ19" s="323"/>
      <c r="BA19" s="323"/>
      <c r="BB19" s="324"/>
      <c r="BC19" s="327"/>
      <c r="BD19" s="328" t="s">
        <v>453</v>
      </c>
      <c r="BE19" s="323"/>
      <c r="BF19" s="323"/>
      <c r="BG19" s="324"/>
      <c r="BH19" s="14"/>
    </row>
    <row r="20" ht="13.5" customHeight="1">
      <c r="A20" s="6"/>
      <c r="B20" s="328" t="s">
        <v>452</v>
      </c>
      <c r="C20" s="323"/>
      <c r="D20" s="324"/>
      <c r="E20" s="327"/>
      <c r="F20" s="328" t="s">
        <v>453</v>
      </c>
      <c r="G20" s="323"/>
      <c r="H20" s="323"/>
      <c r="I20" s="324"/>
      <c r="J20" s="327"/>
      <c r="K20" s="328" t="s">
        <v>453</v>
      </c>
      <c r="L20" s="323"/>
      <c r="M20" s="323"/>
      <c r="N20" s="324"/>
      <c r="O20" s="327"/>
      <c r="P20" s="328" t="s">
        <v>453</v>
      </c>
      <c r="Q20" s="323"/>
      <c r="R20" s="323"/>
      <c r="S20" s="324"/>
      <c r="T20" s="327"/>
      <c r="U20" s="328" t="s">
        <v>452</v>
      </c>
      <c r="V20" s="323"/>
      <c r="W20" s="323"/>
      <c r="X20" s="324"/>
      <c r="Y20" s="327"/>
      <c r="Z20" s="328" t="s">
        <v>453</v>
      </c>
      <c r="AA20" s="323"/>
      <c r="AB20" s="323"/>
      <c r="AC20" s="324"/>
      <c r="AD20" s="327"/>
      <c r="AE20" s="328" t="s">
        <v>453</v>
      </c>
      <c r="AF20" s="323"/>
      <c r="AG20" s="323"/>
      <c r="AH20" s="324"/>
      <c r="AI20" s="329"/>
      <c r="AJ20" s="330"/>
      <c r="AK20" s="330"/>
      <c r="AL20" s="330"/>
      <c r="AM20" s="331"/>
      <c r="AN20" s="327"/>
      <c r="AO20" s="328" t="s">
        <v>451</v>
      </c>
      <c r="AP20" s="323"/>
      <c r="AQ20" s="323"/>
      <c r="AR20" s="324"/>
      <c r="AS20" s="327"/>
      <c r="AT20" s="328" t="s">
        <v>451</v>
      </c>
      <c r="AU20" s="323"/>
      <c r="AV20" s="323"/>
      <c r="AW20" s="324"/>
      <c r="AX20" s="327"/>
      <c r="AY20" s="328" t="s">
        <v>451</v>
      </c>
      <c r="AZ20" s="323"/>
      <c r="BA20" s="323"/>
      <c r="BB20" s="324"/>
      <c r="BC20" s="332"/>
      <c r="BD20" s="333"/>
      <c r="BE20" s="330"/>
      <c r="BF20" s="330"/>
      <c r="BG20" s="331"/>
      <c r="BH20" s="14"/>
    </row>
    <row r="21" ht="13.5" customHeight="1">
      <c r="A21" s="6"/>
      <c r="B21" s="328" t="s">
        <v>453</v>
      </c>
      <c r="C21" s="323"/>
      <c r="D21" s="324"/>
      <c r="E21" s="332"/>
      <c r="F21" s="333"/>
      <c r="G21" s="330"/>
      <c r="H21" s="330"/>
      <c r="I21" s="331"/>
      <c r="J21" s="332"/>
      <c r="K21" s="333"/>
      <c r="L21" s="330"/>
      <c r="M21" s="330"/>
      <c r="N21" s="331"/>
      <c r="O21" s="332"/>
      <c r="P21" s="333"/>
      <c r="Q21" s="330"/>
      <c r="R21" s="330"/>
      <c r="S21" s="331"/>
      <c r="T21" s="327"/>
      <c r="U21" s="328" t="s">
        <v>453</v>
      </c>
      <c r="V21" s="323"/>
      <c r="W21" s="323"/>
      <c r="X21" s="324"/>
      <c r="Y21" s="332"/>
      <c r="Z21" s="333"/>
      <c r="AA21" s="330"/>
      <c r="AB21" s="330"/>
      <c r="AC21" s="331"/>
      <c r="AD21" s="332"/>
      <c r="AE21" s="333"/>
      <c r="AF21" s="330"/>
      <c r="AG21" s="330"/>
      <c r="AH21" s="331"/>
      <c r="AI21" s="332"/>
      <c r="AJ21" s="333"/>
      <c r="AK21" s="330"/>
      <c r="AL21" s="330"/>
      <c r="AM21" s="331"/>
      <c r="AN21" s="327"/>
      <c r="AO21" s="328" t="s">
        <v>452</v>
      </c>
      <c r="AP21" s="323"/>
      <c r="AQ21" s="323"/>
      <c r="AR21" s="324"/>
      <c r="AS21" s="327"/>
      <c r="AT21" s="328" t="s">
        <v>452</v>
      </c>
      <c r="AU21" s="323"/>
      <c r="AV21" s="323"/>
      <c r="AW21" s="324"/>
      <c r="AX21" s="327"/>
      <c r="AY21" s="328" t="s">
        <v>452</v>
      </c>
      <c r="AZ21" s="323"/>
      <c r="BA21" s="323"/>
      <c r="BB21" s="324"/>
      <c r="BC21" s="332"/>
      <c r="BD21" s="333"/>
      <c r="BE21" s="330"/>
      <c r="BF21" s="330"/>
      <c r="BG21" s="331"/>
      <c r="BH21" s="14"/>
    </row>
    <row r="22" ht="13.5" customHeight="1">
      <c r="B22" s="333"/>
      <c r="C22" s="330"/>
      <c r="D22" s="331"/>
      <c r="E22" s="332"/>
      <c r="F22" s="333"/>
      <c r="G22" s="330"/>
      <c r="H22" s="330"/>
      <c r="I22" s="331"/>
      <c r="J22" s="332"/>
      <c r="K22" s="333"/>
      <c r="L22" s="330"/>
      <c r="M22" s="330"/>
      <c r="N22" s="331"/>
      <c r="O22" s="332"/>
      <c r="P22" s="333"/>
      <c r="Q22" s="330"/>
      <c r="R22" s="330"/>
      <c r="S22" s="331"/>
      <c r="T22" s="332"/>
      <c r="U22" s="333"/>
      <c r="V22" s="330"/>
      <c r="W22" s="330"/>
      <c r="X22" s="331"/>
      <c r="Y22" s="332"/>
      <c r="Z22" s="333"/>
      <c r="AA22" s="330"/>
      <c r="AB22" s="330"/>
      <c r="AC22" s="331"/>
      <c r="AD22" s="332"/>
      <c r="AE22" s="333"/>
      <c r="AF22" s="330"/>
      <c r="AG22" s="330"/>
      <c r="AH22" s="331"/>
      <c r="AI22" s="332"/>
      <c r="AJ22" s="333"/>
      <c r="AK22" s="330"/>
      <c r="AL22" s="330"/>
      <c r="AM22" s="331"/>
      <c r="AN22" s="327"/>
      <c r="AO22" s="328" t="s">
        <v>453</v>
      </c>
      <c r="AP22" s="323"/>
      <c r="AQ22" s="323"/>
      <c r="AR22" s="324"/>
      <c r="AS22" s="327"/>
      <c r="AT22" s="328" t="s">
        <v>453</v>
      </c>
      <c r="AU22" s="323"/>
      <c r="AV22" s="323"/>
      <c r="AW22" s="324"/>
      <c r="AX22" s="327"/>
      <c r="AY22" s="328" t="s">
        <v>453</v>
      </c>
      <c r="AZ22" s="323"/>
      <c r="BA22" s="323"/>
      <c r="BB22" s="324"/>
      <c r="BC22" s="332"/>
      <c r="BD22" s="333"/>
      <c r="BE22" s="330"/>
      <c r="BF22" s="330"/>
      <c r="BG22" s="331"/>
      <c r="BH22" s="14"/>
    </row>
    <row r="23" ht="13.5" customHeight="1">
      <c r="B23" s="333"/>
      <c r="C23" s="330"/>
      <c r="D23" s="331"/>
      <c r="E23" s="332"/>
      <c r="F23" s="333"/>
      <c r="G23" s="330"/>
      <c r="H23" s="330"/>
      <c r="I23" s="331"/>
      <c r="J23" s="332"/>
      <c r="K23" s="333"/>
      <c r="L23" s="330"/>
      <c r="M23" s="330"/>
      <c r="N23" s="331"/>
      <c r="O23" s="332"/>
      <c r="P23" s="333"/>
      <c r="Q23" s="330"/>
      <c r="R23" s="330"/>
      <c r="S23" s="331"/>
      <c r="T23" s="332"/>
      <c r="U23" s="333"/>
      <c r="V23" s="330"/>
      <c r="W23" s="330"/>
      <c r="X23" s="331"/>
      <c r="Y23" s="332"/>
      <c r="Z23" s="333"/>
      <c r="AA23" s="330"/>
      <c r="AB23" s="330"/>
      <c r="AC23" s="331"/>
      <c r="AD23" s="332"/>
      <c r="AE23" s="333"/>
      <c r="AF23" s="330"/>
      <c r="AG23" s="330"/>
      <c r="AH23" s="331"/>
      <c r="AI23" s="332"/>
      <c r="AJ23" s="333"/>
      <c r="AK23" s="330"/>
      <c r="AL23" s="330"/>
      <c r="AM23" s="331"/>
      <c r="AN23" s="332"/>
      <c r="AO23" s="333"/>
      <c r="AP23" s="330"/>
      <c r="AQ23" s="330"/>
      <c r="AR23" s="331"/>
      <c r="AS23" s="332"/>
      <c r="AT23" s="333"/>
      <c r="AU23" s="330"/>
      <c r="AV23" s="330"/>
      <c r="AW23" s="331"/>
      <c r="AX23" s="332"/>
      <c r="AY23" s="333"/>
      <c r="AZ23" s="330"/>
      <c r="BA23" s="330"/>
      <c r="BB23" s="331"/>
      <c r="BC23" s="332"/>
      <c r="BD23" s="333"/>
      <c r="BE23" s="330"/>
      <c r="BF23" s="330"/>
      <c r="BG23" s="331"/>
      <c r="BH23" s="14"/>
    </row>
    <row r="24" ht="13.5" customHeight="1">
      <c r="B24" s="333"/>
      <c r="C24" s="330"/>
      <c r="D24" s="331"/>
      <c r="E24" s="332"/>
      <c r="F24" s="333"/>
      <c r="G24" s="330"/>
      <c r="H24" s="330"/>
      <c r="I24" s="331"/>
      <c r="J24" s="332"/>
      <c r="K24" s="333"/>
      <c r="L24" s="330"/>
      <c r="M24" s="330"/>
      <c r="N24" s="331"/>
      <c r="O24" s="332"/>
      <c r="P24" s="333"/>
      <c r="Q24" s="330"/>
      <c r="R24" s="330"/>
      <c r="S24" s="331"/>
      <c r="T24" s="332"/>
      <c r="U24" s="333"/>
      <c r="V24" s="330"/>
      <c r="W24" s="330"/>
      <c r="X24" s="331"/>
      <c r="Y24" s="332"/>
      <c r="Z24" s="333"/>
      <c r="AA24" s="330"/>
      <c r="AB24" s="330"/>
      <c r="AC24" s="331"/>
      <c r="AD24" s="332"/>
      <c r="AE24" s="333"/>
      <c r="AF24" s="330"/>
      <c r="AG24" s="330"/>
      <c r="AH24" s="331"/>
      <c r="AI24" s="332"/>
      <c r="AJ24" s="333"/>
      <c r="AK24" s="330"/>
      <c r="AL24" s="330"/>
      <c r="AM24" s="331"/>
      <c r="AN24" s="332"/>
      <c r="AO24" s="333"/>
      <c r="AP24" s="330"/>
      <c r="AQ24" s="330"/>
      <c r="AR24" s="331"/>
      <c r="AS24" s="332"/>
      <c r="AT24" s="333"/>
      <c r="AU24" s="330"/>
      <c r="AV24" s="330"/>
      <c r="AW24" s="331"/>
      <c r="AX24" s="332"/>
      <c r="AY24" s="333"/>
      <c r="AZ24" s="330"/>
      <c r="BA24" s="330"/>
      <c r="BB24" s="331"/>
      <c r="BC24" s="332"/>
      <c r="BD24" s="333"/>
      <c r="BE24" s="330"/>
      <c r="BF24" s="330"/>
      <c r="BG24" s="331"/>
      <c r="BH24" s="14"/>
    </row>
    <row r="25" ht="13.5" customHeight="1">
      <c r="B25" s="333"/>
      <c r="C25" s="330"/>
      <c r="D25" s="331"/>
      <c r="E25" s="332"/>
      <c r="F25" s="333"/>
      <c r="G25" s="330"/>
      <c r="H25" s="330"/>
      <c r="I25" s="331"/>
      <c r="J25" s="332"/>
      <c r="K25" s="333"/>
      <c r="L25" s="330"/>
      <c r="M25" s="330"/>
      <c r="N25" s="331"/>
      <c r="O25" s="332"/>
      <c r="P25" s="333"/>
      <c r="Q25" s="330"/>
      <c r="R25" s="330"/>
      <c r="S25" s="331"/>
      <c r="T25" s="332"/>
      <c r="U25" s="333"/>
      <c r="V25" s="330"/>
      <c r="W25" s="330"/>
      <c r="X25" s="331"/>
      <c r="Y25" s="332"/>
      <c r="Z25" s="333"/>
      <c r="AA25" s="330"/>
      <c r="AB25" s="330"/>
      <c r="AC25" s="331"/>
      <c r="AD25" s="332"/>
      <c r="AE25" s="333"/>
      <c r="AF25" s="330"/>
      <c r="AG25" s="330"/>
      <c r="AH25" s="331"/>
      <c r="AI25" s="332"/>
      <c r="AJ25" s="333"/>
      <c r="AK25" s="330"/>
      <c r="AL25" s="330"/>
      <c r="AM25" s="331"/>
      <c r="AN25" s="332"/>
      <c r="AO25" s="333"/>
      <c r="AP25" s="330"/>
      <c r="AQ25" s="330"/>
      <c r="AR25" s="331"/>
      <c r="AS25" s="332"/>
      <c r="AT25" s="333"/>
      <c r="AU25" s="330"/>
      <c r="AV25" s="330"/>
      <c r="AW25" s="331"/>
      <c r="AX25" s="332"/>
      <c r="AY25" s="333"/>
      <c r="AZ25" s="330"/>
      <c r="BA25" s="330"/>
      <c r="BB25" s="331"/>
      <c r="BC25" s="332"/>
      <c r="BD25" s="333"/>
      <c r="BE25" s="330"/>
      <c r="BF25" s="330"/>
      <c r="BG25" s="331"/>
      <c r="BH25" s="14"/>
    </row>
    <row r="26" ht="13.5" customHeight="1">
      <c r="B26" s="333"/>
      <c r="C26" s="330"/>
      <c r="D26" s="331"/>
      <c r="E26" s="332"/>
      <c r="F26" s="333"/>
      <c r="G26" s="330"/>
      <c r="H26" s="330"/>
      <c r="I26" s="331"/>
      <c r="J26" s="332"/>
      <c r="K26" s="333"/>
      <c r="L26" s="330"/>
      <c r="M26" s="330"/>
      <c r="N26" s="331"/>
      <c r="O26" s="332"/>
      <c r="P26" s="333"/>
      <c r="Q26" s="330"/>
      <c r="R26" s="330"/>
      <c r="S26" s="331"/>
      <c r="T26" s="332"/>
      <c r="U26" s="333"/>
      <c r="V26" s="330"/>
      <c r="W26" s="330"/>
      <c r="X26" s="331"/>
      <c r="Y26" s="332"/>
      <c r="Z26" s="333"/>
      <c r="AA26" s="330"/>
      <c r="AB26" s="330"/>
      <c r="AC26" s="331"/>
      <c r="AD26" s="332"/>
      <c r="AE26" s="333"/>
      <c r="AF26" s="330"/>
      <c r="AG26" s="330"/>
      <c r="AH26" s="331"/>
      <c r="AI26" s="332"/>
      <c r="AJ26" s="333"/>
      <c r="AK26" s="330"/>
      <c r="AL26" s="330"/>
      <c r="AM26" s="331"/>
      <c r="AN26" s="332"/>
      <c r="AO26" s="333"/>
      <c r="AP26" s="330"/>
      <c r="AQ26" s="330"/>
      <c r="AR26" s="331"/>
      <c r="AS26" s="332"/>
      <c r="AT26" s="333"/>
      <c r="AU26" s="330"/>
      <c r="AV26" s="330"/>
      <c r="AW26" s="331"/>
      <c r="AX26" s="332"/>
      <c r="AY26" s="333"/>
      <c r="AZ26" s="330"/>
      <c r="BA26" s="330"/>
      <c r="BB26" s="331"/>
      <c r="BC26" s="332"/>
      <c r="BD26" s="333"/>
      <c r="BE26" s="330"/>
      <c r="BF26" s="330"/>
      <c r="BG26" s="331"/>
      <c r="BH26" s="14"/>
    </row>
    <row r="27" ht="13.5" customHeight="1">
      <c r="B27" s="333"/>
      <c r="C27" s="330"/>
      <c r="D27" s="331"/>
      <c r="E27" s="332"/>
      <c r="F27" s="333"/>
      <c r="G27" s="330"/>
      <c r="H27" s="330"/>
      <c r="I27" s="331"/>
      <c r="J27" s="332"/>
      <c r="K27" s="333"/>
      <c r="L27" s="330"/>
      <c r="M27" s="330"/>
      <c r="N27" s="331"/>
      <c r="O27" s="332"/>
      <c r="P27" s="333"/>
      <c r="Q27" s="330"/>
      <c r="R27" s="330"/>
      <c r="S27" s="331"/>
      <c r="T27" s="332"/>
      <c r="U27" s="333"/>
      <c r="V27" s="330"/>
      <c r="W27" s="330"/>
      <c r="X27" s="331"/>
      <c r="Y27" s="332"/>
      <c r="Z27" s="333"/>
      <c r="AA27" s="330"/>
      <c r="AB27" s="330"/>
      <c r="AC27" s="331"/>
      <c r="AD27" s="332"/>
      <c r="AE27" s="333"/>
      <c r="AF27" s="330"/>
      <c r="AG27" s="330"/>
      <c r="AH27" s="331"/>
      <c r="AI27" s="332"/>
      <c r="AJ27" s="333"/>
      <c r="AK27" s="330"/>
      <c r="AL27" s="330"/>
      <c r="AM27" s="331"/>
      <c r="AN27" s="332"/>
      <c r="AO27" s="333"/>
      <c r="AP27" s="330"/>
      <c r="AQ27" s="330"/>
      <c r="AR27" s="331"/>
      <c r="AS27" s="332"/>
      <c r="AT27" s="333"/>
      <c r="AU27" s="330"/>
      <c r="AV27" s="330"/>
      <c r="AW27" s="331"/>
      <c r="AX27" s="332"/>
      <c r="AY27" s="333"/>
      <c r="AZ27" s="330"/>
      <c r="BA27" s="330"/>
      <c r="BB27" s="331"/>
      <c r="BC27" s="332"/>
      <c r="BD27" s="333"/>
      <c r="BE27" s="330"/>
      <c r="BF27" s="330"/>
      <c r="BG27" s="331"/>
      <c r="BH27" s="14"/>
    </row>
    <row r="28" ht="13.5" customHeight="1">
      <c r="A28" s="6"/>
      <c r="B28" s="326" t="s">
        <v>454</v>
      </c>
      <c r="C28" s="323"/>
      <c r="D28" s="324"/>
      <c r="E28" s="327"/>
      <c r="F28" s="326" t="s">
        <v>454</v>
      </c>
      <c r="G28" s="323"/>
      <c r="H28" s="323"/>
      <c r="I28" s="324"/>
      <c r="J28" s="327"/>
      <c r="K28" s="326" t="s">
        <v>454</v>
      </c>
      <c r="L28" s="323"/>
      <c r="M28" s="323"/>
      <c r="N28" s="324"/>
      <c r="O28" s="327"/>
      <c r="P28" s="326" t="s">
        <v>454</v>
      </c>
      <c r="Q28" s="323"/>
      <c r="R28" s="323"/>
      <c r="S28" s="324"/>
      <c r="T28" s="327"/>
      <c r="U28" s="326" t="s">
        <v>454</v>
      </c>
      <c r="V28" s="323"/>
      <c r="W28" s="323"/>
      <c r="X28" s="324"/>
      <c r="Y28" s="327"/>
      <c r="Z28" s="326" t="s">
        <v>454</v>
      </c>
      <c r="AA28" s="323"/>
      <c r="AB28" s="323"/>
      <c r="AC28" s="324"/>
      <c r="AD28" s="327"/>
      <c r="AE28" s="326" t="s">
        <v>454</v>
      </c>
      <c r="AF28" s="323"/>
      <c r="AG28" s="323"/>
      <c r="AH28" s="324"/>
      <c r="AI28" s="327"/>
      <c r="AJ28" s="326" t="s">
        <v>454</v>
      </c>
      <c r="AK28" s="323"/>
      <c r="AL28" s="323"/>
      <c r="AM28" s="324"/>
      <c r="AN28" s="327"/>
      <c r="AO28" s="326" t="s">
        <v>454</v>
      </c>
      <c r="AP28" s="323"/>
      <c r="AQ28" s="323"/>
      <c r="AR28" s="324"/>
      <c r="AS28" s="327"/>
      <c r="AT28" s="326" t="s">
        <v>454</v>
      </c>
      <c r="AU28" s="323"/>
      <c r="AV28" s="323"/>
      <c r="AW28" s="324"/>
      <c r="AX28" s="327"/>
      <c r="AY28" s="326" t="s">
        <v>454</v>
      </c>
      <c r="AZ28" s="323"/>
      <c r="BA28" s="323"/>
      <c r="BB28" s="324"/>
      <c r="BC28" s="327"/>
      <c r="BD28" s="326" t="s">
        <v>454</v>
      </c>
      <c r="BE28" s="323"/>
      <c r="BF28" s="323"/>
      <c r="BG28" s="324"/>
      <c r="BH28" s="14"/>
    </row>
    <row r="29" ht="13.5" customHeight="1">
      <c r="A29" s="6"/>
      <c r="B29" s="328" t="s">
        <v>455</v>
      </c>
      <c r="C29" s="323"/>
      <c r="D29" s="324"/>
      <c r="E29" s="327"/>
      <c r="F29" s="328" t="s">
        <v>456</v>
      </c>
      <c r="G29" s="323"/>
      <c r="H29" s="323"/>
      <c r="I29" s="324"/>
      <c r="J29" s="327"/>
      <c r="K29" s="328" t="s">
        <v>457</v>
      </c>
      <c r="L29" s="323"/>
      <c r="M29" s="323"/>
      <c r="N29" s="324"/>
      <c r="O29" s="327"/>
      <c r="P29" s="328" t="s">
        <v>456</v>
      </c>
      <c r="Q29" s="323"/>
      <c r="R29" s="323"/>
      <c r="S29" s="324"/>
      <c r="T29" s="327"/>
      <c r="U29" s="328" t="s">
        <v>457</v>
      </c>
      <c r="V29" s="323"/>
      <c r="W29" s="323"/>
      <c r="X29" s="324"/>
      <c r="Y29" s="327"/>
      <c r="Z29" s="328" t="s">
        <v>455</v>
      </c>
      <c r="AA29" s="323"/>
      <c r="AB29" s="323"/>
      <c r="AC29" s="324"/>
      <c r="AD29" s="327"/>
      <c r="AE29" s="328" t="s">
        <v>457</v>
      </c>
      <c r="AF29" s="323"/>
      <c r="AG29" s="323"/>
      <c r="AH29" s="324"/>
      <c r="AI29" s="329"/>
      <c r="AJ29" s="330"/>
      <c r="AK29" s="330"/>
      <c r="AL29" s="330"/>
      <c r="AM29" s="331"/>
      <c r="AN29" s="327"/>
      <c r="AO29" s="328" t="s">
        <v>458</v>
      </c>
      <c r="AP29" s="323"/>
      <c r="AQ29" s="323"/>
      <c r="AR29" s="324"/>
      <c r="AS29" s="327"/>
      <c r="AT29" s="328" t="s">
        <v>455</v>
      </c>
      <c r="AU29" s="323"/>
      <c r="AV29" s="323"/>
      <c r="AW29" s="324"/>
      <c r="AX29" s="327"/>
      <c r="AY29" s="328" t="s">
        <v>457</v>
      </c>
      <c r="AZ29" s="323"/>
      <c r="BA29" s="323"/>
      <c r="BB29" s="324"/>
      <c r="BC29" s="327"/>
      <c r="BD29" s="328" t="s">
        <v>456</v>
      </c>
      <c r="BE29" s="323"/>
      <c r="BF29" s="323"/>
      <c r="BG29" s="324"/>
      <c r="BH29" s="14"/>
    </row>
    <row r="30" ht="13.5" customHeight="1">
      <c r="A30" s="6"/>
      <c r="B30" s="328" t="s">
        <v>456</v>
      </c>
      <c r="C30" s="323"/>
      <c r="D30" s="324"/>
      <c r="E30" s="327"/>
      <c r="F30" s="328" t="s">
        <v>457</v>
      </c>
      <c r="G30" s="323"/>
      <c r="H30" s="323"/>
      <c r="I30" s="324"/>
      <c r="J30" s="327"/>
      <c r="K30" s="328" t="s">
        <v>459</v>
      </c>
      <c r="L30" s="323"/>
      <c r="M30" s="323"/>
      <c r="N30" s="324"/>
      <c r="O30" s="327"/>
      <c r="P30" s="328" t="s">
        <v>457</v>
      </c>
      <c r="Q30" s="323"/>
      <c r="R30" s="323"/>
      <c r="S30" s="324"/>
      <c r="T30" s="327"/>
      <c r="U30" s="328" t="s">
        <v>459</v>
      </c>
      <c r="V30" s="323"/>
      <c r="W30" s="323"/>
      <c r="X30" s="324"/>
      <c r="Y30" s="327"/>
      <c r="Z30" s="328" t="s">
        <v>456</v>
      </c>
      <c r="AA30" s="323"/>
      <c r="AB30" s="323"/>
      <c r="AC30" s="324"/>
      <c r="AD30" s="327"/>
      <c r="AE30" s="328" t="s">
        <v>459</v>
      </c>
      <c r="AF30" s="323"/>
      <c r="AG30" s="323"/>
      <c r="AH30" s="324"/>
      <c r="AI30" s="329"/>
      <c r="AJ30" s="330"/>
      <c r="AK30" s="330"/>
      <c r="AL30" s="330"/>
      <c r="AM30" s="331"/>
      <c r="AN30" s="327"/>
      <c r="AO30" s="328" t="s">
        <v>455</v>
      </c>
      <c r="AP30" s="323"/>
      <c r="AQ30" s="323"/>
      <c r="AR30" s="324"/>
      <c r="AS30" s="327"/>
      <c r="AT30" s="328" t="s">
        <v>456</v>
      </c>
      <c r="AU30" s="323"/>
      <c r="AV30" s="323"/>
      <c r="AW30" s="324"/>
      <c r="AX30" s="327"/>
      <c r="AY30" s="328" t="s">
        <v>459</v>
      </c>
      <c r="AZ30" s="323"/>
      <c r="BA30" s="323"/>
      <c r="BB30" s="324"/>
      <c r="BC30" s="327"/>
      <c r="BD30" s="328" t="s">
        <v>457</v>
      </c>
      <c r="BE30" s="323"/>
      <c r="BF30" s="323"/>
      <c r="BG30" s="324"/>
      <c r="BH30" s="14"/>
    </row>
    <row r="31" ht="13.5" customHeight="1">
      <c r="A31" s="6"/>
      <c r="B31" s="328" t="s">
        <v>457</v>
      </c>
      <c r="C31" s="323"/>
      <c r="D31" s="324"/>
      <c r="E31" s="327"/>
      <c r="F31" s="328" t="s">
        <v>459</v>
      </c>
      <c r="G31" s="323"/>
      <c r="H31" s="323"/>
      <c r="I31" s="324"/>
      <c r="J31" s="327"/>
      <c r="K31" s="328" t="s">
        <v>460</v>
      </c>
      <c r="L31" s="323"/>
      <c r="M31" s="323"/>
      <c r="N31" s="324"/>
      <c r="O31" s="327"/>
      <c r="P31" s="328" t="s">
        <v>459</v>
      </c>
      <c r="Q31" s="323"/>
      <c r="R31" s="323"/>
      <c r="S31" s="324"/>
      <c r="T31" s="327"/>
      <c r="U31" s="328" t="s">
        <v>460</v>
      </c>
      <c r="V31" s="323"/>
      <c r="W31" s="323"/>
      <c r="X31" s="324"/>
      <c r="Y31" s="327"/>
      <c r="Z31" s="328" t="s">
        <v>457</v>
      </c>
      <c r="AA31" s="323"/>
      <c r="AB31" s="323"/>
      <c r="AC31" s="324"/>
      <c r="AD31" s="327"/>
      <c r="AE31" s="328" t="s">
        <v>460</v>
      </c>
      <c r="AF31" s="323"/>
      <c r="AG31" s="323"/>
      <c r="AH31" s="324"/>
      <c r="AI31" s="329"/>
      <c r="AJ31" s="330"/>
      <c r="AK31" s="330"/>
      <c r="AL31" s="330"/>
      <c r="AM31" s="331"/>
      <c r="AN31" s="327"/>
      <c r="AO31" s="328" t="s">
        <v>456</v>
      </c>
      <c r="AP31" s="323"/>
      <c r="AQ31" s="323"/>
      <c r="AR31" s="324"/>
      <c r="AS31" s="327"/>
      <c r="AT31" s="328" t="s">
        <v>457</v>
      </c>
      <c r="AU31" s="323"/>
      <c r="AV31" s="323"/>
      <c r="AW31" s="324"/>
      <c r="AX31" s="327"/>
      <c r="AY31" s="328" t="s">
        <v>460</v>
      </c>
      <c r="AZ31" s="323"/>
      <c r="BA31" s="323"/>
      <c r="BB31" s="324"/>
      <c r="BC31" s="327"/>
      <c r="BD31" s="328" t="s">
        <v>459</v>
      </c>
      <c r="BE31" s="323"/>
      <c r="BF31" s="323"/>
      <c r="BG31" s="324"/>
      <c r="BH31" s="14"/>
    </row>
    <row r="32" ht="13.5" customHeight="1">
      <c r="A32" s="6"/>
      <c r="B32" s="328" t="s">
        <v>459</v>
      </c>
      <c r="C32" s="323"/>
      <c r="D32" s="324"/>
      <c r="E32" s="327"/>
      <c r="F32" s="328" t="s">
        <v>460</v>
      </c>
      <c r="G32" s="323"/>
      <c r="H32" s="323"/>
      <c r="I32" s="324"/>
      <c r="J32" s="327"/>
      <c r="K32" s="328" t="s">
        <v>461</v>
      </c>
      <c r="L32" s="323"/>
      <c r="M32" s="323"/>
      <c r="N32" s="324"/>
      <c r="O32" s="327"/>
      <c r="P32" s="328" t="s">
        <v>460</v>
      </c>
      <c r="Q32" s="323"/>
      <c r="R32" s="323"/>
      <c r="S32" s="324"/>
      <c r="T32" s="327"/>
      <c r="U32" s="328" t="s">
        <v>461</v>
      </c>
      <c r="V32" s="323"/>
      <c r="W32" s="323"/>
      <c r="X32" s="324"/>
      <c r="Y32" s="327"/>
      <c r="Z32" s="328" t="s">
        <v>459</v>
      </c>
      <c r="AA32" s="323"/>
      <c r="AB32" s="323"/>
      <c r="AC32" s="324"/>
      <c r="AD32" s="327"/>
      <c r="AE32" s="328" t="s">
        <v>461</v>
      </c>
      <c r="AF32" s="323"/>
      <c r="AG32" s="323"/>
      <c r="AH32" s="324"/>
      <c r="AI32" s="329"/>
      <c r="AJ32" s="330"/>
      <c r="AK32" s="330"/>
      <c r="AL32" s="330"/>
      <c r="AM32" s="331"/>
      <c r="AN32" s="327"/>
      <c r="AO32" s="328" t="s">
        <v>457</v>
      </c>
      <c r="AP32" s="323"/>
      <c r="AQ32" s="323"/>
      <c r="AR32" s="324"/>
      <c r="AS32" s="327"/>
      <c r="AT32" s="328" t="s">
        <v>459</v>
      </c>
      <c r="AU32" s="323"/>
      <c r="AV32" s="323"/>
      <c r="AW32" s="324"/>
      <c r="AX32" s="327"/>
      <c r="AY32" s="328" t="s">
        <v>461</v>
      </c>
      <c r="AZ32" s="323"/>
      <c r="BA32" s="323"/>
      <c r="BB32" s="324"/>
      <c r="BC32" s="327"/>
      <c r="BD32" s="328" t="s">
        <v>460</v>
      </c>
      <c r="BE32" s="323"/>
      <c r="BF32" s="323"/>
      <c r="BG32" s="324"/>
      <c r="BH32" s="14"/>
    </row>
    <row r="33" ht="13.5" customHeight="1">
      <c r="A33" s="6"/>
      <c r="B33" s="328" t="s">
        <v>460</v>
      </c>
      <c r="C33" s="323"/>
      <c r="D33" s="324"/>
      <c r="E33" s="327"/>
      <c r="F33" s="328" t="s">
        <v>461</v>
      </c>
      <c r="G33" s="323"/>
      <c r="H33" s="323"/>
      <c r="I33" s="324"/>
      <c r="J33" s="332"/>
      <c r="K33" s="333"/>
      <c r="L33" s="330"/>
      <c r="M33" s="330"/>
      <c r="N33" s="331"/>
      <c r="O33" s="327"/>
      <c r="P33" s="328" t="s">
        <v>461</v>
      </c>
      <c r="Q33" s="323"/>
      <c r="R33" s="323"/>
      <c r="S33" s="324"/>
      <c r="T33" s="332"/>
      <c r="U33" s="333"/>
      <c r="V33" s="330"/>
      <c r="W33" s="330"/>
      <c r="X33" s="331"/>
      <c r="Y33" s="327"/>
      <c r="Z33" s="328" t="s">
        <v>460</v>
      </c>
      <c r="AA33" s="323"/>
      <c r="AB33" s="323"/>
      <c r="AC33" s="324"/>
      <c r="AD33" s="332"/>
      <c r="AE33" s="333"/>
      <c r="AF33" s="330"/>
      <c r="AG33" s="330"/>
      <c r="AH33" s="331"/>
      <c r="AI33" s="332"/>
      <c r="AJ33" s="333"/>
      <c r="AK33" s="330"/>
      <c r="AL33" s="330"/>
      <c r="AM33" s="331"/>
      <c r="AN33" s="327"/>
      <c r="AO33" s="328" t="s">
        <v>459</v>
      </c>
      <c r="AP33" s="323"/>
      <c r="AQ33" s="323"/>
      <c r="AR33" s="324"/>
      <c r="AS33" s="327"/>
      <c r="AT33" s="328" t="s">
        <v>460</v>
      </c>
      <c r="AU33" s="323"/>
      <c r="AV33" s="323"/>
      <c r="AW33" s="324"/>
      <c r="AX33" s="332"/>
      <c r="AY33" s="333"/>
      <c r="AZ33" s="330"/>
      <c r="BA33" s="330"/>
      <c r="BB33" s="331"/>
      <c r="BC33" s="327"/>
      <c r="BD33" s="328" t="s">
        <v>461</v>
      </c>
      <c r="BE33" s="323"/>
      <c r="BF33" s="323"/>
      <c r="BG33" s="324"/>
      <c r="BH33" s="14"/>
    </row>
    <row r="34" ht="13.5" customHeight="1">
      <c r="A34" s="6"/>
      <c r="B34" s="328" t="s">
        <v>461</v>
      </c>
      <c r="C34" s="323"/>
      <c r="D34" s="324"/>
      <c r="E34" s="332"/>
      <c r="F34" s="333"/>
      <c r="G34" s="330"/>
      <c r="H34" s="330"/>
      <c r="I34" s="331"/>
      <c r="J34" s="332"/>
      <c r="K34" s="333"/>
      <c r="L34" s="330"/>
      <c r="M34" s="330"/>
      <c r="N34" s="331"/>
      <c r="O34" s="332"/>
      <c r="P34" s="333"/>
      <c r="Q34" s="330"/>
      <c r="R34" s="330"/>
      <c r="S34" s="331"/>
      <c r="T34" s="332"/>
      <c r="U34" s="333"/>
      <c r="V34" s="330"/>
      <c r="W34" s="330"/>
      <c r="X34" s="331"/>
      <c r="Y34" s="327"/>
      <c r="Z34" s="328" t="s">
        <v>461</v>
      </c>
      <c r="AA34" s="323"/>
      <c r="AB34" s="323"/>
      <c r="AC34" s="324"/>
      <c r="AD34" s="332"/>
      <c r="AE34" s="333"/>
      <c r="AF34" s="330"/>
      <c r="AG34" s="330"/>
      <c r="AH34" s="331"/>
      <c r="AI34" s="332"/>
      <c r="AJ34" s="333"/>
      <c r="AK34" s="330"/>
      <c r="AL34" s="330"/>
      <c r="AM34" s="331"/>
      <c r="AN34" s="327"/>
      <c r="AO34" s="328" t="s">
        <v>460</v>
      </c>
      <c r="AP34" s="323"/>
      <c r="AQ34" s="323"/>
      <c r="AR34" s="324"/>
      <c r="AS34" s="327"/>
      <c r="AT34" s="328" t="s">
        <v>461</v>
      </c>
      <c r="AU34" s="323"/>
      <c r="AV34" s="323"/>
      <c r="AW34" s="324"/>
      <c r="AX34" s="332"/>
      <c r="AY34" s="333"/>
      <c r="AZ34" s="330"/>
      <c r="BA34" s="330"/>
      <c r="BB34" s="331"/>
      <c r="BC34" s="332"/>
      <c r="BD34" s="333"/>
      <c r="BE34" s="330"/>
      <c r="BF34" s="330"/>
      <c r="BG34" s="331"/>
      <c r="BH34" s="14"/>
    </row>
    <row r="35" ht="13.5" customHeight="1">
      <c r="B35" s="333"/>
      <c r="C35" s="330"/>
      <c r="D35" s="331"/>
      <c r="E35" s="332"/>
      <c r="F35" s="333"/>
      <c r="G35" s="330"/>
      <c r="H35" s="330"/>
      <c r="I35" s="331"/>
      <c r="J35" s="332"/>
      <c r="K35" s="333"/>
      <c r="L35" s="330"/>
      <c r="M35" s="330"/>
      <c r="N35" s="331"/>
      <c r="O35" s="332"/>
      <c r="P35" s="333"/>
      <c r="Q35" s="330"/>
      <c r="R35" s="330"/>
      <c r="S35" s="331"/>
      <c r="T35" s="332"/>
      <c r="U35" s="333"/>
      <c r="V35" s="330"/>
      <c r="W35" s="330"/>
      <c r="X35" s="331"/>
      <c r="Y35" s="332"/>
      <c r="Z35" s="333"/>
      <c r="AA35" s="330"/>
      <c r="AB35" s="330"/>
      <c r="AC35" s="331"/>
      <c r="AD35" s="332"/>
      <c r="AE35" s="333"/>
      <c r="AF35" s="330"/>
      <c r="AG35" s="330"/>
      <c r="AH35" s="331"/>
      <c r="AI35" s="332"/>
      <c r="AJ35" s="333"/>
      <c r="AK35" s="330"/>
      <c r="AL35" s="330"/>
      <c r="AM35" s="331"/>
      <c r="AN35" s="327"/>
      <c r="AO35" s="328" t="s">
        <v>461</v>
      </c>
      <c r="AP35" s="323"/>
      <c r="AQ35" s="323"/>
      <c r="AR35" s="324"/>
      <c r="AS35" s="332"/>
      <c r="AT35" s="333"/>
      <c r="AU35" s="330"/>
      <c r="AV35" s="330"/>
      <c r="AW35" s="331"/>
      <c r="AX35" s="332"/>
      <c r="AY35" s="333"/>
      <c r="AZ35" s="330"/>
      <c r="BA35" s="330"/>
      <c r="BB35" s="331"/>
      <c r="BC35" s="332"/>
      <c r="BD35" s="333"/>
      <c r="BE35" s="330"/>
      <c r="BF35" s="330"/>
      <c r="BG35" s="331"/>
      <c r="BH35" s="14"/>
    </row>
    <row r="36" ht="13.5" customHeight="1">
      <c r="B36" s="333"/>
      <c r="C36" s="330"/>
      <c r="D36" s="331"/>
      <c r="E36" s="332"/>
      <c r="F36" s="333"/>
      <c r="G36" s="330"/>
      <c r="H36" s="330"/>
      <c r="I36" s="331"/>
      <c r="J36" s="332"/>
      <c r="K36" s="333"/>
      <c r="L36" s="330"/>
      <c r="M36" s="330"/>
      <c r="N36" s="331"/>
      <c r="O36" s="332"/>
      <c r="P36" s="333"/>
      <c r="Q36" s="330"/>
      <c r="R36" s="330"/>
      <c r="S36" s="331"/>
      <c r="T36" s="332"/>
      <c r="U36" s="333"/>
      <c r="V36" s="330"/>
      <c r="W36" s="330"/>
      <c r="X36" s="331"/>
      <c r="Y36" s="332"/>
      <c r="Z36" s="333"/>
      <c r="AA36" s="330"/>
      <c r="AB36" s="330"/>
      <c r="AC36" s="331"/>
      <c r="AD36" s="332"/>
      <c r="AE36" s="333"/>
      <c r="AF36" s="330"/>
      <c r="AG36" s="330"/>
      <c r="AH36" s="331"/>
      <c r="AI36" s="332"/>
      <c r="AJ36" s="333"/>
      <c r="AK36" s="330"/>
      <c r="AL36" s="330"/>
      <c r="AM36" s="331"/>
      <c r="AN36" s="332"/>
      <c r="AO36" s="333"/>
      <c r="AP36" s="330"/>
      <c r="AQ36" s="330"/>
      <c r="AR36" s="331"/>
      <c r="AS36" s="332"/>
      <c r="AT36" s="333"/>
      <c r="AU36" s="330"/>
      <c r="AV36" s="330"/>
      <c r="AW36" s="331"/>
      <c r="AX36" s="332"/>
      <c r="AY36" s="333"/>
      <c r="AZ36" s="330"/>
      <c r="BA36" s="330"/>
      <c r="BB36" s="331"/>
      <c r="BC36" s="332"/>
      <c r="BD36" s="333"/>
      <c r="BE36" s="330"/>
      <c r="BF36" s="330"/>
      <c r="BG36" s="331"/>
      <c r="BH36" s="14"/>
    </row>
    <row r="37" ht="13.5" customHeight="1">
      <c r="B37" s="333"/>
      <c r="C37" s="330"/>
      <c r="D37" s="331"/>
      <c r="E37" s="332"/>
      <c r="F37" s="333"/>
      <c r="G37" s="330"/>
      <c r="H37" s="330"/>
      <c r="I37" s="331"/>
      <c r="J37" s="332"/>
      <c r="K37" s="333"/>
      <c r="L37" s="330"/>
      <c r="M37" s="330"/>
      <c r="N37" s="331"/>
      <c r="O37" s="332"/>
      <c r="P37" s="333"/>
      <c r="Q37" s="330"/>
      <c r="R37" s="330"/>
      <c r="S37" s="331"/>
      <c r="T37" s="332"/>
      <c r="U37" s="333"/>
      <c r="V37" s="330"/>
      <c r="W37" s="330"/>
      <c r="X37" s="331"/>
      <c r="Y37" s="332"/>
      <c r="Z37" s="333"/>
      <c r="AA37" s="330"/>
      <c r="AB37" s="330"/>
      <c r="AC37" s="331"/>
      <c r="AD37" s="332"/>
      <c r="AE37" s="333"/>
      <c r="AF37" s="330"/>
      <c r="AG37" s="330"/>
      <c r="AH37" s="331"/>
      <c r="AI37" s="332"/>
      <c r="AJ37" s="333"/>
      <c r="AK37" s="330"/>
      <c r="AL37" s="330"/>
      <c r="AM37" s="331"/>
      <c r="AN37" s="332"/>
      <c r="AO37" s="333"/>
      <c r="AP37" s="330"/>
      <c r="AQ37" s="330"/>
      <c r="AR37" s="331"/>
      <c r="AS37" s="332"/>
      <c r="AT37" s="333"/>
      <c r="AU37" s="330"/>
      <c r="AV37" s="330"/>
      <c r="AW37" s="331"/>
      <c r="AX37" s="332"/>
      <c r="AY37" s="333"/>
      <c r="AZ37" s="330"/>
      <c r="BA37" s="330"/>
      <c r="BB37" s="331"/>
      <c r="BC37" s="332"/>
      <c r="BD37" s="333"/>
      <c r="BE37" s="330"/>
      <c r="BF37" s="330"/>
      <c r="BG37" s="331"/>
      <c r="BH37" s="14"/>
    </row>
    <row r="38" ht="13.5" customHeight="1">
      <c r="B38" s="333"/>
      <c r="C38" s="330"/>
      <c r="D38" s="331"/>
      <c r="E38" s="332"/>
      <c r="F38" s="333"/>
      <c r="G38" s="330"/>
      <c r="H38" s="330"/>
      <c r="I38" s="331"/>
      <c r="J38" s="332"/>
      <c r="K38" s="333"/>
      <c r="L38" s="330"/>
      <c r="M38" s="330"/>
      <c r="N38" s="331"/>
      <c r="O38" s="332"/>
      <c r="P38" s="333"/>
      <c r="Q38" s="330"/>
      <c r="R38" s="330"/>
      <c r="S38" s="331"/>
      <c r="T38" s="332"/>
      <c r="U38" s="333"/>
      <c r="V38" s="330"/>
      <c r="W38" s="330"/>
      <c r="X38" s="331"/>
      <c r="Y38" s="332"/>
      <c r="Z38" s="333"/>
      <c r="AA38" s="330"/>
      <c r="AB38" s="330"/>
      <c r="AC38" s="331"/>
      <c r="AD38" s="332"/>
      <c r="AE38" s="333"/>
      <c r="AF38" s="330"/>
      <c r="AG38" s="330"/>
      <c r="AH38" s="331"/>
      <c r="AI38" s="332"/>
      <c r="AJ38" s="333"/>
      <c r="AK38" s="330"/>
      <c r="AL38" s="330"/>
      <c r="AM38" s="331"/>
      <c r="AN38" s="332"/>
      <c r="AO38" s="333"/>
      <c r="AP38" s="330"/>
      <c r="AQ38" s="330"/>
      <c r="AR38" s="331"/>
      <c r="AS38" s="332"/>
      <c r="AT38" s="333"/>
      <c r="AU38" s="330"/>
      <c r="AV38" s="330"/>
      <c r="AW38" s="331"/>
      <c r="AX38" s="332"/>
      <c r="AY38" s="333"/>
      <c r="AZ38" s="330"/>
      <c r="BA38" s="330"/>
      <c r="BB38" s="331"/>
      <c r="BC38" s="332"/>
      <c r="BD38" s="333"/>
      <c r="BE38" s="330"/>
      <c r="BF38" s="330"/>
      <c r="BG38" s="331"/>
      <c r="BH38" s="14"/>
    </row>
    <row r="39" ht="13.5" customHeight="1">
      <c r="B39" s="333"/>
      <c r="C39" s="330"/>
      <c r="D39" s="331"/>
      <c r="E39" s="332"/>
      <c r="F39" s="333"/>
      <c r="G39" s="330"/>
      <c r="H39" s="330"/>
      <c r="I39" s="331"/>
      <c r="J39" s="332"/>
      <c r="K39" s="333"/>
      <c r="L39" s="330"/>
      <c r="M39" s="330"/>
      <c r="N39" s="331"/>
      <c r="O39" s="332"/>
      <c r="P39" s="333"/>
      <c r="Q39" s="330"/>
      <c r="R39" s="330"/>
      <c r="S39" s="331"/>
      <c r="T39" s="332"/>
      <c r="U39" s="333"/>
      <c r="V39" s="330"/>
      <c r="W39" s="330"/>
      <c r="X39" s="331"/>
      <c r="Y39" s="332"/>
      <c r="Z39" s="333"/>
      <c r="AA39" s="330"/>
      <c r="AB39" s="330"/>
      <c r="AC39" s="331"/>
      <c r="AD39" s="332"/>
      <c r="AE39" s="333"/>
      <c r="AF39" s="330"/>
      <c r="AG39" s="330"/>
      <c r="AH39" s="331"/>
      <c r="AI39" s="332"/>
      <c r="AJ39" s="333"/>
      <c r="AK39" s="330"/>
      <c r="AL39" s="330"/>
      <c r="AM39" s="331"/>
      <c r="AN39" s="332"/>
      <c r="AO39" s="333"/>
      <c r="AP39" s="330"/>
      <c r="AQ39" s="330"/>
      <c r="AR39" s="331"/>
      <c r="AS39" s="332"/>
      <c r="AT39" s="333"/>
      <c r="AU39" s="330"/>
      <c r="AV39" s="330"/>
      <c r="AW39" s="331"/>
      <c r="AX39" s="332"/>
      <c r="AY39" s="333"/>
      <c r="AZ39" s="330"/>
      <c r="BA39" s="330"/>
      <c r="BB39" s="331"/>
      <c r="BC39" s="332"/>
      <c r="BD39" s="333"/>
      <c r="BE39" s="330"/>
      <c r="BF39" s="330"/>
      <c r="BG39" s="331"/>
      <c r="BH39" s="14"/>
    </row>
    <row r="40" ht="13.5" customHeight="1">
      <c r="B40" s="333"/>
      <c r="C40" s="330"/>
      <c r="D40" s="331"/>
      <c r="E40" s="332"/>
      <c r="F40" s="333"/>
      <c r="G40" s="330"/>
      <c r="H40" s="330"/>
      <c r="I40" s="331"/>
      <c r="J40" s="332"/>
      <c r="K40" s="333"/>
      <c r="L40" s="330"/>
      <c r="M40" s="330"/>
      <c r="N40" s="331"/>
      <c r="O40" s="332"/>
      <c r="P40" s="333"/>
      <c r="Q40" s="330"/>
      <c r="R40" s="330"/>
      <c r="S40" s="331"/>
      <c r="T40" s="332"/>
      <c r="U40" s="333"/>
      <c r="V40" s="330"/>
      <c r="W40" s="330"/>
      <c r="X40" s="331"/>
      <c r="Y40" s="332"/>
      <c r="Z40" s="333"/>
      <c r="AA40" s="330"/>
      <c r="AB40" s="330"/>
      <c r="AC40" s="331"/>
      <c r="AD40" s="332"/>
      <c r="AE40" s="333"/>
      <c r="AF40" s="330"/>
      <c r="AG40" s="330"/>
      <c r="AH40" s="331"/>
      <c r="AI40" s="332"/>
      <c r="AJ40" s="333"/>
      <c r="AK40" s="330"/>
      <c r="AL40" s="330"/>
      <c r="AM40" s="331"/>
      <c r="AN40" s="332"/>
      <c r="AO40" s="333"/>
      <c r="AP40" s="330"/>
      <c r="AQ40" s="330"/>
      <c r="AR40" s="331"/>
      <c r="AS40" s="332"/>
      <c r="AT40" s="333"/>
      <c r="AU40" s="330"/>
      <c r="AV40" s="330"/>
      <c r="AW40" s="331"/>
      <c r="AX40" s="332"/>
      <c r="AY40" s="333"/>
      <c r="AZ40" s="330"/>
      <c r="BA40" s="330"/>
      <c r="BB40" s="331"/>
      <c r="BC40" s="332"/>
      <c r="BD40" s="333"/>
      <c r="BE40" s="330"/>
      <c r="BF40" s="330"/>
      <c r="BG40" s="331"/>
      <c r="BH40" s="14"/>
    </row>
    <row r="41" ht="13.5" customHeight="1">
      <c r="A41" s="6"/>
      <c r="B41" s="326" t="s">
        <v>462</v>
      </c>
      <c r="C41" s="323"/>
      <c r="D41" s="324"/>
      <c r="E41" s="327"/>
      <c r="F41" s="326" t="s">
        <v>462</v>
      </c>
      <c r="G41" s="323"/>
      <c r="H41" s="323"/>
      <c r="I41" s="324"/>
      <c r="J41" s="327"/>
      <c r="K41" s="326" t="s">
        <v>462</v>
      </c>
      <c r="L41" s="323"/>
      <c r="M41" s="323"/>
      <c r="N41" s="324"/>
      <c r="O41" s="327"/>
      <c r="P41" s="326" t="s">
        <v>462</v>
      </c>
      <c r="Q41" s="323"/>
      <c r="R41" s="323"/>
      <c r="S41" s="324"/>
      <c r="T41" s="327"/>
      <c r="U41" s="326" t="s">
        <v>462</v>
      </c>
      <c r="V41" s="323"/>
      <c r="W41" s="323"/>
      <c r="X41" s="324"/>
      <c r="Y41" s="327"/>
      <c r="Z41" s="326" t="s">
        <v>462</v>
      </c>
      <c r="AA41" s="323"/>
      <c r="AB41" s="323"/>
      <c r="AC41" s="324"/>
      <c r="AD41" s="327"/>
      <c r="AE41" s="326" t="s">
        <v>462</v>
      </c>
      <c r="AF41" s="323"/>
      <c r="AG41" s="323"/>
      <c r="AH41" s="324"/>
      <c r="AI41" s="327"/>
      <c r="AJ41" s="326" t="s">
        <v>462</v>
      </c>
      <c r="AK41" s="323"/>
      <c r="AL41" s="323"/>
      <c r="AM41" s="324"/>
      <c r="AN41" s="327"/>
      <c r="AO41" s="326" t="s">
        <v>462</v>
      </c>
      <c r="AP41" s="323"/>
      <c r="AQ41" s="323"/>
      <c r="AR41" s="324"/>
      <c r="AS41" s="327"/>
      <c r="AT41" s="326" t="s">
        <v>462</v>
      </c>
      <c r="AU41" s="323"/>
      <c r="AV41" s="323"/>
      <c r="AW41" s="324"/>
      <c r="AX41" s="327"/>
      <c r="AY41" s="326" t="s">
        <v>462</v>
      </c>
      <c r="AZ41" s="323"/>
      <c r="BA41" s="323"/>
      <c r="BB41" s="324"/>
      <c r="BC41" s="327"/>
      <c r="BD41" s="326" t="s">
        <v>462</v>
      </c>
      <c r="BE41" s="323"/>
      <c r="BF41" s="323"/>
      <c r="BG41" s="324"/>
      <c r="BH41" s="14"/>
    </row>
    <row r="42" ht="13.5" customHeight="1">
      <c r="A42" s="6"/>
      <c r="B42" s="328" t="s">
        <v>463</v>
      </c>
      <c r="C42" s="323"/>
      <c r="D42" s="324"/>
      <c r="E42" s="327"/>
      <c r="F42" s="328" t="s">
        <v>464</v>
      </c>
      <c r="G42" s="323"/>
      <c r="H42" s="323"/>
      <c r="I42" s="324"/>
      <c r="J42" s="327"/>
      <c r="K42" s="328" t="s">
        <v>464</v>
      </c>
      <c r="L42" s="323"/>
      <c r="M42" s="323"/>
      <c r="N42" s="324"/>
      <c r="O42" s="327"/>
      <c r="P42" s="328" t="s">
        <v>465</v>
      </c>
      <c r="Q42" s="323"/>
      <c r="R42" s="323"/>
      <c r="S42" s="324"/>
      <c r="T42" s="327"/>
      <c r="U42" s="328" t="s">
        <v>464</v>
      </c>
      <c r="V42" s="323"/>
      <c r="W42" s="323"/>
      <c r="X42" s="324"/>
      <c r="Y42" s="327"/>
      <c r="Z42" s="328" t="s">
        <v>464</v>
      </c>
      <c r="AA42" s="323"/>
      <c r="AB42" s="323"/>
      <c r="AC42" s="324"/>
      <c r="AD42" s="327"/>
      <c r="AE42" s="328" t="s">
        <v>466</v>
      </c>
      <c r="AF42" s="323"/>
      <c r="AG42" s="323"/>
      <c r="AH42" s="324"/>
      <c r="AI42" s="332"/>
      <c r="AJ42" s="333"/>
      <c r="AK42" s="330"/>
      <c r="AL42" s="330"/>
      <c r="AM42" s="331"/>
      <c r="AN42" s="327"/>
      <c r="AO42" s="328" t="s">
        <v>465</v>
      </c>
      <c r="AP42" s="323"/>
      <c r="AQ42" s="323"/>
      <c r="AR42" s="324"/>
      <c r="AS42" s="327"/>
      <c r="AT42" s="328" t="s">
        <v>464</v>
      </c>
      <c r="AU42" s="323"/>
      <c r="AV42" s="323"/>
      <c r="AW42" s="324"/>
      <c r="AX42" s="327"/>
      <c r="AY42" s="328" t="s">
        <v>464</v>
      </c>
      <c r="AZ42" s="323"/>
      <c r="BA42" s="323"/>
      <c r="BB42" s="324"/>
      <c r="BC42" s="327"/>
      <c r="BD42" s="328" t="s">
        <v>464</v>
      </c>
      <c r="BE42" s="323"/>
      <c r="BF42" s="323"/>
      <c r="BG42" s="324"/>
      <c r="BH42" s="14"/>
    </row>
    <row r="43" ht="13.5" customHeight="1">
      <c r="A43" s="6"/>
      <c r="B43" s="328" t="s">
        <v>465</v>
      </c>
      <c r="C43" s="323"/>
      <c r="D43" s="324"/>
      <c r="E43" s="327"/>
      <c r="F43" s="328" t="s">
        <v>467</v>
      </c>
      <c r="G43" s="323"/>
      <c r="H43" s="323"/>
      <c r="I43" s="324"/>
      <c r="J43" s="327"/>
      <c r="K43" s="328" t="s">
        <v>467</v>
      </c>
      <c r="L43" s="323"/>
      <c r="M43" s="323"/>
      <c r="N43" s="324"/>
      <c r="O43" s="327"/>
      <c r="P43" s="328" t="s">
        <v>464</v>
      </c>
      <c r="Q43" s="323"/>
      <c r="R43" s="323"/>
      <c r="S43" s="324"/>
      <c r="T43" s="327"/>
      <c r="U43" s="328" t="s">
        <v>467</v>
      </c>
      <c r="V43" s="323"/>
      <c r="W43" s="323"/>
      <c r="X43" s="324"/>
      <c r="Y43" s="327"/>
      <c r="Z43" s="328" t="s">
        <v>467</v>
      </c>
      <c r="AA43" s="323"/>
      <c r="AB43" s="323"/>
      <c r="AC43" s="324"/>
      <c r="AD43" s="327"/>
      <c r="AE43" s="328" t="s">
        <v>463</v>
      </c>
      <c r="AF43" s="323"/>
      <c r="AG43" s="323"/>
      <c r="AH43" s="324"/>
      <c r="AI43" s="332"/>
      <c r="AJ43" s="333"/>
      <c r="AK43" s="330"/>
      <c r="AL43" s="330"/>
      <c r="AM43" s="331"/>
      <c r="AN43" s="327"/>
      <c r="AO43" s="328" t="s">
        <v>464</v>
      </c>
      <c r="AP43" s="323"/>
      <c r="AQ43" s="323"/>
      <c r="AR43" s="324"/>
      <c r="AS43" s="327"/>
      <c r="AT43" s="328" t="s">
        <v>467</v>
      </c>
      <c r="AU43" s="323"/>
      <c r="AV43" s="323"/>
      <c r="AW43" s="324"/>
      <c r="AX43" s="327"/>
      <c r="AY43" s="328" t="s">
        <v>467</v>
      </c>
      <c r="AZ43" s="323"/>
      <c r="BA43" s="323"/>
      <c r="BB43" s="324"/>
      <c r="BC43" s="327"/>
      <c r="BD43" s="328" t="s">
        <v>467</v>
      </c>
      <c r="BE43" s="323"/>
      <c r="BF43" s="323"/>
      <c r="BG43" s="324"/>
      <c r="BH43" s="14"/>
    </row>
    <row r="44" ht="13.5" customHeight="1">
      <c r="A44" s="6"/>
      <c r="B44" s="328" t="s">
        <v>464</v>
      </c>
      <c r="C44" s="323"/>
      <c r="D44" s="324"/>
      <c r="E44" s="327"/>
      <c r="F44" s="328" t="s">
        <v>468</v>
      </c>
      <c r="G44" s="323"/>
      <c r="H44" s="323"/>
      <c r="I44" s="324"/>
      <c r="J44" s="327"/>
      <c r="K44" s="328" t="s">
        <v>468</v>
      </c>
      <c r="L44" s="323"/>
      <c r="M44" s="323"/>
      <c r="N44" s="324"/>
      <c r="O44" s="327"/>
      <c r="P44" s="328" t="s">
        <v>467</v>
      </c>
      <c r="Q44" s="323"/>
      <c r="R44" s="323"/>
      <c r="S44" s="324"/>
      <c r="T44" s="327"/>
      <c r="U44" s="328" t="s">
        <v>468</v>
      </c>
      <c r="V44" s="323"/>
      <c r="W44" s="323"/>
      <c r="X44" s="324"/>
      <c r="Y44" s="327"/>
      <c r="Z44" s="328" t="s">
        <v>468</v>
      </c>
      <c r="AA44" s="323"/>
      <c r="AB44" s="323"/>
      <c r="AC44" s="324"/>
      <c r="AD44" s="327"/>
      <c r="AE44" s="328" t="s">
        <v>465</v>
      </c>
      <c r="AF44" s="323"/>
      <c r="AG44" s="323"/>
      <c r="AH44" s="324"/>
      <c r="AI44" s="332"/>
      <c r="AJ44" s="333"/>
      <c r="AK44" s="330"/>
      <c r="AL44" s="330"/>
      <c r="AM44" s="331"/>
      <c r="AN44" s="327"/>
      <c r="AO44" s="328" t="s">
        <v>467</v>
      </c>
      <c r="AP44" s="323"/>
      <c r="AQ44" s="323"/>
      <c r="AR44" s="324"/>
      <c r="AS44" s="327"/>
      <c r="AT44" s="328" t="s">
        <v>468</v>
      </c>
      <c r="AU44" s="323"/>
      <c r="AV44" s="323"/>
      <c r="AW44" s="324"/>
      <c r="AX44" s="327"/>
      <c r="AY44" s="328" t="s">
        <v>468</v>
      </c>
      <c r="AZ44" s="323"/>
      <c r="BA44" s="323"/>
      <c r="BB44" s="324"/>
      <c r="BC44" s="327"/>
      <c r="BD44" s="328" t="s">
        <v>468</v>
      </c>
      <c r="BE44" s="323"/>
      <c r="BF44" s="323"/>
      <c r="BG44" s="324"/>
      <c r="BH44" s="14"/>
    </row>
    <row r="45" ht="13.5" customHeight="1">
      <c r="A45" s="6"/>
      <c r="B45" s="328" t="s">
        <v>467</v>
      </c>
      <c r="C45" s="323"/>
      <c r="D45" s="324"/>
      <c r="E45" s="327"/>
      <c r="F45" s="328" t="s">
        <v>469</v>
      </c>
      <c r="G45" s="323"/>
      <c r="H45" s="323"/>
      <c r="I45" s="324"/>
      <c r="J45" s="327"/>
      <c r="K45" s="328" t="s">
        <v>469</v>
      </c>
      <c r="L45" s="323"/>
      <c r="M45" s="323"/>
      <c r="N45" s="324"/>
      <c r="O45" s="327"/>
      <c r="P45" s="328" t="s">
        <v>468</v>
      </c>
      <c r="Q45" s="323"/>
      <c r="R45" s="323"/>
      <c r="S45" s="324"/>
      <c r="T45" s="327"/>
      <c r="U45" s="328" t="s">
        <v>469</v>
      </c>
      <c r="V45" s="323"/>
      <c r="W45" s="323"/>
      <c r="X45" s="324"/>
      <c r="Y45" s="327"/>
      <c r="Z45" s="328" t="s">
        <v>469</v>
      </c>
      <c r="AA45" s="323"/>
      <c r="AB45" s="323"/>
      <c r="AC45" s="324"/>
      <c r="AD45" s="327"/>
      <c r="AE45" s="328" t="s">
        <v>464</v>
      </c>
      <c r="AF45" s="323"/>
      <c r="AG45" s="323"/>
      <c r="AH45" s="324"/>
      <c r="AI45" s="332"/>
      <c r="AJ45" s="333"/>
      <c r="AK45" s="330"/>
      <c r="AL45" s="330"/>
      <c r="AM45" s="331"/>
      <c r="AN45" s="327"/>
      <c r="AO45" s="328" t="s">
        <v>468</v>
      </c>
      <c r="AP45" s="323"/>
      <c r="AQ45" s="323"/>
      <c r="AR45" s="324"/>
      <c r="AS45" s="327"/>
      <c r="AT45" s="328" t="s">
        <v>469</v>
      </c>
      <c r="AU45" s="323"/>
      <c r="AV45" s="323"/>
      <c r="AW45" s="324"/>
      <c r="AX45" s="327"/>
      <c r="AY45" s="328" t="s">
        <v>469</v>
      </c>
      <c r="AZ45" s="323"/>
      <c r="BA45" s="323"/>
      <c r="BB45" s="324"/>
      <c r="BC45" s="327"/>
      <c r="BD45" s="328" t="s">
        <v>469</v>
      </c>
      <c r="BE45" s="323"/>
      <c r="BF45" s="323"/>
      <c r="BG45" s="324"/>
      <c r="BH45" s="14"/>
    </row>
    <row r="46" ht="13.5" customHeight="1">
      <c r="A46" s="6"/>
      <c r="B46" s="328" t="s">
        <v>468</v>
      </c>
      <c r="C46" s="323"/>
      <c r="D46" s="324"/>
      <c r="E46" s="332"/>
      <c r="F46" s="333"/>
      <c r="G46" s="330"/>
      <c r="H46" s="330"/>
      <c r="I46" s="331"/>
      <c r="J46" s="332"/>
      <c r="K46" s="333"/>
      <c r="L46" s="330"/>
      <c r="M46" s="330"/>
      <c r="N46" s="331"/>
      <c r="O46" s="327"/>
      <c r="P46" s="328" t="s">
        <v>469</v>
      </c>
      <c r="Q46" s="323"/>
      <c r="R46" s="323"/>
      <c r="S46" s="324"/>
      <c r="T46" s="332"/>
      <c r="U46" s="333"/>
      <c r="V46" s="330"/>
      <c r="W46" s="330"/>
      <c r="X46" s="331"/>
      <c r="Y46" s="332"/>
      <c r="Z46" s="333"/>
      <c r="AA46" s="330"/>
      <c r="AB46" s="330"/>
      <c r="AC46" s="331"/>
      <c r="AD46" s="327"/>
      <c r="AE46" s="328" t="s">
        <v>467</v>
      </c>
      <c r="AF46" s="323"/>
      <c r="AG46" s="323"/>
      <c r="AH46" s="324"/>
      <c r="AI46" s="332"/>
      <c r="AJ46" s="333"/>
      <c r="AK46" s="330"/>
      <c r="AL46" s="330"/>
      <c r="AM46" s="331"/>
      <c r="AN46" s="327"/>
      <c r="AO46" s="328" t="s">
        <v>469</v>
      </c>
      <c r="AP46" s="323"/>
      <c r="AQ46" s="323"/>
      <c r="AR46" s="324"/>
      <c r="AS46" s="332"/>
      <c r="AT46" s="333"/>
      <c r="AU46" s="330"/>
      <c r="AV46" s="330"/>
      <c r="AW46" s="331"/>
      <c r="AX46" s="332"/>
      <c r="AY46" s="333"/>
      <c r="AZ46" s="330"/>
      <c r="BA46" s="330"/>
      <c r="BB46" s="331"/>
      <c r="BC46" s="332"/>
      <c r="BD46" s="333"/>
      <c r="BE46" s="330"/>
      <c r="BF46" s="330"/>
      <c r="BG46" s="331"/>
      <c r="BH46" s="14"/>
    </row>
    <row r="47" ht="13.5" customHeight="1">
      <c r="A47" s="6"/>
      <c r="B47" s="328" t="s">
        <v>469</v>
      </c>
      <c r="C47" s="323"/>
      <c r="D47" s="324"/>
      <c r="E47" s="332"/>
      <c r="F47" s="333"/>
      <c r="G47" s="330"/>
      <c r="H47" s="330"/>
      <c r="I47" s="331"/>
      <c r="J47" s="332"/>
      <c r="K47" s="333"/>
      <c r="L47" s="330"/>
      <c r="M47" s="330"/>
      <c r="N47" s="331"/>
      <c r="O47" s="332"/>
      <c r="P47" s="333"/>
      <c r="Q47" s="330"/>
      <c r="R47" s="330"/>
      <c r="S47" s="331"/>
      <c r="T47" s="332"/>
      <c r="U47" s="333"/>
      <c r="V47" s="330"/>
      <c r="W47" s="330"/>
      <c r="X47" s="331"/>
      <c r="Y47" s="332"/>
      <c r="Z47" s="333"/>
      <c r="AA47" s="330"/>
      <c r="AB47" s="330"/>
      <c r="AC47" s="331"/>
      <c r="AD47" s="327"/>
      <c r="AE47" s="328" t="s">
        <v>468</v>
      </c>
      <c r="AF47" s="323"/>
      <c r="AG47" s="323"/>
      <c r="AH47" s="324"/>
      <c r="AI47" s="332"/>
      <c r="AJ47" s="333"/>
      <c r="AK47" s="330"/>
      <c r="AL47" s="330"/>
      <c r="AM47" s="331"/>
      <c r="AN47" s="332"/>
      <c r="AO47" s="333"/>
      <c r="AP47" s="330"/>
      <c r="AQ47" s="330"/>
      <c r="AR47" s="331"/>
      <c r="AS47" s="332"/>
      <c r="AT47" s="333"/>
      <c r="AU47" s="330"/>
      <c r="AV47" s="330"/>
      <c r="AW47" s="331"/>
      <c r="AX47" s="332"/>
      <c r="AY47" s="333"/>
      <c r="AZ47" s="330"/>
      <c r="BA47" s="330"/>
      <c r="BB47" s="331"/>
      <c r="BC47" s="332"/>
      <c r="BD47" s="333"/>
      <c r="BE47" s="330"/>
      <c r="BF47" s="330"/>
      <c r="BG47" s="331"/>
      <c r="BH47" s="14"/>
    </row>
    <row r="48" ht="13.5" customHeight="1">
      <c r="B48" s="333"/>
      <c r="C48" s="330"/>
      <c r="D48" s="331"/>
      <c r="E48" s="332"/>
      <c r="F48" s="333"/>
      <c r="G48" s="330"/>
      <c r="H48" s="330"/>
      <c r="I48" s="331"/>
      <c r="J48" s="332"/>
      <c r="K48" s="333"/>
      <c r="L48" s="330"/>
      <c r="M48" s="330"/>
      <c r="N48" s="331"/>
      <c r="O48" s="332"/>
      <c r="P48" s="333"/>
      <c r="Q48" s="330"/>
      <c r="R48" s="330"/>
      <c r="S48" s="331"/>
      <c r="T48" s="332"/>
      <c r="U48" s="333"/>
      <c r="V48" s="330"/>
      <c r="W48" s="330"/>
      <c r="X48" s="331"/>
      <c r="Y48" s="332"/>
      <c r="Z48" s="333"/>
      <c r="AA48" s="330"/>
      <c r="AB48" s="330"/>
      <c r="AC48" s="331"/>
      <c r="AD48" s="327"/>
      <c r="AE48" s="328" t="s">
        <v>469</v>
      </c>
      <c r="AF48" s="323"/>
      <c r="AG48" s="323"/>
      <c r="AH48" s="324"/>
      <c r="AI48" s="332"/>
      <c r="AJ48" s="333"/>
      <c r="AK48" s="330"/>
      <c r="AL48" s="330"/>
      <c r="AM48" s="331"/>
      <c r="AN48" s="332"/>
      <c r="AO48" s="333"/>
      <c r="AP48" s="330"/>
      <c r="AQ48" s="330"/>
      <c r="AR48" s="331"/>
      <c r="AS48" s="332"/>
      <c r="AT48" s="333"/>
      <c r="AU48" s="330"/>
      <c r="AV48" s="330"/>
      <c r="AW48" s="331"/>
      <c r="AX48" s="332"/>
      <c r="AY48" s="333"/>
      <c r="AZ48" s="330"/>
      <c r="BA48" s="330"/>
      <c r="BB48" s="331"/>
      <c r="BC48" s="332"/>
      <c r="BD48" s="333"/>
      <c r="BE48" s="330"/>
      <c r="BF48" s="330"/>
      <c r="BG48" s="331"/>
      <c r="BH48" s="14"/>
    </row>
    <row r="49" ht="13.5" customHeight="1">
      <c r="B49" s="333"/>
      <c r="C49" s="330"/>
      <c r="D49" s="331"/>
      <c r="E49" s="332"/>
      <c r="F49" s="333"/>
      <c r="G49" s="330"/>
      <c r="H49" s="330"/>
      <c r="I49" s="331"/>
      <c r="J49" s="332"/>
      <c r="K49" s="333"/>
      <c r="L49" s="330"/>
      <c r="M49" s="330"/>
      <c r="N49" s="331"/>
      <c r="O49" s="332"/>
      <c r="P49" s="333"/>
      <c r="Q49" s="330"/>
      <c r="R49" s="330"/>
      <c r="S49" s="331"/>
      <c r="T49" s="332"/>
      <c r="U49" s="333"/>
      <c r="V49" s="330"/>
      <c r="W49" s="330"/>
      <c r="X49" s="331"/>
      <c r="Y49" s="332"/>
      <c r="Z49" s="333"/>
      <c r="AA49" s="330"/>
      <c r="AB49" s="330"/>
      <c r="AC49" s="331"/>
      <c r="AD49" s="332"/>
      <c r="AE49" s="333"/>
      <c r="AF49" s="330"/>
      <c r="AG49" s="330"/>
      <c r="AH49" s="331"/>
      <c r="AI49" s="332"/>
      <c r="AJ49" s="333"/>
      <c r="AK49" s="330"/>
      <c r="AL49" s="330"/>
      <c r="AM49" s="331"/>
      <c r="AN49" s="332"/>
      <c r="AO49" s="333"/>
      <c r="AP49" s="330"/>
      <c r="AQ49" s="330"/>
      <c r="AR49" s="331"/>
      <c r="AS49" s="332"/>
      <c r="AT49" s="333"/>
      <c r="AU49" s="330"/>
      <c r="AV49" s="330"/>
      <c r="AW49" s="331"/>
      <c r="AX49" s="332"/>
      <c r="AY49" s="333"/>
      <c r="AZ49" s="330"/>
      <c r="BA49" s="330"/>
      <c r="BB49" s="331"/>
      <c r="BC49" s="332"/>
      <c r="BD49" s="333"/>
      <c r="BE49" s="330"/>
      <c r="BF49" s="330"/>
      <c r="BG49" s="331"/>
      <c r="BH49" s="14"/>
    </row>
    <row r="50" ht="13.5" customHeight="1">
      <c r="B50" s="333"/>
      <c r="C50" s="330"/>
      <c r="D50" s="331"/>
      <c r="E50" s="332"/>
      <c r="F50" s="333"/>
      <c r="G50" s="330"/>
      <c r="H50" s="330"/>
      <c r="I50" s="331"/>
      <c r="J50" s="332"/>
      <c r="K50" s="333"/>
      <c r="L50" s="330"/>
      <c r="M50" s="330"/>
      <c r="N50" s="331"/>
      <c r="O50" s="332"/>
      <c r="P50" s="333"/>
      <c r="Q50" s="330"/>
      <c r="R50" s="330"/>
      <c r="S50" s="331"/>
      <c r="T50" s="332"/>
      <c r="U50" s="333"/>
      <c r="V50" s="330"/>
      <c r="W50" s="330"/>
      <c r="X50" s="331"/>
      <c r="Y50" s="332"/>
      <c r="Z50" s="333"/>
      <c r="AA50" s="330"/>
      <c r="AB50" s="330"/>
      <c r="AC50" s="331"/>
      <c r="AD50" s="332"/>
      <c r="AE50" s="333"/>
      <c r="AF50" s="330"/>
      <c r="AG50" s="330"/>
      <c r="AH50" s="331"/>
      <c r="AI50" s="332"/>
      <c r="AJ50" s="333"/>
      <c r="AK50" s="330"/>
      <c r="AL50" s="330"/>
      <c r="AM50" s="331"/>
      <c r="AN50" s="332"/>
      <c r="AO50" s="333"/>
      <c r="AP50" s="330"/>
      <c r="AQ50" s="330"/>
      <c r="AR50" s="331"/>
      <c r="AS50" s="332"/>
      <c r="AT50" s="333"/>
      <c r="AU50" s="330"/>
      <c r="AV50" s="330"/>
      <c r="AW50" s="331"/>
      <c r="AX50" s="332"/>
      <c r="AY50" s="333"/>
      <c r="AZ50" s="330"/>
      <c r="BA50" s="330"/>
      <c r="BB50" s="331"/>
      <c r="BC50" s="332"/>
      <c r="BD50" s="333"/>
      <c r="BE50" s="330"/>
      <c r="BF50" s="330"/>
      <c r="BG50" s="331"/>
      <c r="BH50" s="14"/>
    </row>
    <row r="51" ht="13.5" customHeight="1">
      <c r="B51" s="333"/>
      <c r="C51" s="330"/>
      <c r="D51" s="331"/>
      <c r="E51" s="332"/>
      <c r="F51" s="333"/>
      <c r="G51" s="330"/>
      <c r="H51" s="330"/>
      <c r="I51" s="331"/>
      <c r="J51" s="332"/>
      <c r="K51" s="333"/>
      <c r="L51" s="330"/>
      <c r="M51" s="330"/>
      <c r="N51" s="331"/>
      <c r="O51" s="332"/>
      <c r="P51" s="333"/>
      <c r="Q51" s="330"/>
      <c r="R51" s="330"/>
      <c r="S51" s="331"/>
      <c r="T51" s="332"/>
      <c r="U51" s="333"/>
      <c r="V51" s="330"/>
      <c r="W51" s="330"/>
      <c r="X51" s="331"/>
      <c r="Y51" s="332"/>
      <c r="Z51" s="333"/>
      <c r="AA51" s="330"/>
      <c r="AB51" s="330"/>
      <c r="AC51" s="331"/>
      <c r="AD51" s="332"/>
      <c r="AE51" s="333"/>
      <c r="AF51" s="330"/>
      <c r="AG51" s="330"/>
      <c r="AH51" s="331"/>
      <c r="AI51" s="332"/>
      <c r="AJ51" s="333"/>
      <c r="AK51" s="330"/>
      <c r="AL51" s="330"/>
      <c r="AM51" s="331"/>
      <c r="AN51" s="332"/>
      <c r="AO51" s="333"/>
      <c r="AP51" s="330"/>
      <c r="AQ51" s="330"/>
      <c r="AR51" s="331"/>
      <c r="AS51" s="332"/>
      <c r="AT51" s="333"/>
      <c r="AU51" s="330"/>
      <c r="AV51" s="330"/>
      <c r="AW51" s="331"/>
      <c r="AX51" s="332"/>
      <c r="AY51" s="333"/>
      <c r="AZ51" s="330"/>
      <c r="BA51" s="330"/>
      <c r="BB51" s="331"/>
      <c r="BC51" s="332"/>
      <c r="BD51" s="333"/>
      <c r="BE51" s="330"/>
      <c r="BF51" s="330"/>
      <c r="BG51" s="331"/>
      <c r="BH51" s="14"/>
    </row>
    <row r="52" ht="13.5" customHeight="1">
      <c r="A52" s="6"/>
      <c r="B52" s="326" t="s">
        <v>470</v>
      </c>
      <c r="C52" s="323"/>
      <c r="D52" s="324"/>
      <c r="E52" s="327"/>
      <c r="F52" s="326" t="s">
        <v>470</v>
      </c>
      <c r="G52" s="323"/>
      <c r="H52" s="323"/>
      <c r="I52" s="324"/>
      <c r="J52" s="327"/>
      <c r="K52" s="326" t="s">
        <v>470</v>
      </c>
      <c r="L52" s="323"/>
      <c r="M52" s="323"/>
      <c r="N52" s="324"/>
      <c r="O52" s="327"/>
      <c r="P52" s="326" t="s">
        <v>470</v>
      </c>
      <c r="Q52" s="323"/>
      <c r="R52" s="323"/>
      <c r="S52" s="324"/>
      <c r="T52" s="327"/>
      <c r="U52" s="326" t="s">
        <v>470</v>
      </c>
      <c r="V52" s="323"/>
      <c r="W52" s="323"/>
      <c r="X52" s="324"/>
      <c r="Y52" s="327"/>
      <c r="Z52" s="326" t="s">
        <v>470</v>
      </c>
      <c r="AA52" s="323"/>
      <c r="AB52" s="323"/>
      <c r="AC52" s="324"/>
      <c r="AD52" s="327"/>
      <c r="AE52" s="326" t="s">
        <v>470</v>
      </c>
      <c r="AF52" s="323"/>
      <c r="AG52" s="323"/>
      <c r="AH52" s="324"/>
      <c r="AI52" s="327"/>
      <c r="AJ52" s="326" t="s">
        <v>470</v>
      </c>
      <c r="AK52" s="323"/>
      <c r="AL52" s="323"/>
      <c r="AM52" s="324"/>
      <c r="AN52" s="327"/>
      <c r="AO52" s="326" t="s">
        <v>470</v>
      </c>
      <c r="AP52" s="323"/>
      <c r="AQ52" s="323"/>
      <c r="AR52" s="324"/>
      <c r="AS52" s="327"/>
      <c r="AT52" s="326" t="s">
        <v>470</v>
      </c>
      <c r="AU52" s="323"/>
      <c r="AV52" s="323"/>
      <c r="AW52" s="324"/>
      <c r="AX52" s="327"/>
      <c r="AY52" s="326" t="s">
        <v>470</v>
      </c>
      <c r="AZ52" s="323"/>
      <c r="BA52" s="323"/>
      <c r="BB52" s="324"/>
      <c r="BC52" s="327"/>
      <c r="BD52" s="326" t="s">
        <v>470</v>
      </c>
      <c r="BE52" s="323"/>
      <c r="BF52" s="323"/>
      <c r="BG52" s="324"/>
      <c r="BH52" s="14"/>
    </row>
    <row r="53" ht="13.5" customHeight="1">
      <c r="A53" s="6"/>
      <c r="B53" s="328" t="s">
        <v>471</v>
      </c>
      <c r="C53" s="323"/>
      <c r="D53" s="324"/>
      <c r="E53" s="327"/>
      <c r="F53" s="328" t="s">
        <v>472</v>
      </c>
      <c r="G53" s="323"/>
      <c r="H53" s="323"/>
      <c r="I53" s="324"/>
      <c r="J53" s="327"/>
      <c r="K53" s="328" t="s">
        <v>473</v>
      </c>
      <c r="L53" s="323"/>
      <c r="M53" s="323"/>
      <c r="N53" s="324"/>
      <c r="O53" s="327"/>
      <c r="P53" s="328" t="s">
        <v>474</v>
      </c>
      <c r="Q53" s="323"/>
      <c r="R53" s="323"/>
      <c r="S53" s="324"/>
      <c r="T53" s="327"/>
      <c r="U53" s="328" t="s">
        <v>472</v>
      </c>
      <c r="V53" s="323"/>
      <c r="W53" s="323"/>
      <c r="X53" s="324"/>
      <c r="Y53" s="327"/>
      <c r="Z53" s="328" t="s">
        <v>473</v>
      </c>
      <c r="AA53" s="323"/>
      <c r="AB53" s="323"/>
      <c r="AC53" s="324"/>
      <c r="AD53" s="327"/>
      <c r="AE53" s="328" t="s">
        <v>471</v>
      </c>
      <c r="AF53" s="323"/>
      <c r="AG53" s="323"/>
      <c r="AH53" s="324"/>
      <c r="AI53" s="332"/>
      <c r="AJ53" s="333"/>
      <c r="AK53" s="330"/>
      <c r="AL53" s="330"/>
      <c r="AM53" s="331"/>
      <c r="AN53" s="327"/>
      <c r="AO53" s="328" t="s">
        <v>475</v>
      </c>
      <c r="AP53" s="323"/>
      <c r="AQ53" s="323"/>
      <c r="AR53" s="324"/>
      <c r="AS53" s="327"/>
      <c r="AT53" s="328" t="s">
        <v>473</v>
      </c>
      <c r="AU53" s="323"/>
      <c r="AV53" s="323"/>
      <c r="AW53" s="324"/>
      <c r="AX53" s="327"/>
      <c r="AY53" s="328" t="s">
        <v>472</v>
      </c>
      <c r="AZ53" s="323"/>
      <c r="BA53" s="323"/>
      <c r="BB53" s="324"/>
      <c r="BC53" s="327"/>
      <c r="BD53" s="328" t="s">
        <v>475</v>
      </c>
      <c r="BE53" s="323"/>
      <c r="BF53" s="323"/>
      <c r="BG53" s="324"/>
      <c r="BH53" s="14"/>
    </row>
    <row r="54" ht="13.5" customHeight="1">
      <c r="A54" s="6"/>
      <c r="B54" s="328" t="s">
        <v>474</v>
      </c>
      <c r="C54" s="323"/>
      <c r="D54" s="324"/>
      <c r="E54" s="327"/>
      <c r="F54" s="328" t="s">
        <v>473</v>
      </c>
      <c r="G54" s="323"/>
      <c r="H54" s="323"/>
      <c r="I54" s="324"/>
      <c r="J54" s="327"/>
      <c r="K54" s="328" t="s">
        <v>475</v>
      </c>
      <c r="L54" s="323"/>
      <c r="M54" s="323"/>
      <c r="N54" s="324"/>
      <c r="O54" s="327"/>
      <c r="P54" s="328" t="s">
        <v>472</v>
      </c>
      <c r="Q54" s="323"/>
      <c r="R54" s="323"/>
      <c r="S54" s="324"/>
      <c r="T54" s="327"/>
      <c r="U54" s="328" t="s">
        <v>473</v>
      </c>
      <c r="V54" s="323"/>
      <c r="W54" s="323"/>
      <c r="X54" s="324"/>
      <c r="Y54" s="327"/>
      <c r="Z54" s="328" t="s">
        <v>475</v>
      </c>
      <c r="AA54" s="323"/>
      <c r="AB54" s="323"/>
      <c r="AC54" s="324"/>
      <c r="AD54" s="327"/>
      <c r="AE54" s="328" t="s">
        <v>474</v>
      </c>
      <c r="AF54" s="323"/>
      <c r="AG54" s="323"/>
      <c r="AH54" s="324"/>
      <c r="AI54" s="332"/>
      <c r="AJ54" s="333"/>
      <c r="AK54" s="330"/>
      <c r="AL54" s="330"/>
      <c r="AM54" s="331"/>
      <c r="AN54" s="327"/>
      <c r="AO54" s="328" t="s">
        <v>476</v>
      </c>
      <c r="AP54" s="323"/>
      <c r="AQ54" s="323"/>
      <c r="AR54" s="324"/>
      <c r="AS54" s="327"/>
      <c r="AT54" s="328" t="s">
        <v>475</v>
      </c>
      <c r="AU54" s="323"/>
      <c r="AV54" s="323"/>
      <c r="AW54" s="324"/>
      <c r="AX54" s="327"/>
      <c r="AY54" s="328" t="s">
        <v>473</v>
      </c>
      <c r="AZ54" s="323"/>
      <c r="BA54" s="323"/>
      <c r="BB54" s="324"/>
      <c r="BC54" s="327"/>
      <c r="BD54" s="328" t="s">
        <v>476</v>
      </c>
      <c r="BE54" s="323"/>
      <c r="BF54" s="323"/>
      <c r="BG54" s="324"/>
      <c r="BH54" s="14"/>
    </row>
    <row r="55" ht="13.5" customHeight="1">
      <c r="A55" s="6"/>
      <c r="B55" s="328" t="s">
        <v>472</v>
      </c>
      <c r="C55" s="323"/>
      <c r="D55" s="324"/>
      <c r="E55" s="327"/>
      <c r="F55" s="328" t="s">
        <v>475</v>
      </c>
      <c r="G55" s="323"/>
      <c r="H55" s="323"/>
      <c r="I55" s="324"/>
      <c r="J55" s="327"/>
      <c r="K55" s="328" t="s">
        <v>476</v>
      </c>
      <c r="L55" s="323"/>
      <c r="M55" s="323"/>
      <c r="N55" s="324"/>
      <c r="O55" s="327"/>
      <c r="P55" s="328" t="s">
        <v>473</v>
      </c>
      <c r="Q55" s="323"/>
      <c r="R55" s="323"/>
      <c r="S55" s="324"/>
      <c r="T55" s="327"/>
      <c r="U55" s="328" t="s">
        <v>475</v>
      </c>
      <c r="V55" s="323"/>
      <c r="W55" s="323"/>
      <c r="X55" s="324"/>
      <c r="Y55" s="327"/>
      <c r="Z55" s="328" t="s">
        <v>476</v>
      </c>
      <c r="AA55" s="323"/>
      <c r="AB55" s="323"/>
      <c r="AC55" s="324"/>
      <c r="AD55" s="327"/>
      <c r="AE55" s="328" t="s">
        <v>472</v>
      </c>
      <c r="AF55" s="323"/>
      <c r="AG55" s="323"/>
      <c r="AH55" s="324"/>
      <c r="AI55" s="332"/>
      <c r="AJ55" s="333"/>
      <c r="AK55" s="330"/>
      <c r="AL55" s="330"/>
      <c r="AM55" s="331"/>
      <c r="AN55" s="327"/>
      <c r="AO55" s="328" t="s">
        <v>477</v>
      </c>
      <c r="AP55" s="323"/>
      <c r="AQ55" s="323"/>
      <c r="AR55" s="324"/>
      <c r="AS55" s="327"/>
      <c r="AT55" s="328" t="s">
        <v>476</v>
      </c>
      <c r="AU55" s="323"/>
      <c r="AV55" s="323"/>
      <c r="AW55" s="324"/>
      <c r="AX55" s="327"/>
      <c r="AY55" s="328" t="s">
        <v>475</v>
      </c>
      <c r="AZ55" s="323"/>
      <c r="BA55" s="323"/>
      <c r="BB55" s="324"/>
      <c r="BC55" s="327"/>
      <c r="BD55" s="328" t="s">
        <v>477</v>
      </c>
      <c r="BE55" s="323"/>
      <c r="BF55" s="323"/>
      <c r="BG55" s="324"/>
      <c r="BH55" s="14"/>
    </row>
    <row r="56" ht="13.5" customHeight="1">
      <c r="A56" s="6"/>
      <c r="B56" s="328" t="s">
        <v>473</v>
      </c>
      <c r="C56" s="323"/>
      <c r="D56" s="324"/>
      <c r="E56" s="327"/>
      <c r="F56" s="328" t="s">
        <v>476</v>
      </c>
      <c r="G56" s="323"/>
      <c r="H56" s="323"/>
      <c r="I56" s="324"/>
      <c r="J56" s="327"/>
      <c r="K56" s="328" t="s">
        <v>477</v>
      </c>
      <c r="L56" s="323"/>
      <c r="M56" s="323"/>
      <c r="N56" s="324"/>
      <c r="O56" s="327"/>
      <c r="P56" s="328" t="s">
        <v>475</v>
      </c>
      <c r="Q56" s="323"/>
      <c r="R56" s="323"/>
      <c r="S56" s="324"/>
      <c r="T56" s="327"/>
      <c r="U56" s="328" t="s">
        <v>476</v>
      </c>
      <c r="V56" s="323"/>
      <c r="W56" s="323"/>
      <c r="X56" s="324"/>
      <c r="Y56" s="327"/>
      <c r="Z56" s="328" t="s">
        <v>477</v>
      </c>
      <c r="AA56" s="323"/>
      <c r="AB56" s="323"/>
      <c r="AC56" s="324"/>
      <c r="AD56" s="327"/>
      <c r="AE56" s="328" t="s">
        <v>473</v>
      </c>
      <c r="AF56" s="323"/>
      <c r="AG56" s="323"/>
      <c r="AH56" s="324"/>
      <c r="AI56" s="332"/>
      <c r="AJ56" s="333"/>
      <c r="AK56" s="330"/>
      <c r="AL56" s="330"/>
      <c r="AM56" s="331"/>
      <c r="AN56" s="332"/>
      <c r="AO56" s="333"/>
      <c r="AP56" s="330"/>
      <c r="AQ56" s="330"/>
      <c r="AR56" s="331"/>
      <c r="AS56" s="327"/>
      <c r="AT56" s="328" t="s">
        <v>477</v>
      </c>
      <c r="AU56" s="323"/>
      <c r="AV56" s="323"/>
      <c r="AW56" s="324"/>
      <c r="AX56" s="327"/>
      <c r="AY56" s="328" t="s">
        <v>476</v>
      </c>
      <c r="AZ56" s="323"/>
      <c r="BA56" s="323"/>
      <c r="BB56" s="324"/>
      <c r="BC56" s="332"/>
      <c r="BD56" s="333"/>
      <c r="BE56" s="330"/>
      <c r="BF56" s="330"/>
      <c r="BG56" s="331"/>
      <c r="BH56" s="14"/>
    </row>
    <row r="57" ht="13.5" customHeight="1">
      <c r="A57" s="6"/>
      <c r="B57" s="328" t="s">
        <v>475</v>
      </c>
      <c r="C57" s="323"/>
      <c r="D57" s="324"/>
      <c r="E57" s="327"/>
      <c r="F57" s="328" t="s">
        <v>477</v>
      </c>
      <c r="G57" s="323"/>
      <c r="H57" s="323"/>
      <c r="I57" s="324"/>
      <c r="J57" s="332"/>
      <c r="K57" s="333"/>
      <c r="L57" s="330"/>
      <c r="M57" s="330"/>
      <c r="N57" s="331"/>
      <c r="O57" s="327"/>
      <c r="P57" s="328" t="s">
        <v>476</v>
      </c>
      <c r="Q57" s="323"/>
      <c r="R57" s="323"/>
      <c r="S57" s="324"/>
      <c r="T57" s="327"/>
      <c r="U57" s="328" t="s">
        <v>477</v>
      </c>
      <c r="V57" s="323"/>
      <c r="W57" s="323"/>
      <c r="X57" s="324"/>
      <c r="Y57" s="332"/>
      <c r="Z57" s="333"/>
      <c r="AA57" s="330"/>
      <c r="AB57" s="330"/>
      <c r="AC57" s="331"/>
      <c r="AD57" s="327"/>
      <c r="AE57" s="328" t="s">
        <v>475</v>
      </c>
      <c r="AF57" s="323"/>
      <c r="AG57" s="323"/>
      <c r="AH57" s="324"/>
      <c r="AI57" s="332"/>
      <c r="AJ57" s="333"/>
      <c r="AK57" s="330"/>
      <c r="AL57" s="330"/>
      <c r="AM57" s="331"/>
      <c r="AN57" s="332"/>
      <c r="AO57" s="333"/>
      <c r="AP57" s="330"/>
      <c r="AQ57" s="330"/>
      <c r="AR57" s="331"/>
      <c r="AS57" s="332"/>
      <c r="AT57" s="333"/>
      <c r="AU57" s="330"/>
      <c r="AV57" s="330"/>
      <c r="AW57" s="331"/>
      <c r="AX57" s="327"/>
      <c r="AY57" s="328" t="s">
        <v>477</v>
      </c>
      <c r="AZ57" s="323"/>
      <c r="BA57" s="323"/>
      <c r="BB57" s="324"/>
      <c r="BC57" s="332"/>
      <c r="BD57" s="333"/>
      <c r="BE57" s="330"/>
      <c r="BF57" s="330"/>
      <c r="BG57" s="331"/>
      <c r="BH57" s="14"/>
    </row>
    <row r="58" ht="13.5" customHeight="1">
      <c r="A58" s="6"/>
      <c r="B58" s="328" t="s">
        <v>476</v>
      </c>
      <c r="C58" s="323"/>
      <c r="D58" s="324"/>
      <c r="E58" s="332"/>
      <c r="F58" s="333"/>
      <c r="G58" s="330"/>
      <c r="H58" s="330"/>
      <c r="I58" s="331"/>
      <c r="J58" s="332"/>
      <c r="K58" s="333"/>
      <c r="L58" s="330"/>
      <c r="M58" s="330"/>
      <c r="N58" s="331"/>
      <c r="O58" s="327"/>
      <c r="P58" s="328" t="s">
        <v>477</v>
      </c>
      <c r="Q58" s="323"/>
      <c r="R58" s="323"/>
      <c r="S58" s="324"/>
      <c r="T58" s="332"/>
      <c r="U58" s="333"/>
      <c r="V58" s="330"/>
      <c r="W58" s="330"/>
      <c r="X58" s="331"/>
      <c r="Y58" s="332"/>
      <c r="Z58" s="333"/>
      <c r="AA58" s="330"/>
      <c r="AB58" s="330"/>
      <c r="AC58" s="331"/>
      <c r="AD58" s="327"/>
      <c r="AE58" s="328" t="s">
        <v>476</v>
      </c>
      <c r="AF58" s="323"/>
      <c r="AG58" s="323"/>
      <c r="AH58" s="324"/>
      <c r="AI58" s="332"/>
      <c r="AJ58" s="333"/>
      <c r="AK58" s="330"/>
      <c r="AL58" s="330"/>
      <c r="AM58" s="331"/>
      <c r="AN58" s="332"/>
      <c r="AO58" s="333"/>
      <c r="AP58" s="330"/>
      <c r="AQ58" s="330"/>
      <c r="AR58" s="331"/>
      <c r="AS58" s="332"/>
      <c r="AT58" s="333"/>
      <c r="AU58" s="330"/>
      <c r="AV58" s="330"/>
      <c r="AW58" s="331"/>
      <c r="AX58" s="332"/>
      <c r="AY58" s="333"/>
      <c r="AZ58" s="330"/>
      <c r="BA58" s="330"/>
      <c r="BB58" s="331"/>
      <c r="BC58" s="332"/>
      <c r="BD58" s="333"/>
      <c r="BE58" s="330"/>
      <c r="BF58" s="330"/>
      <c r="BG58" s="331"/>
      <c r="BH58" s="14"/>
    </row>
    <row r="59" ht="13.5" customHeight="1">
      <c r="A59" s="6"/>
      <c r="B59" s="328" t="s">
        <v>477</v>
      </c>
      <c r="C59" s="323"/>
      <c r="D59" s="324"/>
      <c r="E59" s="332"/>
      <c r="F59" s="333"/>
      <c r="G59" s="330"/>
      <c r="H59" s="330"/>
      <c r="I59" s="331"/>
      <c r="J59" s="332"/>
      <c r="K59" s="333"/>
      <c r="L59" s="330"/>
      <c r="M59" s="330"/>
      <c r="N59" s="331"/>
      <c r="O59" s="332"/>
      <c r="P59" s="333"/>
      <c r="Q59" s="330"/>
      <c r="R59" s="330"/>
      <c r="S59" s="331"/>
      <c r="T59" s="332"/>
      <c r="U59" s="333"/>
      <c r="V59" s="330"/>
      <c r="W59" s="330"/>
      <c r="X59" s="331"/>
      <c r="Y59" s="332"/>
      <c r="Z59" s="333"/>
      <c r="AA59" s="330"/>
      <c r="AB59" s="330"/>
      <c r="AC59" s="331"/>
      <c r="AD59" s="327"/>
      <c r="AE59" s="328" t="s">
        <v>477</v>
      </c>
      <c r="AF59" s="323"/>
      <c r="AG59" s="323"/>
      <c r="AH59" s="324"/>
      <c r="AI59" s="332"/>
      <c r="AJ59" s="333"/>
      <c r="AK59" s="330"/>
      <c r="AL59" s="330"/>
      <c r="AM59" s="331"/>
      <c r="AN59" s="332"/>
      <c r="AO59" s="333"/>
      <c r="AP59" s="330"/>
      <c r="AQ59" s="330"/>
      <c r="AR59" s="331"/>
      <c r="AS59" s="332"/>
      <c r="AT59" s="333"/>
      <c r="AU59" s="330"/>
      <c r="AV59" s="330"/>
      <c r="AW59" s="331"/>
      <c r="AX59" s="332"/>
      <c r="AY59" s="333"/>
      <c r="AZ59" s="330"/>
      <c r="BA59" s="330"/>
      <c r="BB59" s="331"/>
      <c r="BC59" s="332"/>
      <c r="BD59" s="333"/>
      <c r="BE59" s="330"/>
      <c r="BF59" s="330"/>
      <c r="BG59" s="331"/>
      <c r="BH59" s="14"/>
    </row>
    <row r="60" ht="13.5" customHeight="1">
      <c r="B60" s="333"/>
      <c r="C60" s="330"/>
      <c r="D60" s="331"/>
      <c r="E60" s="332"/>
      <c r="F60" s="333"/>
      <c r="G60" s="330"/>
      <c r="H60" s="330"/>
      <c r="I60" s="331"/>
      <c r="J60" s="332"/>
      <c r="K60" s="333"/>
      <c r="L60" s="330"/>
      <c r="M60" s="330"/>
      <c r="N60" s="331"/>
      <c r="O60" s="332"/>
      <c r="P60" s="333"/>
      <c r="Q60" s="330"/>
      <c r="R60" s="330"/>
      <c r="S60" s="331"/>
      <c r="T60" s="332"/>
      <c r="U60" s="333"/>
      <c r="V60" s="330"/>
      <c r="W60" s="330"/>
      <c r="X60" s="331"/>
      <c r="Y60" s="332"/>
      <c r="Z60" s="333"/>
      <c r="AA60" s="330"/>
      <c r="AB60" s="330"/>
      <c r="AC60" s="331"/>
      <c r="AD60" s="332"/>
      <c r="AE60" s="333"/>
      <c r="AF60" s="330"/>
      <c r="AG60" s="330"/>
      <c r="AH60" s="331"/>
      <c r="AI60" s="332"/>
      <c r="AJ60" s="333"/>
      <c r="AK60" s="330"/>
      <c r="AL60" s="330"/>
      <c r="AM60" s="331"/>
      <c r="AN60" s="332"/>
      <c r="AO60" s="333"/>
      <c r="AP60" s="330"/>
      <c r="AQ60" s="330"/>
      <c r="AR60" s="331"/>
      <c r="AS60" s="332"/>
      <c r="AT60" s="333"/>
      <c r="AU60" s="330"/>
      <c r="AV60" s="330"/>
      <c r="AW60" s="331"/>
      <c r="AX60" s="332"/>
      <c r="AY60" s="333"/>
      <c r="AZ60" s="330"/>
      <c r="BA60" s="330"/>
      <c r="BB60" s="331"/>
      <c r="BC60" s="332"/>
      <c r="BD60" s="333"/>
      <c r="BE60" s="330"/>
      <c r="BF60" s="330"/>
      <c r="BG60" s="331"/>
      <c r="BH60" s="14"/>
    </row>
    <row r="61" ht="13.5" customHeight="1">
      <c r="A61" s="6"/>
      <c r="B61" s="326" t="s">
        <v>478</v>
      </c>
      <c r="C61" s="323"/>
      <c r="D61" s="324"/>
      <c r="E61" s="327"/>
      <c r="F61" s="326" t="s">
        <v>478</v>
      </c>
      <c r="G61" s="323"/>
      <c r="H61" s="323"/>
      <c r="I61" s="324"/>
      <c r="J61" s="327"/>
      <c r="K61" s="326" t="s">
        <v>478</v>
      </c>
      <c r="L61" s="323"/>
      <c r="M61" s="323"/>
      <c r="N61" s="324"/>
      <c r="O61" s="327"/>
      <c r="P61" s="326" t="s">
        <v>478</v>
      </c>
      <c r="Q61" s="323"/>
      <c r="R61" s="323"/>
      <c r="S61" s="324"/>
      <c r="T61" s="327"/>
      <c r="U61" s="326" t="s">
        <v>478</v>
      </c>
      <c r="V61" s="323"/>
      <c r="W61" s="323"/>
      <c r="X61" s="324"/>
      <c r="Y61" s="327"/>
      <c r="Z61" s="326" t="s">
        <v>478</v>
      </c>
      <c r="AA61" s="323"/>
      <c r="AB61" s="323"/>
      <c r="AC61" s="324"/>
      <c r="AD61" s="327"/>
      <c r="AE61" s="326" t="s">
        <v>478</v>
      </c>
      <c r="AF61" s="323"/>
      <c r="AG61" s="323"/>
      <c r="AH61" s="324"/>
      <c r="AI61" s="327"/>
      <c r="AJ61" s="326" t="s">
        <v>478</v>
      </c>
      <c r="AK61" s="323"/>
      <c r="AL61" s="323"/>
      <c r="AM61" s="324"/>
      <c r="AN61" s="327"/>
      <c r="AO61" s="326" t="s">
        <v>478</v>
      </c>
      <c r="AP61" s="323"/>
      <c r="AQ61" s="323"/>
      <c r="AR61" s="324"/>
      <c r="AS61" s="327"/>
      <c r="AT61" s="326" t="s">
        <v>478</v>
      </c>
      <c r="AU61" s="323"/>
      <c r="AV61" s="323"/>
      <c r="AW61" s="324"/>
      <c r="AX61" s="327"/>
      <c r="AY61" s="326" t="s">
        <v>478</v>
      </c>
      <c r="AZ61" s="323"/>
      <c r="BA61" s="323"/>
      <c r="BB61" s="324"/>
      <c r="BC61" s="327"/>
      <c r="BD61" s="326" t="s">
        <v>478</v>
      </c>
      <c r="BE61" s="323"/>
      <c r="BF61" s="323"/>
      <c r="BG61" s="324"/>
      <c r="BH61" s="14"/>
    </row>
    <row r="62" ht="13.5" customHeight="1">
      <c r="A62" s="6"/>
      <c r="B62" s="328" t="s">
        <v>479</v>
      </c>
      <c r="C62" s="323"/>
      <c r="D62" s="324"/>
      <c r="E62" s="327"/>
      <c r="F62" s="328" t="s">
        <v>480</v>
      </c>
      <c r="G62" s="323"/>
      <c r="H62" s="323"/>
      <c r="I62" s="324"/>
      <c r="J62" s="327"/>
      <c r="K62" s="328" t="s">
        <v>480</v>
      </c>
      <c r="L62" s="323"/>
      <c r="M62" s="323"/>
      <c r="N62" s="324"/>
      <c r="O62" s="327"/>
      <c r="P62" s="328" t="s">
        <v>481</v>
      </c>
      <c r="Q62" s="323"/>
      <c r="R62" s="323"/>
      <c r="S62" s="324"/>
      <c r="T62" s="327"/>
      <c r="U62" s="328" t="s">
        <v>479</v>
      </c>
      <c r="V62" s="323"/>
      <c r="W62" s="323"/>
      <c r="X62" s="324"/>
      <c r="Y62" s="327"/>
      <c r="Z62" s="328" t="s">
        <v>479</v>
      </c>
      <c r="AA62" s="323"/>
      <c r="AB62" s="323"/>
      <c r="AC62" s="324"/>
      <c r="AD62" s="327"/>
      <c r="AE62" s="328" t="s">
        <v>479</v>
      </c>
      <c r="AF62" s="323"/>
      <c r="AG62" s="323"/>
      <c r="AH62" s="324"/>
      <c r="AI62" s="332"/>
      <c r="AJ62" s="333"/>
      <c r="AK62" s="330"/>
      <c r="AL62" s="330"/>
      <c r="AM62" s="331"/>
      <c r="AN62" s="332"/>
      <c r="AO62" s="333"/>
      <c r="AP62" s="330"/>
      <c r="AQ62" s="330"/>
      <c r="AR62" s="331"/>
      <c r="AS62" s="327"/>
      <c r="AT62" s="328" t="s">
        <v>480</v>
      </c>
      <c r="AU62" s="323"/>
      <c r="AV62" s="323"/>
      <c r="AW62" s="324"/>
      <c r="AX62" s="327"/>
      <c r="AY62" s="328" t="s">
        <v>480</v>
      </c>
      <c r="AZ62" s="323"/>
      <c r="BA62" s="323"/>
      <c r="BB62" s="324"/>
      <c r="BC62" s="332"/>
      <c r="BD62" s="333"/>
      <c r="BE62" s="330"/>
      <c r="BF62" s="330"/>
      <c r="BG62" s="331"/>
      <c r="BH62" s="14"/>
    </row>
    <row r="63" ht="13.5" customHeight="1">
      <c r="A63" s="6"/>
      <c r="B63" s="328" t="s">
        <v>480</v>
      </c>
      <c r="C63" s="323"/>
      <c r="D63" s="324"/>
      <c r="E63" s="327"/>
      <c r="F63" s="328" t="s">
        <v>483</v>
      </c>
      <c r="G63" s="323"/>
      <c r="H63" s="323"/>
      <c r="I63" s="324"/>
      <c r="J63" s="327"/>
      <c r="K63" s="328" t="s">
        <v>483</v>
      </c>
      <c r="L63" s="323"/>
      <c r="M63" s="323"/>
      <c r="N63" s="324"/>
      <c r="O63" s="327"/>
      <c r="P63" s="328" t="s">
        <v>484</v>
      </c>
      <c r="Q63" s="323"/>
      <c r="R63" s="323"/>
      <c r="S63" s="324"/>
      <c r="T63" s="327"/>
      <c r="U63" s="328" t="s">
        <v>480</v>
      </c>
      <c r="V63" s="323"/>
      <c r="W63" s="323"/>
      <c r="X63" s="324"/>
      <c r="Y63" s="327"/>
      <c r="Z63" s="328" t="s">
        <v>480</v>
      </c>
      <c r="AA63" s="323"/>
      <c r="AB63" s="323"/>
      <c r="AC63" s="324"/>
      <c r="AD63" s="327"/>
      <c r="AE63" s="328" t="s">
        <v>480</v>
      </c>
      <c r="AF63" s="323"/>
      <c r="AG63" s="323"/>
      <c r="AH63" s="324"/>
      <c r="AI63" s="332"/>
      <c r="AJ63" s="333"/>
      <c r="AK63" s="330"/>
      <c r="AL63" s="330"/>
      <c r="AM63" s="331"/>
      <c r="AN63" s="332"/>
      <c r="AO63" s="333"/>
      <c r="AP63" s="330"/>
      <c r="AQ63" s="330"/>
      <c r="AR63" s="331"/>
      <c r="AS63" s="327"/>
      <c r="AT63" s="328" t="s">
        <v>483</v>
      </c>
      <c r="AU63" s="323"/>
      <c r="AV63" s="323"/>
      <c r="AW63" s="324"/>
      <c r="AX63" s="327"/>
      <c r="AY63" s="328" t="s">
        <v>483</v>
      </c>
      <c r="AZ63" s="323"/>
      <c r="BA63" s="323"/>
      <c r="BB63" s="324"/>
      <c r="BC63" s="332"/>
      <c r="BD63" s="333"/>
      <c r="BE63" s="330"/>
      <c r="BF63" s="330"/>
      <c r="BG63" s="331"/>
      <c r="BH63" s="14"/>
    </row>
    <row r="64" ht="13.5" customHeight="1">
      <c r="A64" s="6"/>
      <c r="B64" s="328" t="s">
        <v>483</v>
      </c>
      <c r="C64" s="323"/>
      <c r="D64" s="324"/>
      <c r="E64" s="327"/>
      <c r="F64" s="328" t="s">
        <v>485</v>
      </c>
      <c r="G64" s="323"/>
      <c r="H64" s="323"/>
      <c r="I64" s="324"/>
      <c r="J64" s="327"/>
      <c r="K64" s="328" t="s">
        <v>485</v>
      </c>
      <c r="L64" s="323"/>
      <c r="M64" s="323"/>
      <c r="N64" s="324"/>
      <c r="O64" s="327"/>
      <c r="P64" s="328" t="s">
        <v>486</v>
      </c>
      <c r="Q64" s="323"/>
      <c r="R64" s="323"/>
      <c r="S64" s="324"/>
      <c r="T64" s="327"/>
      <c r="U64" s="328" t="s">
        <v>483</v>
      </c>
      <c r="V64" s="323"/>
      <c r="W64" s="323"/>
      <c r="X64" s="324"/>
      <c r="Y64" s="327"/>
      <c r="Z64" s="328" t="s">
        <v>483</v>
      </c>
      <c r="AA64" s="323"/>
      <c r="AB64" s="323"/>
      <c r="AC64" s="324"/>
      <c r="AD64" s="327"/>
      <c r="AE64" s="328" t="s">
        <v>483</v>
      </c>
      <c r="AF64" s="323"/>
      <c r="AG64" s="323"/>
      <c r="AH64" s="324"/>
      <c r="AI64" s="332"/>
      <c r="AJ64" s="333"/>
      <c r="AK64" s="330"/>
      <c r="AL64" s="330"/>
      <c r="AM64" s="331"/>
      <c r="AN64" s="332"/>
      <c r="AO64" s="333"/>
      <c r="AP64" s="330"/>
      <c r="AQ64" s="330"/>
      <c r="AR64" s="331"/>
      <c r="AS64" s="327"/>
      <c r="AT64" s="328" t="s">
        <v>485</v>
      </c>
      <c r="AU64" s="323"/>
      <c r="AV64" s="323"/>
      <c r="AW64" s="324"/>
      <c r="AX64" s="327"/>
      <c r="AY64" s="328" t="s">
        <v>485</v>
      </c>
      <c r="AZ64" s="323"/>
      <c r="BA64" s="323"/>
      <c r="BB64" s="324"/>
      <c r="BC64" s="332"/>
      <c r="BD64" s="333"/>
      <c r="BE64" s="330"/>
      <c r="BF64" s="330"/>
      <c r="BG64" s="331"/>
      <c r="BH64" s="14"/>
    </row>
    <row r="65" ht="13.5" customHeight="1">
      <c r="A65" s="6"/>
      <c r="B65" s="328" t="s">
        <v>485</v>
      </c>
      <c r="C65" s="323"/>
      <c r="D65" s="324"/>
      <c r="E65" s="327"/>
      <c r="F65" s="328" t="s">
        <v>487</v>
      </c>
      <c r="G65" s="323"/>
      <c r="H65" s="323"/>
      <c r="I65" s="324"/>
      <c r="J65" s="327"/>
      <c r="K65" s="328" t="s">
        <v>487</v>
      </c>
      <c r="L65" s="323"/>
      <c r="M65" s="323"/>
      <c r="N65" s="324"/>
      <c r="O65" s="327"/>
      <c r="P65" s="328" t="s">
        <v>479</v>
      </c>
      <c r="Q65" s="323"/>
      <c r="R65" s="323"/>
      <c r="S65" s="324"/>
      <c r="T65" s="327"/>
      <c r="U65" s="328" t="s">
        <v>485</v>
      </c>
      <c r="V65" s="323"/>
      <c r="W65" s="323"/>
      <c r="X65" s="324"/>
      <c r="Y65" s="327"/>
      <c r="Z65" s="328" t="s">
        <v>485</v>
      </c>
      <c r="AA65" s="323"/>
      <c r="AB65" s="323"/>
      <c r="AC65" s="324"/>
      <c r="AD65" s="327"/>
      <c r="AE65" s="328" t="s">
        <v>485</v>
      </c>
      <c r="AF65" s="323"/>
      <c r="AG65" s="323"/>
      <c r="AH65" s="324"/>
      <c r="AI65" s="332"/>
      <c r="AJ65" s="333"/>
      <c r="AK65" s="330"/>
      <c r="AL65" s="330"/>
      <c r="AM65" s="331"/>
      <c r="AN65" s="332"/>
      <c r="AO65" s="333"/>
      <c r="AP65" s="330"/>
      <c r="AQ65" s="330"/>
      <c r="AR65" s="331"/>
      <c r="AS65" s="327"/>
      <c r="AT65" s="328" t="s">
        <v>487</v>
      </c>
      <c r="AU65" s="323"/>
      <c r="AV65" s="323"/>
      <c r="AW65" s="324"/>
      <c r="AX65" s="327"/>
      <c r="AY65" s="328" t="s">
        <v>487</v>
      </c>
      <c r="AZ65" s="323"/>
      <c r="BA65" s="323"/>
      <c r="BB65" s="324"/>
      <c r="BC65" s="332"/>
      <c r="BD65" s="333"/>
      <c r="BE65" s="330"/>
      <c r="BF65" s="330"/>
      <c r="BG65" s="331"/>
      <c r="BH65" s="14"/>
    </row>
    <row r="66" ht="13.5" customHeight="1">
      <c r="A66" s="6"/>
      <c r="B66" s="328" t="s">
        <v>487</v>
      </c>
      <c r="C66" s="323"/>
      <c r="D66" s="324"/>
      <c r="E66" s="332"/>
      <c r="F66" s="333"/>
      <c r="G66" s="330"/>
      <c r="H66" s="330"/>
      <c r="I66" s="331"/>
      <c r="J66" s="332"/>
      <c r="K66" s="333"/>
      <c r="L66" s="330"/>
      <c r="M66" s="330"/>
      <c r="N66" s="331"/>
      <c r="O66" s="327"/>
      <c r="P66" s="328" t="s">
        <v>480</v>
      </c>
      <c r="Q66" s="323"/>
      <c r="R66" s="323"/>
      <c r="S66" s="324"/>
      <c r="T66" s="327"/>
      <c r="U66" s="328" t="s">
        <v>487</v>
      </c>
      <c r="V66" s="323"/>
      <c r="W66" s="323"/>
      <c r="X66" s="324"/>
      <c r="Y66" s="327"/>
      <c r="Z66" s="328" t="s">
        <v>487</v>
      </c>
      <c r="AA66" s="323"/>
      <c r="AB66" s="323"/>
      <c r="AC66" s="324"/>
      <c r="AD66" s="327"/>
      <c r="AE66" s="328" t="s">
        <v>487</v>
      </c>
      <c r="AF66" s="323"/>
      <c r="AG66" s="323"/>
      <c r="AH66" s="324"/>
      <c r="AI66" s="332"/>
      <c r="AJ66" s="333"/>
      <c r="AK66" s="330"/>
      <c r="AL66" s="330"/>
      <c r="AM66" s="331"/>
      <c r="AN66" s="332"/>
      <c r="AO66" s="333"/>
      <c r="AP66" s="330"/>
      <c r="AQ66" s="330"/>
      <c r="AR66" s="331"/>
      <c r="AS66" s="332"/>
      <c r="AT66" s="333"/>
      <c r="AU66" s="330"/>
      <c r="AV66" s="330"/>
      <c r="AW66" s="331"/>
      <c r="AX66" s="332"/>
      <c r="AY66" s="333"/>
      <c r="AZ66" s="330"/>
      <c r="BA66" s="330"/>
      <c r="BB66" s="331"/>
      <c r="BC66" s="332"/>
      <c r="BD66" s="333"/>
      <c r="BE66" s="330"/>
      <c r="BF66" s="330"/>
      <c r="BG66" s="331"/>
      <c r="BH66" s="14"/>
    </row>
    <row r="67" ht="13.5" customHeight="1">
      <c r="B67" s="333"/>
      <c r="C67" s="330"/>
      <c r="D67" s="331"/>
      <c r="E67" s="332"/>
      <c r="F67" s="333"/>
      <c r="G67" s="330"/>
      <c r="H67" s="330"/>
      <c r="I67" s="331"/>
      <c r="J67" s="332"/>
      <c r="K67" s="333"/>
      <c r="L67" s="330"/>
      <c r="M67" s="330"/>
      <c r="N67" s="331"/>
      <c r="O67" s="327"/>
      <c r="P67" s="328" t="s">
        <v>483</v>
      </c>
      <c r="Q67" s="323"/>
      <c r="R67" s="323"/>
      <c r="S67" s="324"/>
      <c r="T67" s="332"/>
      <c r="U67" s="333"/>
      <c r="V67" s="330"/>
      <c r="W67" s="330"/>
      <c r="X67" s="331"/>
      <c r="Y67" s="332"/>
      <c r="Z67" s="333"/>
      <c r="AA67" s="330"/>
      <c r="AB67" s="330"/>
      <c r="AC67" s="331"/>
      <c r="AD67" s="332"/>
      <c r="AE67" s="333"/>
      <c r="AF67" s="330"/>
      <c r="AG67" s="330"/>
      <c r="AH67" s="331"/>
      <c r="AI67" s="332"/>
      <c r="AJ67" s="333"/>
      <c r="AK67" s="330"/>
      <c r="AL67" s="330"/>
      <c r="AM67" s="331"/>
      <c r="AN67" s="332"/>
      <c r="AO67" s="333"/>
      <c r="AP67" s="330"/>
      <c r="AQ67" s="330"/>
      <c r="AR67" s="331"/>
      <c r="AS67" s="332"/>
      <c r="AT67" s="333"/>
      <c r="AU67" s="330"/>
      <c r="AV67" s="330"/>
      <c r="AW67" s="331"/>
      <c r="AX67" s="332"/>
      <c r="AY67" s="333"/>
      <c r="AZ67" s="330"/>
      <c r="BA67" s="330"/>
      <c r="BB67" s="331"/>
      <c r="BC67" s="332"/>
      <c r="BD67" s="333"/>
      <c r="BE67" s="330"/>
      <c r="BF67" s="330"/>
      <c r="BG67" s="331"/>
      <c r="BH67" s="14"/>
    </row>
    <row r="68" ht="13.5" customHeight="1">
      <c r="B68" s="333"/>
      <c r="C68" s="330"/>
      <c r="D68" s="331"/>
      <c r="E68" s="332"/>
      <c r="F68" s="333"/>
      <c r="G68" s="330"/>
      <c r="H68" s="330"/>
      <c r="I68" s="331"/>
      <c r="J68" s="332"/>
      <c r="K68" s="333"/>
      <c r="L68" s="330"/>
      <c r="M68" s="330"/>
      <c r="N68" s="331"/>
      <c r="O68" s="327"/>
      <c r="P68" s="328" t="s">
        <v>485</v>
      </c>
      <c r="Q68" s="323"/>
      <c r="R68" s="323"/>
      <c r="S68" s="324"/>
      <c r="T68" s="332"/>
      <c r="U68" s="333"/>
      <c r="V68" s="330"/>
      <c r="W68" s="330"/>
      <c r="X68" s="331"/>
      <c r="Y68" s="332"/>
      <c r="Z68" s="333"/>
      <c r="AA68" s="330"/>
      <c r="AB68" s="330"/>
      <c r="AC68" s="331"/>
      <c r="AD68" s="332"/>
      <c r="AE68" s="333"/>
      <c r="AF68" s="330"/>
      <c r="AG68" s="330"/>
      <c r="AH68" s="331"/>
      <c r="AI68" s="332"/>
      <c r="AJ68" s="333"/>
      <c r="AK68" s="330"/>
      <c r="AL68" s="330"/>
      <c r="AM68" s="331"/>
      <c r="AN68" s="332"/>
      <c r="AO68" s="333"/>
      <c r="AP68" s="330"/>
      <c r="AQ68" s="330"/>
      <c r="AR68" s="331"/>
      <c r="AS68" s="332"/>
      <c r="AT68" s="333"/>
      <c r="AU68" s="330"/>
      <c r="AV68" s="330"/>
      <c r="AW68" s="331"/>
      <c r="AX68" s="332"/>
      <c r="AY68" s="333"/>
      <c r="AZ68" s="330"/>
      <c r="BA68" s="330"/>
      <c r="BB68" s="331"/>
      <c r="BC68" s="332"/>
      <c r="BD68" s="333"/>
      <c r="BE68" s="330"/>
      <c r="BF68" s="330"/>
      <c r="BG68" s="331"/>
      <c r="BH68" s="14"/>
    </row>
    <row r="69" ht="13.5" customHeight="1">
      <c r="B69" s="333"/>
      <c r="C69" s="330"/>
      <c r="D69" s="331"/>
      <c r="E69" s="332"/>
      <c r="F69" s="333"/>
      <c r="G69" s="330"/>
      <c r="H69" s="330"/>
      <c r="I69" s="331"/>
      <c r="J69" s="332"/>
      <c r="K69" s="333"/>
      <c r="L69" s="330"/>
      <c r="M69" s="330"/>
      <c r="N69" s="331"/>
      <c r="O69" s="327"/>
      <c r="P69" s="328" t="s">
        <v>487</v>
      </c>
      <c r="Q69" s="323"/>
      <c r="R69" s="323"/>
      <c r="S69" s="324"/>
      <c r="T69" s="332"/>
      <c r="U69" s="333"/>
      <c r="V69" s="330"/>
      <c r="W69" s="330"/>
      <c r="X69" s="331"/>
      <c r="Y69" s="332"/>
      <c r="Z69" s="333"/>
      <c r="AA69" s="330"/>
      <c r="AB69" s="330"/>
      <c r="AC69" s="331"/>
      <c r="AD69" s="332"/>
      <c r="AE69" s="333"/>
      <c r="AF69" s="330"/>
      <c r="AG69" s="330"/>
      <c r="AH69" s="331"/>
      <c r="AI69" s="332"/>
      <c r="AJ69" s="333"/>
      <c r="AK69" s="330"/>
      <c r="AL69" s="330"/>
      <c r="AM69" s="331"/>
      <c r="AN69" s="332"/>
      <c r="AO69" s="333"/>
      <c r="AP69" s="330"/>
      <c r="AQ69" s="330"/>
      <c r="AR69" s="331"/>
      <c r="AS69" s="332"/>
      <c r="AT69" s="333"/>
      <c r="AU69" s="330"/>
      <c r="AV69" s="330"/>
      <c r="AW69" s="331"/>
      <c r="AX69" s="332"/>
      <c r="AY69" s="333"/>
      <c r="AZ69" s="330"/>
      <c r="BA69" s="330"/>
      <c r="BB69" s="331"/>
      <c r="BC69" s="332"/>
      <c r="BD69" s="333"/>
      <c r="BE69" s="330"/>
      <c r="BF69" s="330"/>
      <c r="BG69" s="331"/>
      <c r="BH69" s="14"/>
    </row>
    <row r="70" ht="13.5" customHeight="1">
      <c r="B70" s="338"/>
      <c r="C70" s="339"/>
      <c r="D70" s="340"/>
      <c r="E70" s="332"/>
      <c r="F70" s="338"/>
      <c r="G70" s="339"/>
      <c r="H70" s="339"/>
      <c r="I70" s="340"/>
      <c r="J70" s="332"/>
      <c r="K70" s="338"/>
      <c r="L70" s="339"/>
      <c r="M70" s="339"/>
      <c r="N70" s="340"/>
      <c r="O70" s="332"/>
      <c r="P70" s="338"/>
      <c r="Q70" s="339"/>
      <c r="R70" s="339"/>
      <c r="S70" s="340"/>
      <c r="T70" s="332"/>
      <c r="U70" s="338"/>
      <c r="V70" s="339"/>
      <c r="W70" s="339"/>
      <c r="X70" s="340"/>
      <c r="Y70" s="332"/>
      <c r="Z70" s="338"/>
      <c r="AA70" s="339"/>
      <c r="AB70" s="339"/>
      <c r="AC70" s="340"/>
      <c r="AD70" s="332"/>
      <c r="AE70" s="338"/>
      <c r="AF70" s="339"/>
      <c r="AG70" s="339"/>
      <c r="AH70" s="340"/>
      <c r="AI70" s="332"/>
      <c r="AJ70" s="338"/>
      <c r="AK70" s="339"/>
      <c r="AL70" s="339"/>
      <c r="AM70" s="340"/>
      <c r="AN70" s="332"/>
      <c r="AO70" s="338"/>
      <c r="AP70" s="339"/>
      <c r="AQ70" s="339"/>
      <c r="AR70" s="340"/>
      <c r="AS70" s="332"/>
      <c r="AT70" s="338"/>
      <c r="AU70" s="339"/>
      <c r="AV70" s="339"/>
      <c r="AW70" s="340"/>
      <c r="AX70" s="332"/>
      <c r="AY70" s="338"/>
      <c r="AZ70" s="339"/>
      <c r="BA70" s="339"/>
      <c r="BB70" s="340"/>
      <c r="BC70" s="332"/>
      <c r="BD70" s="338"/>
      <c r="BE70" s="339"/>
      <c r="BF70" s="339"/>
      <c r="BG70" s="340"/>
      <c r="BH70" s="14"/>
    </row>
    <row r="71" ht="15.75" customHeight="1"/>
    <row r="72" ht="15.75" customHeight="1"/>
    <row r="73" ht="15.75" customHeight="1">
      <c r="A73" s="341"/>
      <c r="B73" s="341"/>
      <c r="C73" s="341"/>
      <c r="D73" s="341"/>
      <c r="E73" s="341"/>
      <c r="F73" s="341"/>
      <c r="G73" s="341"/>
      <c r="H73" s="341"/>
      <c r="I73" s="341"/>
      <c r="J73" s="341"/>
      <c r="K73" s="341"/>
      <c r="L73" s="341"/>
      <c r="M73" s="341"/>
      <c r="N73" s="341"/>
      <c r="O73" s="341"/>
      <c r="P73" s="341"/>
      <c r="Q73" s="341"/>
      <c r="R73" s="341"/>
      <c r="S73" s="341"/>
      <c r="T73" s="341"/>
      <c r="U73" s="341"/>
      <c r="V73" s="341"/>
      <c r="W73" s="341"/>
      <c r="X73" s="341"/>
      <c r="Y73" s="341"/>
      <c r="Z73" s="341"/>
      <c r="AA73" s="341"/>
      <c r="AB73" s="341"/>
      <c r="AC73" s="341"/>
      <c r="AD73" s="341"/>
      <c r="AE73" s="341"/>
      <c r="AF73" s="341"/>
      <c r="AG73" s="341"/>
      <c r="AH73" s="341"/>
      <c r="AI73" s="341"/>
      <c r="AJ73" s="341"/>
      <c r="AK73" s="341"/>
      <c r="AL73" s="341"/>
      <c r="AM73" s="341"/>
      <c r="AN73" s="341"/>
      <c r="AO73" s="341"/>
      <c r="AP73" s="341"/>
      <c r="AQ73" s="341"/>
      <c r="AR73" s="341"/>
      <c r="AS73" s="341"/>
      <c r="AT73" s="341"/>
      <c r="AU73" s="341"/>
      <c r="AV73" s="341"/>
      <c r="AW73" s="341"/>
      <c r="AX73" s="341"/>
      <c r="AY73" s="341"/>
      <c r="AZ73" s="341"/>
      <c r="BA73" s="341"/>
      <c r="BB73" s="341"/>
      <c r="BC73" s="341"/>
      <c r="BD73" s="341"/>
      <c r="BE73" s="341"/>
      <c r="BF73" s="341"/>
      <c r="BG73" s="341"/>
      <c r="BH73" s="341"/>
      <c r="BI73" s="341"/>
      <c r="BJ73" s="341"/>
      <c r="BK73" s="341"/>
      <c r="BL73" s="341"/>
      <c r="BM73" s="341"/>
      <c r="BN73" s="341"/>
      <c r="BO73" s="341"/>
      <c r="BP73" s="341"/>
      <c r="BQ73" s="341"/>
      <c r="BR73" s="341"/>
      <c r="BS73" s="341"/>
      <c r="BT73" s="341"/>
      <c r="BU73" s="341"/>
      <c r="BV73" s="341"/>
      <c r="BW73" s="341"/>
      <c r="BX73" s="341"/>
      <c r="BY73" s="341"/>
    </row>
    <row r="74" ht="15.75" customHeight="1">
      <c r="A74" s="341"/>
      <c r="B74" s="341"/>
      <c r="C74" s="341"/>
      <c r="D74" s="341"/>
      <c r="E74" s="341"/>
      <c r="F74" s="341"/>
      <c r="G74" s="341"/>
      <c r="H74" s="341"/>
      <c r="I74" s="341"/>
      <c r="J74" s="341"/>
      <c r="K74" s="341"/>
      <c r="L74" s="341"/>
      <c r="M74" s="341"/>
      <c r="N74" s="341"/>
      <c r="O74" s="341"/>
      <c r="P74" s="341"/>
      <c r="Q74" s="341"/>
      <c r="R74" s="341"/>
      <c r="S74" s="341"/>
      <c r="T74" s="341"/>
      <c r="U74" s="341"/>
      <c r="V74" s="341"/>
      <c r="W74" s="341"/>
      <c r="X74" s="341"/>
      <c r="Y74" s="341"/>
      <c r="Z74" s="341"/>
      <c r="AA74" s="341"/>
      <c r="AB74" s="341"/>
      <c r="AC74" s="341"/>
      <c r="AD74" s="341"/>
      <c r="AE74" s="341"/>
      <c r="AF74" s="341"/>
      <c r="AG74" s="341"/>
      <c r="AH74" s="341"/>
      <c r="AI74" s="341"/>
      <c r="AJ74" s="341"/>
      <c r="AK74" s="341"/>
      <c r="AL74" s="341"/>
      <c r="AM74" s="341"/>
      <c r="AN74" s="341"/>
      <c r="AO74" s="341"/>
      <c r="AP74" s="341"/>
      <c r="AQ74" s="341"/>
      <c r="AR74" s="341"/>
      <c r="AS74" s="341"/>
      <c r="AT74" s="341"/>
      <c r="AU74" s="341"/>
      <c r="AV74" s="341"/>
      <c r="AW74" s="341"/>
      <c r="AX74" s="341"/>
      <c r="AY74" s="341"/>
      <c r="AZ74" s="341"/>
      <c r="BA74" s="341"/>
      <c r="BB74" s="341"/>
      <c r="BC74" s="341"/>
      <c r="BD74" s="341"/>
      <c r="BE74" s="341"/>
      <c r="BF74" s="341"/>
      <c r="BG74" s="341"/>
      <c r="BH74" s="341"/>
      <c r="BI74" s="341"/>
      <c r="BJ74" s="341"/>
      <c r="BK74" s="341"/>
      <c r="BL74" s="341"/>
      <c r="BM74" s="341"/>
      <c r="BN74" s="341"/>
      <c r="BO74" s="341"/>
      <c r="BP74" s="341"/>
      <c r="BQ74" s="341"/>
      <c r="BR74" s="341"/>
      <c r="BS74" s="341"/>
      <c r="BT74" s="341"/>
      <c r="BU74" s="341"/>
      <c r="BV74" s="341"/>
      <c r="BW74" s="341"/>
      <c r="BX74" s="341"/>
      <c r="BY74" s="341"/>
    </row>
    <row r="75" ht="15.75" customHeight="1">
      <c r="A75" s="341"/>
      <c r="B75" s="341"/>
      <c r="C75" s="341"/>
      <c r="D75" s="341"/>
      <c r="E75" s="341"/>
      <c r="F75" s="341"/>
      <c r="G75" s="341"/>
      <c r="H75" s="341"/>
      <c r="I75" s="341"/>
      <c r="J75" s="341"/>
      <c r="K75" s="341"/>
      <c r="L75" s="341"/>
      <c r="M75" s="341"/>
      <c r="N75" s="341"/>
      <c r="O75" s="341"/>
      <c r="P75" s="341"/>
      <c r="Q75" s="341"/>
      <c r="R75" s="341"/>
      <c r="S75" s="341"/>
      <c r="T75" s="341"/>
      <c r="U75" s="341"/>
      <c r="V75" s="341"/>
      <c r="W75" s="341"/>
      <c r="X75" s="341"/>
      <c r="Y75" s="341"/>
      <c r="Z75" s="341"/>
      <c r="AA75" s="341"/>
      <c r="AB75" s="341"/>
      <c r="AC75" s="341"/>
      <c r="AD75" s="341"/>
      <c r="AE75" s="341"/>
      <c r="AF75" s="341"/>
      <c r="AG75" s="341"/>
      <c r="AH75" s="341"/>
      <c r="AI75" s="341"/>
      <c r="AJ75" s="341"/>
      <c r="AK75" s="341"/>
      <c r="AL75" s="341"/>
      <c r="AM75" s="341"/>
      <c r="AN75" s="341"/>
      <c r="AO75" s="341"/>
      <c r="AP75" s="341"/>
      <c r="AQ75" s="341"/>
      <c r="AR75" s="341"/>
      <c r="AS75" s="341"/>
      <c r="AT75" s="341"/>
      <c r="AU75" s="341"/>
      <c r="AV75" s="341"/>
      <c r="AW75" s="341"/>
      <c r="AX75" s="341"/>
      <c r="AY75" s="341"/>
      <c r="AZ75" s="341"/>
      <c r="BA75" s="341"/>
      <c r="BB75" s="341"/>
      <c r="BC75" s="341"/>
      <c r="BD75" s="341"/>
      <c r="BE75" s="341"/>
      <c r="BF75" s="341"/>
      <c r="BG75" s="341"/>
      <c r="BH75" s="341"/>
      <c r="BI75" s="341"/>
      <c r="BJ75" s="341"/>
      <c r="BK75" s="341"/>
      <c r="BL75" s="341"/>
      <c r="BM75" s="341"/>
      <c r="BN75" s="341"/>
      <c r="BO75" s="341"/>
      <c r="BP75" s="341"/>
      <c r="BQ75" s="341"/>
      <c r="BR75" s="341"/>
      <c r="BS75" s="341"/>
      <c r="BT75" s="341"/>
      <c r="BU75" s="341"/>
      <c r="BV75" s="341"/>
      <c r="BW75" s="341"/>
      <c r="BX75" s="341"/>
      <c r="BY75" s="341"/>
    </row>
    <row r="76" ht="15.75" customHeight="1">
      <c r="A76" s="341"/>
      <c r="B76" s="341"/>
      <c r="C76" s="341"/>
      <c r="D76" s="341"/>
      <c r="E76" s="341"/>
      <c r="F76" s="341"/>
      <c r="G76" s="341"/>
      <c r="H76" s="341"/>
      <c r="I76" s="341"/>
      <c r="J76" s="341"/>
      <c r="K76" s="341"/>
      <c r="L76" s="341"/>
      <c r="M76" s="341"/>
      <c r="N76" s="341"/>
      <c r="O76" s="341"/>
      <c r="P76" s="341"/>
      <c r="Q76" s="341"/>
      <c r="R76" s="341"/>
      <c r="S76" s="341"/>
      <c r="T76" s="341"/>
      <c r="U76" s="341"/>
      <c r="V76" s="341"/>
      <c r="W76" s="341"/>
      <c r="X76" s="341"/>
      <c r="Y76" s="341"/>
      <c r="Z76" s="341"/>
      <c r="AA76" s="341"/>
      <c r="AB76" s="341"/>
      <c r="AC76" s="341"/>
      <c r="AD76" s="341"/>
      <c r="AE76" s="341"/>
      <c r="AF76" s="341"/>
      <c r="AG76" s="341"/>
      <c r="AH76" s="341"/>
      <c r="AI76" s="341"/>
      <c r="AJ76" s="341"/>
      <c r="AK76" s="341"/>
      <c r="AL76" s="341"/>
      <c r="AM76" s="341"/>
      <c r="AN76" s="341"/>
      <c r="AO76" s="341"/>
      <c r="AP76" s="341"/>
      <c r="AQ76" s="341"/>
      <c r="AR76" s="341"/>
      <c r="AS76" s="341"/>
      <c r="AT76" s="341"/>
      <c r="AU76" s="341"/>
      <c r="AV76" s="341"/>
      <c r="AW76" s="341"/>
      <c r="AX76" s="341"/>
      <c r="AY76" s="341"/>
      <c r="AZ76" s="341"/>
      <c r="BA76" s="341"/>
      <c r="BB76" s="341"/>
      <c r="BC76" s="341"/>
      <c r="BD76" s="341"/>
      <c r="BE76" s="341"/>
      <c r="BF76" s="341"/>
      <c r="BG76" s="341"/>
      <c r="BH76" s="341"/>
      <c r="BI76" s="341"/>
      <c r="BJ76" s="341"/>
      <c r="BK76" s="341"/>
      <c r="BL76" s="341"/>
      <c r="BM76" s="341"/>
      <c r="BN76" s="341"/>
      <c r="BO76" s="341"/>
      <c r="BP76" s="341"/>
      <c r="BQ76" s="341"/>
      <c r="BR76" s="341"/>
      <c r="BS76" s="341"/>
      <c r="BT76" s="341"/>
      <c r="BU76" s="341"/>
      <c r="BV76" s="341"/>
      <c r="BW76" s="341"/>
      <c r="BX76" s="341"/>
      <c r="BY76" s="341"/>
    </row>
    <row r="77" ht="15.75" customHeight="1">
      <c r="A77" s="341"/>
      <c r="B77" s="341"/>
      <c r="C77" s="341"/>
      <c r="D77" s="341"/>
      <c r="E77" s="341"/>
      <c r="F77" s="341"/>
      <c r="G77" s="341"/>
      <c r="H77" s="341"/>
      <c r="I77" s="341"/>
      <c r="J77" s="341"/>
      <c r="K77" s="341"/>
      <c r="L77" s="341"/>
      <c r="M77" s="341"/>
      <c r="N77" s="341"/>
      <c r="O77" s="341"/>
      <c r="P77" s="341"/>
      <c r="Q77" s="341"/>
      <c r="R77" s="341"/>
      <c r="S77" s="341"/>
      <c r="T77" s="341"/>
      <c r="U77" s="341"/>
      <c r="V77" s="341"/>
      <c r="W77" s="341"/>
      <c r="X77" s="341"/>
      <c r="Y77" s="341"/>
      <c r="Z77" s="341"/>
      <c r="AA77" s="341"/>
      <c r="AB77" s="341"/>
      <c r="AC77" s="341"/>
      <c r="AD77" s="341"/>
      <c r="AE77" s="341"/>
      <c r="AF77" s="341"/>
      <c r="AG77" s="341"/>
      <c r="AH77" s="341"/>
      <c r="AI77" s="341"/>
      <c r="AJ77" s="341"/>
      <c r="AK77" s="341"/>
      <c r="AL77" s="341"/>
      <c r="AM77" s="341"/>
      <c r="AN77" s="341"/>
      <c r="AO77" s="341"/>
      <c r="AP77" s="341"/>
      <c r="AQ77" s="341"/>
      <c r="AR77" s="341"/>
      <c r="AS77" s="341"/>
      <c r="AT77" s="341"/>
      <c r="AU77" s="341"/>
      <c r="AV77" s="341"/>
      <c r="AW77" s="341"/>
      <c r="AX77" s="341"/>
      <c r="AY77" s="341"/>
      <c r="AZ77" s="341"/>
      <c r="BA77" s="341"/>
      <c r="BB77" s="341"/>
      <c r="BC77" s="341"/>
      <c r="BD77" s="341"/>
      <c r="BE77" s="341"/>
      <c r="BF77" s="341"/>
      <c r="BG77" s="341"/>
      <c r="BH77" s="341"/>
      <c r="BI77" s="341"/>
      <c r="BJ77" s="341"/>
      <c r="BK77" s="341"/>
      <c r="BL77" s="341"/>
      <c r="BM77" s="341"/>
      <c r="BN77" s="341"/>
      <c r="BO77" s="341"/>
      <c r="BP77" s="341"/>
      <c r="BQ77" s="341"/>
      <c r="BR77" s="341"/>
      <c r="BS77" s="341"/>
      <c r="BT77" s="341"/>
      <c r="BU77" s="341"/>
      <c r="BV77" s="341"/>
      <c r="BW77" s="341"/>
      <c r="BX77" s="341"/>
      <c r="BY77" s="341"/>
    </row>
    <row r="78" ht="15.75" customHeight="1">
      <c r="A78" s="341"/>
      <c r="B78" s="341"/>
      <c r="C78" s="341"/>
      <c r="D78" s="341"/>
      <c r="E78" s="341"/>
      <c r="F78" s="341"/>
      <c r="G78" s="341"/>
      <c r="H78" s="341"/>
      <c r="I78" s="341"/>
      <c r="J78" s="341"/>
      <c r="K78" s="341"/>
      <c r="L78" s="341"/>
      <c r="M78" s="341"/>
      <c r="N78" s="341"/>
      <c r="O78" s="341"/>
      <c r="P78" s="341"/>
      <c r="Q78" s="341"/>
      <c r="R78" s="341"/>
      <c r="S78" s="341"/>
      <c r="T78" s="341"/>
      <c r="U78" s="341"/>
      <c r="V78" s="341"/>
      <c r="W78" s="341"/>
      <c r="X78" s="341"/>
      <c r="Y78" s="341"/>
      <c r="Z78" s="341"/>
      <c r="AA78" s="341"/>
      <c r="AB78" s="341"/>
      <c r="AC78" s="341"/>
      <c r="AD78" s="341"/>
      <c r="AE78" s="341"/>
      <c r="AF78" s="341"/>
      <c r="AG78" s="341"/>
      <c r="AH78" s="341"/>
      <c r="AI78" s="341"/>
      <c r="AJ78" s="341"/>
      <c r="AK78" s="341"/>
      <c r="AL78" s="341"/>
      <c r="AM78" s="341"/>
      <c r="AN78" s="341"/>
      <c r="AO78" s="341"/>
      <c r="AP78" s="341"/>
      <c r="AQ78" s="341"/>
      <c r="AR78" s="341"/>
      <c r="AS78" s="341"/>
      <c r="AT78" s="341"/>
      <c r="AU78" s="341"/>
      <c r="AV78" s="341"/>
      <c r="AW78" s="341"/>
      <c r="AX78" s="341"/>
      <c r="AY78" s="341"/>
      <c r="AZ78" s="341"/>
      <c r="BA78" s="341"/>
      <c r="BB78" s="341"/>
      <c r="BC78" s="341"/>
      <c r="BD78" s="341"/>
      <c r="BE78" s="341"/>
      <c r="BF78" s="341"/>
      <c r="BG78" s="341"/>
      <c r="BH78" s="341"/>
      <c r="BI78" s="341"/>
      <c r="BJ78" s="341"/>
      <c r="BK78" s="341"/>
      <c r="BL78" s="341"/>
      <c r="BM78" s="341"/>
      <c r="BN78" s="341"/>
      <c r="BO78" s="341"/>
      <c r="BP78" s="341"/>
      <c r="BQ78" s="341"/>
      <c r="BR78" s="341"/>
      <c r="BS78" s="341"/>
      <c r="BT78" s="341"/>
      <c r="BU78" s="341"/>
      <c r="BV78" s="341"/>
      <c r="BW78" s="341"/>
      <c r="BX78" s="341"/>
      <c r="BY78" s="341"/>
    </row>
    <row r="79" ht="15.75" customHeight="1">
      <c r="A79" s="341"/>
      <c r="B79" s="341"/>
      <c r="C79" s="341"/>
      <c r="D79" s="341"/>
      <c r="E79" s="341"/>
      <c r="F79" s="341"/>
      <c r="G79" s="341"/>
      <c r="H79" s="341"/>
      <c r="I79" s="341"/>
      <c r="J79" s="341"/>
      <c r="K79" s="341"/>
      <c r="L79" s="341"/>
      <c r="M79" s="341"/>
      <c r="N79" s="341"/>
      <c r="O79" s="341"/>
      <c r="P79" s="341"/>
      <c r="Q79" s="341"/>
      <c r="R79" s="341"/>
      <c r="S79" s="341"/>
      <c r="T79" s="341"/>
      <c r="U79" s="341"/>
      <c r="V79" s="341"/>
      <c r="W79" s="341"/>
      <c r="X79" s="341"/>
      <c r="Y79" s="341"/>
      <c r="Z79" s="341"/>
      <c r="AA79" s="341"/>
      <c r="AB79" s="341"/>
      <c r="AC79" s="341"/>
      <c r="AD79" s="341"/>
      <c r="AE79" s="341"/>
      <c r="AF79" s="341"/>
      <c r="AG79" s="341"/>
      <c r="AH79" s="341"/>
      <c r="AI79" s="341"/>
      <c r="AJ79" s="341"/>
      <c r="AK79" s="341"/>
      <c r="AL79" s="341"/>
      <c r="AM79" s="341"/>
      <c r="AN79" s="341"/>
      <c r="AO79" s="341"/>
      <c r="AP79" s="341"/>
      <c r="AQ79" s="341"/>
      <c r="AR79" s="341"/>
      <c r="AS79" s="341"/>
      <c r="AT79" s="341"/>
      <c r="AU79" s="341"/>
      <c r="AV79" s="341"/>
      <c r="AW79" s="341"/>
      <c r="AX79" s="341"/>
      <c r="AY79" s="341"/>
      <c r="AZ79" s="341"/>
      <c r="BA79" s="341"/>
      <c r="BB79" s="341"/>
      <c r="BC79" s="341"/>
      <c r="BD79" s="341"/>
      <c r="BE79" s="341"/>
      <c r="BF79" s="341"/>
      <c r="BG79" s="341"/>
      <c r="BH79" s="341"/>
      <c r="BI79" s="341"/>
      <c r="BJ79" s="341"/>
      <c r="BK79" s="341"/>
      <c r="BL79" s="341"/>
      <c r="BM79" s="341"/>
      <c r="BN79" s="341"/>
      <c r="BO79" s="341"/>
      <c r="BP79" s="341"/>
      <c r="BQ79" s="341"/>
      <c r="BR79" s="341"/>
      <c r="BS79" s="341"/>
      <c r="BT79" s="341"/>
      <c r="BU79" s="341"/>
      <c r="BV79" s="341"/>
      <c r="BW79" s="341"/>
      <c r="BX79" s="341"/>
      <c r="BY79" s="341"/>
    </row>
    <row r="80" ht="15.75" customHeight="1">
      <c r="A80" s="341"/>
      <c r="B80" s="341"/>
      <c r="C80" s="341"/>
      <c r="D80" s="341"/>
      <c r="E80" s="341"/>
      <c r="F80" s="341"/>
      <c r="G80" s="341"/>
      <c r="H80" s="341"/>
      <c r="I80" s="341"/>
      <c r="J80" s="341"/>
      <c r="K80" s="341"/>
      <c r="L80" s="341"/>
      <c r="M80" s="341"/>
      <c r="N80" s="341"/>
      <c r="O80" s="341"/>
      <c r="P80" s="341"/>
      <c r="Q80" s="341"/>
      <c r="R80" s="341"/>
      <c r="S80" s="341"/>
      <c r="T80" s="341"/>
      <c r="U80" s="341"/>
      <c r="V80" s="341"/>
      <c r="W80" s="341"/>
      <c r="X80" s="341"/>
      <c r="Y80" s="341"/>
      <c r="Z80" s="341"/>
      <c r="AA80" s="341"/>
      <c r="AB80" s="341"/>
      <c r="AC80" s="341"/>
      <c r="AD80" s="341"/>
      <c r="AE80" s="341"/>
      <c r="AF80" s="341"/>
      <c r="AG80" s="341"/>
      <c r="AH80" s="341"/>
      <c r="AI80" s="341"/>
      <c r="AJ80" s="341"/>
      <c r="AK80" s="341"/>
      <c r="AL80" s="341"/>
      <c r="AM80" s="341"/>
      <c r="AN80" s="341"/>
      <c r="AO80" s="341"/>
      <c r="AP80" s="341"/>
      <c r="AQ80" s="341"/>
      <c r="AR80" s="341"/>
      <c r="AS80" s="341"/>
      <c r="AT80" s="341"/>
      <c r="AU80" s="341"/>
      <c r="AV80" s="341"/>
      <c r="AW80" s="341"/>
      <c r="AX80" s="341"/>
      <c r="AY80" s="341"/>
      <c r="AZ80" s="341"/>
      <c r="BA80" s="341"/>
      <c r="BB80" s="341"/>
      <c r="BC80" s="341"/>
      <c r="BD80" s="341"/>
      <c r="BE80" s="341"/>
      <c r="BF80" s="341"/>
      <c r="BG80" s="341"/>
      <c r="BH80" s="341"/>
      <c r="BI80" s="341"/>
      <c r="BJ80" s="341"/>
      <c r="BK80" s="341"/>
      <c r="BL80" s="341"/>
      <c r="BM80" s="341"/>
      <c r="BN80" s="341"/>
      <c r="BO80" s="341"/>
      <c r="BP80" s="341"/>
      <c r="BQ80" s="341"/>
      <c r="BR80" s="341"/>
      <c r="BS80" s="341"/>
      <c r="BT80" s="341"/>
      <c r="BU80" s="341"/>
      <c r="BV80" s="341"/>
      <c r="BW80" s="341"/>
      <c r="BX80" s="341"/>
      <c r="BY80" s="341"/>
    </row>
    <row r="81" ht="15.75" customHeight="1">
      <c r="A81" s="341"/>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341"/>
      <c r="AC81" s="341"/>
      <c r="AD81" s="341"/>
      <c r="AE81" s="341"/>
      <c r="AF81" s="341"/>
      <c r="AG81" s="341"/>
      <c r="AH81" s="341"/>
      <c r="AI81" s="341"/>
      <c r="AJ81" s="341"/>
      <c r="AK81" s="341"/>
      <c r="AL81" s="341"/>
      <c r="AM81" s="341"/>
      <c r="AN81" s="341"/>
      <c r="AO81" s="341"/>
      <c r="AP81" s="341"/>
      <c r="AQ81" s="341"/>
      <c r="AR81" s="341"/>
      <c r="AS81" s="341"/>
      <c r="AT81" s="341"/>
      <c r="AU81" s="341"/>
      <c r="AV81" s="341"/>
      <c r="AW81" s="341"/>
      <c r="AX81" s="341"/>
      <c r="AY81" s="341"/>
      <c r="AZ81" s="341"/>
      <c r="BA81" s="341"/>
      <c r="BB81" s="341"/>
      <c r="BC81" s="341"/>
      <c r="BD81" s="341"/>
      <c r="BE81" s="341"/>
      <c r="BF81" s="341"/>
      <c r="BG81" s="341"/>
      <c r="BH81" s="341"/>
      <c r="BI81" s="341"/>
      <c r="BJ81" s="341"/>
      <c r="BK81" s="341"/>
      <c r="BL81" s="341"/>
      <c r="BM81" s="341"/>
      <c r="BN81" s="341"/>
      <c r="BO81" s="341"/>
      <c r="BP81" s="341"/>
      <c r="BQ81" s="341"/>
      <c r="BR81" s="341"/>
      <c r="BS81" s="341"/>
      <c r="BT81" s="341"/>
      <c r="BU81" s="341"/>
      <c r="BV81" s="341"/>
      <c r="BW81" s="341"/>
      <c r="BX81" s="341"/>
      <c r="BY81" s="341"/>
    </row>
    <row r="82" ht="15.75" customHeight="1">
      <c r="A82" s="341"/>
      <c r="B82" s="341"/>
      <c r="C82" s="341"/>
      <c r="D82" s="341"/>
      <c r="E82" s="341"/>
      <c r="F82" s="341"/>
      <c r="G82" s="341"/>
      <c r="H82" s="341"/>
      <c r="I82" s="341"/>
      <c r="J82" s="341"/>
      <c r="K82" s="341"/>
      <c r="L82" s="341"/>
      <c r="M82" s="341"/>
      <c r="N82" s="341"/>
      <c r="O82" s="341"/>
      <c r="P82" s="341"/>
      <c r="Q82" s="341"/>
      <c r="R82" s="341"/>
      <c r="S82" s="341"/>
      <c r="T82" s="341"/>
      <c r="U82" s="341"/>
      <c r="V82" s="341"/>
      <c r="W82" s="341"/>
      <c r="X82" s="341"/>
      <c r="Y82" s="341"/>
      <c r="Z82" s="341"/>
      <c r="AA82" s="341"/>
      <c r="AB82" s="341"/>
      <c r="AC82" s="341"/>
      <c r="AD82" s="341"/>
      <c r="AE82" s="341"/>
      <c r="AF82" s="341"/>
      <c r="AG82" s="341"/>
      <c r="AH82" s="341"/>
      <c r="AI82" s="341"/>
      <c r="AJ82" s="341"/>
      <c r="AK82" s="341"/>
      <c r="AL82" s="341"/>
      <c r="AM82" s="341"/>
      <c r="AN82" s="341"/>
      <c r="AO82" s="341"/>
      <c r="AP82" s="341"/>
      <c r="AQ82" s="341"/>
      <c r="AR82" s="341"/>
      <c r="AS82" s="341"/>
      <c r="AT82" s="341"/>
      <c r="AU82" s="341"/>
      <c r="AV82" s="341"/>
      <c r="AW82" s="341"/>
      <c r="AX82" s="341"/>
      <c r="AY82" s="341"/>
      <c r="AZ82" s="341"/>
      <c r="BA82" s="341"/>
      <c r="BB82" s="341"/>
      <c r="BC82" s="341"/>
      <c r="BD82" s="341"/>
      <c r="BE82" s="341"/>
      <c r="BF82" s="341"/>
      <c r="BG82" s="341"/>
      <c r="BH82" s="341"/>
      <c r="BI82" s="341"/>
      <c r="BJ82" s="341"/>
      <c r="BK82" s="341"/>
      <c r="BL82" s="341"/>
      <c r="BM82" s="341"/>
      <c r="BN82" s="341"/>
      <c r="BO82" s="341"/>
      <c r="BP82" s="341"/>
      <c r="BQ82" s="341"/>
      <c r="BR82" s="341"/>
      <c r="BS82" s="341"/>
      <c r="BT82" s="341"/>
      <c r="BU82" s="341"/>
      <c r="BV82" s="341"/>
      <c r="BW82" s="341"/>
      <c r="BX82" s="341"/>
      <c r="BY82" s="341"/>
    </row>
    <row r="83" ht="15.75" customHeight="1">
      <c r="A83" s="341"/>
      <c r="B83" s="341"/>
      <c r="C83" s="341"/>
      <c r="D83" s="341"/>
      <c r="E83" s="341"/>
      <c r="F83" s="341"/>
      <c r="G83" s="341"/>
      <c r="H83" s="341"/>
      <c r="I83" s="341"/>
      <c r="J83" s="341"/>
      <c r="K83" s="341"/>
      <c r="L83" s="341"/>
      <c r="M83" s="341"/>
      <c r="N83" s="341"/>
      <c r="O83" s="341"/>
      <c r="P83" s="341"/>
      <c r="Q83" s="341"/>
      <c r="R83" s="341"/>
      <c r="S83" s="341"/>
      <c r="T83" s="341"/>
      <c r="U83" s="341"/>
      <c r="V83" s="341"/>
      <c r="W83" s="341"/>
      <c r="X83" s="341"/>
      <c r="Y83" s="341"/>
      <c r="Z83" s="341"/>
      <c r="AA83" s="341"/>
      <c r="AB83" s="341"/>
      <c r="AC83" s="341"/>
      <c r="AD83" s="341"/>
      <c r="AE83" s="341"/>
      <c r="AF83" s="341"/>
      <c r="AG83" s="341"/>
      <c r="AH83" s="341"/>
      <c r="AI83" s="341"/>
      <c r="AJ83" s="341"/>
      <c r="AK83" s="341"/>
      <c r="AL83" s="341"/>
      <c r="AM83" s="341"/>
      <c r="AN83" s="341"/>
      <c r="AO83" s="341"/>
      <c r="AP83" s="341"/>
      <c r="AQ83" s="341"/>
      <c r="AR83" s="341"/>
      <c r="AS83" s="341"/>
      <c r="AT83" s="341"/>
      <c r="AU83" s="341"/>
      <c r="AV83" s="341"/>
      <c r="AW83" s="341"/>
      <c r="AX83" s="341"/>
      <c r="AY83" s="341"/>
      <c r="AZ83" s="341"/>
      <c r="BA83" s="341"/>
      <c r="BB83" s="341"/>
      <c r="BC83" s="341"/>
      <c r="BD83" s="341"/>
      <c r="BE83" s="341"/>
      <c r="BF83" s="341"/>
      <c r="BG83" s="341"/>
      <c r="BH83" s="341"/>
      <c r="BI83" s="341"/>
      <c r="BJ83" s="341"/>
      <c r="BK83" s="341"/>
      <c r="BL83" s="341"/>
      <c r="BM83" s="341"/>
      <c r="BN83" s="341"/>
      <c r="BO83" s="341"/>
      <c r="BP83" s="341"/>
      <c r="BQ83" s="341"/>
      <c r="BR83" s="341"/>
      <c r="BS83" s="341"/>
      <c r="BT83" s="341"/>
      <c r="BU83" s="341"/>
      <c r="BV83" s="341"/>
      <c r="BW83" s="341"/>
      <c r="BX83" s="341"/>
      <c r="BY83" s="341"/>
    </row>
    <row r="84" ht="15.75" customHeight="1">
      <c r="A84" s="341"/>
      <c r="B84" s="341"/>
      <c r="C84" s="341"/>
      <c r="D84" s="341"/>
      <c r="E84" s="341"/>
      <c r="F84" s="341"/>
      <c r="G84" s="341"/>
      <c r="H84" s="341"/>
      <c r="I84" s="341"/>
      <c r="J84" s="341"/>
      <c r="K84" s="341"/>
      <c r="L84" s="341"/>
      <c r="M84" s="341"/>
      <c r="N84" s="341"/>
      <c r="O84" s="341"/>
      <c r="P84" s="341"/>
      <c r="Q84" s="341"/>
      <c r="R84" s="341"/>
      <c r="S84" s="341"/>
      <c r="T84" s="341"/>
      <c r="U84" s="341"/>
      <c r="V84" s="341"/>
      <c r="W84" s="341"/>
      <c r="X84" s="341"/>
      <c r="Y84" s="341"/>
      <c r="Z84" s="341"/>
      <c r="AA84" s="341"/>
      <c r="AB84" s="341"/>
      <c r="AC84" s="341"/>
      <c r="AD84" s="341"/>
      <c r="AE84" s="341"/>
      <c r="AF84" s="341"/>
      <c r="AG84" s="341"/>
      <c r="AH84" s="341"/>
      <c r="AI84" s="341"/>
      <c r="AJ84" s="341"/>
      <c r="AK84" s="341"/>
      <c r="AL84" s="341"/>
      <c r="AM84" s="341"/>
      <c r="AN84" s="341"/>
      <c r="AO84" s="341"/>
      <c r="AP84" s="341"/>
      <c r="AQ84" s="341"/>
      <c r="AR84" s="341"/>
      <c r="AS84" s="341"/>
      <c r="AT84" s="341"/>
      <c r="AU84" s="341"/>
      <c r="AV84" s="341"/>
      <c r="AW84" s="341"/>
      <c r="AX84" s="341"/>
      <c r="AY84" s="341"/>
      <c r="AZ84" s="341"/>
      <c r="BA84" s="341"/>
      <c r="BB84" s="341"/>
      <c r="BC84" s="341"/>
      <c r="BD84" s="341"/>
      <c r="BE84" s="341"/>
      <c r="BF84" s="341"/>
      <c r="BG84" s="341"/>
      <c r="BH84" s="341"/>
      <c r="BI84" s="341"/>
      <c r="BJ84" s="341"/>
      <c r="BK84" s="341"/>
      <c r="BL84" s="341"/>
      <c r="BM84" s="341"/>
      <c r="BN84" s="341"/>
      <c r="BO84" s="341"/>
      <c r="BP84" s="341"/>
      <c r="BQ84" s="341"/>
      <c r="BR84" s="341"/>
      <c r="BS84" s="341"/>
      <c r="BT84" s="341"/>
      <c r="BU84" s="341"/>
      <c r="BV84" s="341"/>
      <c r="BW84" s="341"/>
      <c r="BX84" s="341"/>
      <c r="BY84" s="341"/>
    </row>
    <row r="85" ht="15.75" customHeight="1">
      <c r="A85" s="341"/>
      <c r="B85" s="341"/>
      <c r="C85" s="341"/>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341"/>
      <c r="BF85" s="341"/>
      <c r="BG85" s="341"/>
      <c r="BH85" s="341"/>
      <c r="BI85" s="341"/>
      <c r="BJ85" s="341"/>
      <c r="BK85" s="341"/>
      <c r="BL85" s="341"/>
      <c r="BM85" s="341"/>
      <c r="BN85" s="341"/>
      <c r="BO85" s="341"/>
      <c r="BP85" s="341"/>
      <c r="BQ85" s="341"/>
      <c r="BR85" s="341"/>
      <c r="BS85" s="341"/>
      <c r="BT85" s="341"/>
      <c r="BU85" s="341"/>
      <c r="BV85" s="341"/>
      <c r="BW85" s="341"/>
      <c r="BX85" s="341"/>
      <c r="BY85" s="341"/>
    </row>
    <row r="86" ht="15.75" customHeight="1">
      <c r="A86" s="341"/>
      <c r="B86" s="341"/>
      <c r="C86" s="341"/>
      <c r="D86" s="341"/>
      <c r="E86" s="341"/>
      <c r="F86" s="341"/>
      <c r="G86" s="341"/>
      <c r="H86" s="341"/>
      <c r="I86" s="341"/>
      <c r="J86" s="341"/>
      <c r="K86" s="341"/>
      <c r="L86" s="341"/>
      <c r="M86" s="341"/>
      <c r="N86" s="341"/>
      <c r="O86" s="341"/>
      <c r="P86" s="341"/>
      <c r="Q86" s="341"/>
      <c r="R86" s="341"/>
      <c r="S86" s="341"/>
      <c r="T86" s="341"/>
      <c r="U86" s="341"/>
      <c r="V86" s="341"/>
      <c r="W86" s="341"/>
      <c r="X86" s="341"/>
      <c r="Y86" s="341"/>
      <c r="Z86" s="341"/>
      <c r="AA86" s="341"/>
      <c r="AB86" s="341"/>
      <c r="AC86" s="341"/>
      <c r="AD86" s="341"/>
      <c r="AE86" s="341"/>
      <c r="AF86" s="341"/>
      <c r="AG86" s="341"/>
      <c r="AH86" s="341"/>
      <c r="AI86" s="341"/>
      <c r="AJ86" s="341"/>
      <c r="AK86" s="341"/>
      <c r="AL86" s="341"/>
      <c r="AM86" s="341"/>
      <c r="AN86" s="341"/>
      <c r="AO86" s="341"/>
      <c r="AP86" s="341"/>
      <c r="AQ86" s="341"/>
      <c r="AR86" s="341"/>
      <c r="AS86" s="341"/>
      <c r="AT86" s="341"/>
      <c r="AU86" s="341"/>
      <c r="AV86" s="341"/>
      <c r="AW86" s="341"/>
      <c r="AX86" s="341"/>
      <c r="AY86" s="341"/>
      <c r="AZ86" s="341"/>
      <c r="BA86" s="341"/>
      <c r="BB86" s="341"/>
      <c r="BC86" s="341"/>
      <c r="BD86" s="341"/>
      <c r="BE86" s="341"/>
      <c r="BF86" s="341"/>
      <c r="BG86" s="341"/>
      <c r="BH86" s="341"/>
      <c r="BI86" s="341"/>
      <c r="BJ86" s="341"/>
      <c r="BK86" s="341"/>
      <c r="BL86" s="341"/>
      <c r="BM86" s="341"/>
      <c r="BN86" s="341"/>
      <c r="BO86" s="341"/>
      <c r="BP86" s="341"/>
      <c r="BQ86" s="341"/>
      <c r="BR86" s="341"/>
      <c r="BS86" s="341"/>
      <c r="BT86" s="341"/>
      <c r="BU86" s="341"/>
      <c r="BV86" s="341"/>
      <c r="BW86" s="341"/>
      <c r="BX86" s="341"/>
      <c r="BY86" s="341"/>
    </row>
    <row r="87" ht="15.75" customHeight="1">
      <c r="A87" s="341"/>
      <c r="B87" s="341"/>
      <c r="C87" s="341"/>
      <c r="D87" s="341"/>
      <c r="E87" s="341"/>
      <c r="F87" s="341"/>
      <c r="G87" s="341"/>
      <c r="H87" s="341"/>
      <c r="I87" s="341"/>
      <c r="J87" s="341"/>
      <c r="K87" s="341"/>
      <c r="L87" s="341"/>
      <c r="M87" s="341"/>
      <c r="N87" s="341"/>
      <c r="O87" s="341"/>
      <c r="P87" s="341"/>
      <c r="Q87" s="341"/>
      <c r="R87" s="341"/>
      <c r="S87" s="341"/>
      <c r="T87" s="341"/>
      <c r="U87" s="341"/>
      <c r="V87" s="341"/>
      <c r="W87" s="341"/>
      <c r="X87" s="341"/>
      <c r="Y87" s="341"/>
      <c r="Z87" s="341"/>
      <c r="AA87" s="341"/>
      <c r="AB87" s="341"/>
      <c r="AC87" s="341"/>
      <c r="AD87" s="341"/>
      <c r="AE87" s="341"/>
      <c r="AF87" s="341"/>
      <c r="AG87" s="341"/>
      <c r="AH87" s="341"/>
      <c r="AI87" s="341"/>
      <c r="AJ87" s="341"/>
      <c r="AK87" s="341"/>
      <c r="AL87" s="341"/>
      <c r="AM87" s="341"/>
      <c r="AN87" s="341"/>
      <c r="AO87" s="341"/>
      <c r="AP87" s="341"/>
      <c r="AQ87" s="341"/>
      <c r="AR87" s="341"/>
      <c r="AS87" s="341"/>
      <c r="AT87" s="341"/>
      <c r="AU87" s="341"/>
      <c r="AV87" s="341"/>
      <c r="AW87" s="341"/>
      <c r="AX87" s="341"/>
      <c r="AY87" s="341"/>
      <c r="AZ87" s="341"/>
      <c r="BA87" s="341"/>
      <c r="BB87" s="341"/>
      <c r="BC87" s="341"/>
      <c r="BD87" s="341"/>
      <c r="BE87" s="341"/>
      <c r="BF87" s="341"/>
      <c r="BG87" s="341"/>
      <c r="BH87" s="341"/>
      <c r="BI87" s="341"/>
      <c r="BJ87" s="341"/>
      <c r="BK87" s="341"/>
      <c r="BL87" s="341"/>
      <c r="BM87" s="341"/>
      <c r="BN87" s="341"/>
      <c r="BO87" s="341"/>
      <c r="BP87" s="341"/>
      <c r="BQ87" s="341"/>
      <c r="BR87" s="341"/>
      <c r="BS87" s="341"/>
      <c r="BT87" s="341"/>
      <c r="BU87" s="341"/>
      <c r="BV87" s="341"/>
      <c r="BW87" s="341"/>
      <c r="BX87" s="341"/>
      <c r="BY87" s="341"/>
    </row>
    <row r="88" ht="15.75" customHeight="1">
      <c r="A88" s="341"/>
      <c r="B88" s="341"/>
      <c r="C88" s="341"/>
      <c r="D88" s="341"/>
      <c r="E88" s="341"/>
      <c r="F88" s="341"/>
      <c r="G88" s="341"/>
      <c r="H88" s="341"/>
      <c r="I88" s="341"/>
      <c r="J88" s="341"/>
      <c r="K88" s="341"/>
      <c r="L88" s="341"/>
      <c r="M88" s="341"/>
      <c r="N88" s="341"/>
      <c r="O88" s="341"/>
      <c r="P88" s="341"/>
      <c r="Q88" s="341"/>
      <c r="R88" s="341"/>
      <c r="S88" s="341"/>
      <c r="T88" s="341"/>
      <c r="U88" s="341"/>
      <c r="V88" s="341"/>
      <c r="W88" s="341"/>
      <c r="X88" s="341"/>
      <c r="Y88" s="341"/>
      <c r="Z88" s="341"/>
      <c r="AA88" s="341"/>
      <c r="AB88" s="341"/>
      <c r="AC88" s="341"/>
      <c r="AD88" s="341"/>
      <c r="AE88" s="341"/>
      <c r="AF88" s="341"/>
      <c r="AG88" s="341"/>
      <c r="AH88" s="341"/>
      <c r="AI88" s="341"/>
      <c r="AJ88" s="341"/>
      <c r="AK88" s="341"/>
      <c r="AL88" s="341"/>
      <c r="AM88" s="341"/>
      <c r="AN88" s="341"/>
      <c r="AO88" s="341"/>
      <c r="AP88" s="341"/>
      <c r="AQ88" s="341"/>
      <c r="AR88" s="341"/>
      <c r="AS88" s="341"/>
      <c r="AT88" s="341"/>
      <c r="AU88" s="341"/>
      <c r="AV88" s="341"/>
      <c r="AW88" s="341"/>
      <c r="AX88" s="341"/>
      <c r="AY88" s="341"/>
      <c r="AZ88" s="341"/>
      <c r="BA88" s="341"/>
      <c r="BB88" s="341"/>
      <c r="BC88" s="341"/>
      <c r="BD88" s="341"/>
      <c r="BE88" s="341"/>
      <c r="BF88" s="341"/>
      <c r="BG88" s="341"/>
      <c r="BH88" s="341"/>
      <c r="BI88" s="341"/>
      <c r="BJ88" s="341"/>
      <c r="BK88" s="341"/>
      <c r="BL88" s="341"/>
      <c r="BM88" s="341"/>
      <c r="BN88" s="341"/>
      <c r="BO88" s="341"/>
      <c r="BP88" s="341"/>
      <c r="BQ88" s="341"/>
      <c r="BR88" s="341"/>
      <c r="BS88" s="341"/>
      <c r="BT88" s="341"/>
      <c r="BU88" s="341"/>
      <c r="BV88" s="341"/>
      <c r="BW88" s="341"/>
      <c r="BX88" s="341"/>
      <c r="BY88" s="341"/>
    </row>
    <row r="89" ht="15.75" customHeight="1">
      <c r="A89" s="341"/>
      <c r="B89" s="341"/>
      <c r="C89" s="341"/>
      <c r="D89" s="341"/>
      <c r="E89" s="341"/>
      <c r="F89" s="341"/>
      <c r="G89" s="341"/>
      <c r="H89" s="341"/>
      <c r="I89" s="341"/>
      <c r="J89" s="341"/>
      <c r="K89" s="341"/>
      <c r="L89" s="341"/>
      <c r="M89" s="341"/>
      <c r="N89" s="341"/>
      <c r="O89" s="341"/>
      <c r="P89" s="341"/>
      <c r="Q89" s="341"/>
      <c r="R89" s="341"/>
      <c r="S89" s="341"/>
      <c r="T89" s="341"/>
      <c r="U89" s="341"/>
      <c r="V89" s="341"/>
      <c r="W89" s="341"/>
      <c r="X89" s="341"/>
      <c r="Y89" s="341"/>
      <c r="Z89" s="341"/>
      <c r="AA89" s="341"/>
      <c r="AB89" s="341"/>
      <c r="AC89" s="341"/>
      <c r="AD89" s="341"/>
      <c r="AE89" s="341"/>
      <c r="AF89" s="341"/>
      <c r="AG89" s="341"/>
      <c r="AH89" s="341"/>
      <c r="AI89" s="341"/>
      <c r="AJ89" s="341"/>
      <c r="AK89" s="341"/>
      <c r="AL89" s="341"/>
      <c r="AM89" s="341"/>
      <c r="AN89" s="341"/>
      <c r="AO89" s="341"/>
      <c r="AP89" s="341"/>
      <c r="AQ89" s="341"/>
      <c r="AR89" s="341"/>
      <c r="AS89" s="341"/>
      <c r="AT89" s="341"/>
      <c r="AU89" s="341"/>
      <c r="AV89" s="341"/>
      <c r="AW89" s="341"/>
      <c r="AX89" s="341"/>
      <c r="AY89" s="341"/>
      <c r="AZ89" s="341"/>
      <c r="BA89" s="341"/>
      <c r="BB89" s="341"/>
      <c r="BC89" s="341"/>
      <c r="BD89" s="341"/>
      <c r="BE89" s="341"/>
      <c r="BF89" s="341"/>
      <c r="BG89" s="341"/>
      <c r="BH89" s="341"/>
      <c r="BI89" s="341"/>
      <c r="BJ89" s="341"/>
      <c r="BK89" s="341"/>
      <c r="BL89" s="341"/>
      <c r="BM89" s="341"/>
      <c r="BN89" s="341"/>
      <c r="BO89" s="341"/>
      <c r="BP89" s="341"/>
      <c r="BQ89" s="341"/>
      <c r="BR89" s="341"/>
      <c r="BS89" s="341"/>
      <c r="BT89" s="341"/>
      <c r="BU89" s="341"/>
      <c r="BV89" s="341"/>
      <c r="BW89" s="341"/>
      <c r="BX89" s="341"/>
      <c r="BY89" s="341"/>
    </row>
    <row r="90" ht="15.75" customHeight="1">
      <c r="A90" s="341"/>
      <c r="B90" s="341"/>
      <c r="C90" s="341"/>
      <c r="D90" s="341"/>
      <c r="E90" s="341"/>
      <c r="F90" s="341"/>
      <c r="G90" s="341"/>
      <c r="H90" s="341"/>
      <c r="I90" s="341"/>
      <c r="J90" s="341"/>
      <c r="K90" s="341"/>
      <c r="L90" s="341"/>
      <c r="M90" s="341"/>
      <c r="N90" s="341"/>
      <c r="O90" s="341"/>
      <c r="P90" s="341"/>
      <c r="Q90" s="341"/>
      <c r="R90" s="341"/>
      <c r="S90" s="341"/>
      <c r="T90" s="341"/>
      <c r="U90" s="341"/>
      <c r="V90" s="341"/>
      <c r="W90" s="341"/>
      <c r="X90" s="341"/>
      <c r="Y90" s="341"/>
      <c r="Z90" s="341"/>
      <c r="AA90" s="341"/>
      <c r="AB90" s="341"/>
      <c r="AC90" s="341"/>
      <c r="AD90" s="341"/>
      <c r="AE90" s="341"/>
      <c r="AF90" s="341"/>
      <c r="AG90" s="341"/>
      <c r="AH90" s="341"/>
      <c r="AI90" s="341"/>
      <c r="AJ90" s="341"/>
      <c r="AK90" s="341"/>
      <c r="AL90" s="341"/>
      <c r="AM90" s="341"/>
      <c r="AN90" s="341"/>
      <c r="AO90" s="341"/>
      <c r="AP90" s="341"/>
      <c r="AQ90" s="341"/>
      <c r="AR90" s="341"/>
      <c r="AS90" s="341"/>
      <c r="AT90" s="341"/>
      <c r="AU90" s="341"/>
      <c r="AV90" s="341"/>
      <c r="AW90" s="341"/>
      <c r="AX90" s="341"/>
      <c r="AY90" s="341"/>
      <c r="AZ90" s="341"/>
      <c r="BA90" s="341"/>
      <c r="BB90" s="341"/>
      <c r="BC90" s="341"/>
      <c r="BD90" s="341"/>
      <c r="BE90" s="341"/>
      <c r="BF90" s="341"/>
      <c r="BG90" s="341"/>
      <c r="BH90" s="341"/>
      <c r="BI90" s="341"/>
      <c r="BJ90" s="341"/>
      <c r="BK90" s="341"/>
      <c r="BL90" s="341"/>
      <c r="BM90" s="341"/>
      <c r="BN90" s="341"/>
      <c r="BO90" s="341"/>
      <c r="BP90" s="341"/>
      <c r="BQ90" s="341"/>
      <c r="BR90" s="341"/>
      <c r="BS90" s="341"/>
      <c r="BT90" s="341"/>
      <c r="BU90" s="341"/>
      <c r="BV90" s="341"/>
      <c r="BW90" s="341"/>
      <c r="BX90" s="341"/>
      <c r="BY90" s="341"/>
    </row>
    <row r="91" ht="15.75" customHeight="1">
      <c r="A91" s="341"/>
      <c r="B91" s="341"/>
      <c r="C91" s="341"/>
      <c r="D91" s="341"/>
      <c r="E91" s="341"/>
      <c r="F91" s="341"/>
      <c r="G91" s="341"/>
      <c r="H91" s="341"/>
      <c r="I91" s="341"/>
      <c r="J91" s="341"/>
      <c r="K91" s="341"/>
      <c r="L91" s="341"/>
      <c r="M91" s="341"/>
      <c r="N91" s="341"/>
      <c r="O91" s="341"/>
      <c r="P91" s="341"/>
      <c r="Q91" s="341"/>
      <c r="R91" s="341"/>
      <c r="S91" s="341"/>
      <c r="T91" s="341"/>
      <c r="U91" s="341"/>
      <c r="V91" s="341"/>
      <c r="W91" s="341"/>
      <c r="X91" s="341"/>
      <c r="Y91" s="341"/>
      <c r="Z91" s="341"/>
      <c r="AA91" s="341"/>
      <c r="AB91" s="341"/>
      <c r="AC91" s="341"/>
      <c r="AD91" s="341"/>
      <c r="AE91" s="341"/>
      <c r="AF91" s="341"/>
      <c r="AG91" s="341"/>
      <c r="AH91" s="341"/>
      <c r="AI91" s="341"/>
      <c r="AJ91" s="341"/>
      <c r="AK91" s="341"/>
      <c r="AL91" s="341"/>
      <c r="AM91" s="341"/>
      <c r="AN91" s="341"/>
      <c r="AO91" s="341"/>
      <c r="AP91" s="341"/>
      <c r="AQ91" s="341"/>
      <c r="AR91" s="341"/>
      <c r="AS91" s="341"/>
      <c r="AT91" s="341"/>
      <c r="AU91" s="341"/>
      <c r="AV91" s="341"/>
      <c r="AW91" s="341"/>
      <c r="AX91" s="341"/>
      <c r="AY91" s="341"/>
      <c r="AZ91" s="341"/>
      <c r="BA91" s="341"/>
      <c r="BB91" s="341"/>
      <c r="BC91" s="341"/>
      <c r="BD91" s="341"/>
      <c r="BE91" s="341"/>
      <c r="BF91" s="341"/>
      <c r="BG91" s="341"/>
      <c r="BH91" s="341"/>
      <c r="BI91" s="341"/>
      <c r="BJ91" s="341"/>
      <c r="BK91" s="341"/>
      <c r="BL91" s="341"/>
      <c r="BM91" s="341"/>
      <c r="BN91" s="341"/>
      <c r="BO91" s="341"/>
      <c r="BP91" s="341"/>
      <c r="BQ91" s="341"/>
      <c r="BR91" s="341"/>
      <c r="BS91" s="341"/>
      <c r="BT91" s="341"/>
      <c r="BU91" s="341"/>
      <c r="BV91" s="341"/>
      <c r="BW91" s="341"/>
      <c r="BX91" s="341"/>
      <c r="BY91" s="341"/>
    </row>
    <row r="92" ht="15.75" customHeight="1">
      <c r="A92" s="341"/>
      <c r="B92" s="341"/>
      <c r="C92" s="341"/>
      <c r="D92" s="341"/>
      <c r="E92" s="341"/>
      <c r="F92" s="341"/>
      <c r="G92" s="341"/>
      <c r="H92" s="341"/>
      <c r="I92" s="341"/>
      <c r="J92" s="341"/>
      <c r="K92" s="341"/>
      <c r="L92" s="341"/>
      <c r="M92" s="341"/>
      <c r="N92" s="341"/>
      <c r="O92" s="341"/>
      <c r="P92" s="341"/>
      <c r="Q92" s="341"/>
      <c r="R92" s="341"/>
      <c r="S92" s="341"/>
      <c r="T92" s="341"/>
      <c r="U92" s="341"/>
      <c r="V92" s="341"/>
      <c r="W92" s="341"/>
      <c r="X92" s="341"/>
      <c r="Y92" s="341"/>
      <c r="Z92" s="341"/>
      <c r="AA92" s="341"/>
      <c r="AB92" s="341"/>
      <c r="AC92" s="341"/>
      <c r="AD92" s="341"/>
      <c r="AE92" s="341"/>
      <c r="AF92" s="341"/>
      <c r="AG92" s="341"/>
      <c r="AH92" s="341"/>
      <c r="AI92" s="341"/>
      <c r="AJ92" s="341"/>
      <c r="AK92" s="341"/>
      <c r="AL92" s="341"/>
      <c r="AM92" s="341"/>
      <c r="AN92" s="341"/>
      <c r="AO92" s="341"/>
      <c r="AP92" s="341"/>
      <c r="AQ92" s="341"/>
      <c r="AR92" s="341"/>
      <c r="AS92" s="341"/>
      <c r="AT92" s="341"/>
      <c r="AU92" s="341"/>
      <c r="AV92" s="341"/>
      <c r="AW92" s="341"/>
      <c r="AX92" s="341"/>
      <c r="AY92" s="341"/>
      <c r="AZ92" s="341"/>
      <c r="BA92" s="341"/>
      <c r="BB92" s="341"/>
      <c r="BC92" s="341"/>
      <c r="BD92" s="341"/>
      <c r="BE92" s="341"/>
      <c r="BF92" s="341"/>
      <c r="BG92" s="341"/>
      <c r="BH92" s="341"/>
      <c r="BI92" s="341"/>
      <c r="BJ92" s="341"/>
      <c r="BK92" s="341"/>
      <c r="BL92" s="341"/>
      <c r="BM92" s="341"/>
      <c r="BN92" s="341"/>
      <c r="BO92" s="341"/>
      <c r="BP92" s="341"/>
      <c r="BQ92" s="341"/>
      <c r="BR92" s="341"/>
      <c r="BS92" s="341"/>
      <c r="BT92" s="341"/>
      <c r="BU92" s="341"/>
      <c r="BV92" s="341"/>
      <c r="BW92" s="341"/>
      <c r="BX92" s="341"/>
      <c r="BY92" s="341"/>
    </row>
    <row r="93" ht="15.75" customHeight="1">
      <c r="A93" s="341"/>
      <c r="B93" s="341"/>
      <c r="C93" s="341"/>
      <c r="D93" s="341"/>
      <c r="E93" s="341"/>
      <c r="F93" s="341"/>
      <c r="G93" s="341"/>
      <c r="H93" s="341"/>
      <c r="I93" s="341"/>
      <c r="J93" s="341"/>
      <c r="K93" s="341"/>
      <c r="L93" s="341"/>
      <c r="M93" s="341"/>
      <c r="N93" s="341"/>
      <c r="O93" s="341"/>
      <c r="P93" s="341"/>
      <c r="Q93" s="341"/>
      <c r="R93" s="341"/>
      <c r="S93" s="341"/>
      <c r="T93" s="341"/>
      <c r="U93" s="341"/>
      <c r="V93" s="341"/>
      <c r="W93" s="341"/>
      <c r="X93" s="341"/>
      <c r="Y93" s="341"/>
      <c r="Z93" s="341"/>
      <c r="AA93" s="341"/>
      <c r="AB93" s="341"/>
      <c r="AC93" s="341"/>
      <c r="AD93" s="341"/>
      <c r="AE93" s="341"/>
      <c r="AF93" s="341"/>
      <c r="AG93" s="341"/>
      <c r="AH93" s="341"/>
      <c r="AI93" s="341"/>
      <c r="AJ93" s="341"/>
      <c r="AK93" s="341"/>
      <c r="AL93" s="341"/>
      <c r="AM93" s="341"/>
      <c r="AN93" s="341"/>
      <c r="AO93" s="341"/>
      <c r="AP93" s="341"/>
      <c r="AQ93" s="341"/>
      <c r="AR93" s="341"/>
      <c r="AS93" s="341"/>
      <c r="AT93" s="341"/>
      <c r="AU93" s="341"/>
      <c r="AV93" s="341"/>
      <c r="AW93" s="341"/>
      <c r="AX93" s="341"/>
      <c r="AY93" s="341"/>
      <c r="AZ93" s="341"/>
      <c r="BA93" s="341"/>
      <c r="BB93" s="341"/>
      <c r="BC93" s="341"/>
      <c r="BD93" s="341"/>
      <c r="BE93" s="341"/>
      <c r="BF93" s="341"/>
      <c r="BG93" s="341"/>
      <c r="BH93" s="341"/>
      <c r="BI93" s="341"/>
      <c r="BJ93" s="341"/>
      <c r="BK93" s="341"/>
      <c r="BL93" s="341"/>
      <c r="BM93" s="341"/>
      <c r="BN93" s="341"/>
      <c r="BO93" s="341"/>
      <c r="BP93" s="341"/>
      <c r="BQ93" s="341"/>
      <c r="BR93" s="341"/>
      <c r="BS93" s="341"/>
      <c r="BT93" s="341"/>
      <c r="BU93" s="341"/>
      <c r="BV93" s="341"/>
      <c r="BW93" s="341"/>
      <c r="BX93" s="341"/>
      <c r="BY93" s="341"/>
    </row>
    <row r="94" ht="15.75" customHeight="1">
      <c r="A94" s="341"/>
      <c r="B94" s="341"/>
      <c r="C94" s="341"/>
      <c r="D94" s="341"/>
      <c r="E94" s="341"/>
      <c r="F94" s="341"/>
      <c r="G94" s="341"/>
      <c r="H94" s="341"/>
      <c r="I94" s="341"/>
      <c r="J94" s="341"/>
      <c r="K94" s="341"/>
      <c r="L94" s="341"/>
      <c r="M94" s="341"/>
      <c r="N94" s="341"/>
      <c r="O94" s="341"/>
      <c r="P94" s="341"/>
      <c r="Q94" s="341"/>
      <c r="R94" s="341"/>
      <c r="S94" s="341"/>
      <c r="T94" s="341"/>
      <c r="U94" s="341"/>
      <c r="V94" s="341"/>
      <c r="W94" s="341"/>
      <c r="X94" s="341"/>
      <c r="Y94" s="341"/>
      <c r="Z94" s="341"/>
      <c r="AA94" s="341"/>
      <c r="AB94" s="341"/>
      <c r="AC94" s="341"/>
      <c r="AD94" s="341"/>
      <c r="AE94" s="341"/>
      <c r="AF94" s="341"/>
      <c r="AG94" s="341"/>
      <c r="AH94" s="341"/>
      <c r="AI94" s="341"/>
      <c r="AJ94" s="341"/>
      <c r="AK94" s="341"/>
      <c r="AL94" s="341"/>
      <c r="AM94" s="341"/>
      <c r="AN94" s="341"/>
      <c r="AO94" s="341"/>
      <c r="AP94" s="341"/>
      <c r="AQ94" s="341"/>
      <c r="AR94" s="341"/>
      <c r="AS94" s="341"/>
      <c r="AT94" s="341"/>
      <c r="AU94" s="341"/>
      <c r="AV94" s="341"/>
      <c r="AW94" s="341"/>
      <c r="AX94" s="341"/>
      <c r="AY94" s="341"/>
      <c r="AZ94" s="341"/>
      <c r="BA94" s="341"/>
      <c r="BB94" s="341"/>
      <c r="BC94" s="341"/>
      <c r="BD94" s="341"/>
      <c r="BE94" s="341"/>
      <c r="BF94" s="341"/>
      <c r="BG94" s="341"/>
      <c r="BH94" s="341"/>
      <c r="BI94" s="341"/>
      <c r="BJ94" s="341"/>
      <c r="BK94" s="341"/>
      <c r="BL94" s="341"/>
      <c r="BM94" s="341"/>
      <c r="BN94" s="341"/>
      <c r="BO94" s="341"/>
      <c r="BP94" s="341"/>
      <c r="BQ94" s="341"/>
      <c r="BR94" s="341"/>
      <c r="BS94" s="341"/>
      <c r="BT94" s="341"/>
      <c r="BU94" s="341"/>
      <c r="BV94" s="341"/>
      <c r="BW94" s="341"/>
      <c r="BX94" s="341"/>
      <c r="BY94" s="341"/>
    </row>
    <row r="95" ht="15.75" customHeight="1">
      <c r="A95" s="341"/>
      <c r="B95" s="341"/>
      <c r="C95" s="341"/>
      <c r="D95" s="341"/>
      <c r="E95" s="341"/>
      <c r="F95" s="341"/>
      <c r="G95" s="341"/>
      <c r="H95" s="341"/>
      <c r="I95" s="341"/>
      <c r="J95" s="341"/>
      <c r="K95" s="341"/>
      <c r="L95" s="341"/>
      <c r="M95" s="341"/>
      <c r="N95" s="341"/>
      <c r="O95" s="341"/>
      <c r="P95" s="341"/>
      <c r="Q95" s="341"/>
      <c r="R95" s="341"/>
      <c r="S95" s="341"/>
      <c r="T95" s="341"/>
      <c r="U95" s="341"/>
      <c r="V95" s="341"/>
      <c r="W95" s="341"/>
      <c r="X95" s="341"/>
      <c r="Y95" s="341"/>
      <c r="Z95" s="341"/>
      <c r="AA95" s="341"/>
      <c r="AB95" s="341"/>
      <c r="AC95" s="341"/>
      <c r="AD95" s="341"/>
      <c r="AE95" s="341"/>
      <c r="AF95" s="341"/>
      <c r="AG95" s="341"/>
      <c r="AH95" s="341"/>
      <c r="AI95" s="341"/>
      <c r="AJ95" s="341"/>
      <c r="AK95" s="341"/>
      <c r="AL95" s="341"/>
      <c r="AM95" s="341"/>
      <c r="AN95" s="341"/>
      <c r="AO95" s="341"/>
      <c r="AP95" s="341"/>
      <c r="AQ95" s="341"/>
      <c r="AR95" s="341"/>
      <c r="AS95" s="341"/>
      <c r="AT95" s="341"/>
      <c r="AU95" s="341"/>
      <c r="AV95" s="341"/>
      <c r="AW95" s="341"/>
      <c r="AX95" s="341"/>
      <c r="AY95" s="341"/>
      <c r="AZ95" s="341"/>
      <c r="BA95" s="341"/>
      <c r="BB95" s="341"/>
      <c r="BC95" s="341"/>
      <c r="BD95" s="341"/>
      <c r="BE95" s="341"/>
      <c r="BF95" s="341"/>
      <c r="BG95" s="341"/>
      <c r="BH95" s="341"/>
      <c r="BI95" s="341"/>
      <c r="BJ95" s="341"/>
      <c r="BK95" s="341"/>
      <c r="BL95" s="341"/>
      <c r="BM95" s="341"/>
      <c r="BN95" s="341"/>
      <c r="BO95" s="341"/>
      <c r="BP95" s="341"/>
      <c r="BQ95" s="341"/>
      <c r="BR95" s="341"/>
      <c r="BS95" s="341"/>
      <c r="BT95" s="341"/>
      <c r="BU95" s="341"/>
      <c r="BV95" s="341"/>
      <c r="BW95" s="341"/>
      <c r="BX95" s="341"/>
      <c r="BY95" s="341"/>
    </row>
    <row r="96" ht="15.75" customHeight="1">
      <c r="A96" s="341"/>
      <c r="B96" s="341"/>
      <c r="C96" s="341"/>
      <c r="D96" s="341"/>
      <c r="E96" s="341"/>
      <c r="F96" s="341"/>
      <c r="G96" s="341"/>
      <c r="H96" s="341"/>
      <c r="I96" s="341"/>
      <c r="J96" s="341"/>
      <c r="K96" s="341"/>
      <c r="L96" s="341"/>
      <c r="M96" s="341"/>
      <c r="N96" s="341"/>
      <c r="O96" s="341"/>
      <c r="P96" s="341"/>
      <c r="Q96" s="341"/>
      <c r="R96" s="341"/>
      <c r="S96" s="341"/>
      <c r="T96" s="341"/>
      <c r="U96" s="341"/>
      <c r="V96" s="341"/>
      <c r="W96" s="341"/>
      <c r="X96" s="341"/>
      <c r="Y96" s="341"/>
      <c r="Z96" s="341"/>
      <c r="AA96" s="341"/>
      <c r="AB96" s="341"/>
      <c r="AC96" s="341"/>
      <c r="AD96" s="341"/>
      <c r="AE96" s="341"/>
      <c r="AF96" s="341"/>
      <c r="AG96" s="341"/>
      <c r="AH96" s="341"/>
      <c r="AI96" s="341"/>
      <c r="AJ96" s="341"/>
      <c r="AK96" s="341"/>
      <c r="AL96" s="341"/>
      <c r="AM96" s="341"/>
      <c r="AN96" s="341"/>
      <c r="AO96" s="341"/>
      <c r="AP96" s="341"/>
      <c r="AQ96" s="341"/>
      <c r="AR96" s="341"/>
      <c r="AS96" s="341"/>
      <c r="AT96" s="341"/>
      <c r="AU96" s="341"/>
      <c r="AV96" s="341"/>
      <c r="AW96" s="341"/>
      <c r="AX96" s="341"/>
      <c r="AY96" s="341"/>
      <c r="AZ96" s="341"/>
      <c r="BA96" s="341"/>
      <c r="BB96" s="341"/>
      <c r="BC96" s="341"/>
      <c r="BD96" s="341"/>
      <c r="BE96" s="341"/>
      <c r="BF96" s="341"/>
      <c r="BG96" s="341"/>
      <c r="BH96" s="341"/>
      <c r="BI96" s="341"/>
      <c r="BJ96" s="341"/>
      <c r="BK96" s="341"/>
      <c r="BL96" s="341"/>
      <c r="BM96" s="341"/>
      <c r="BN96" s="341"/>
      <c r="BO96" s="341"/>
      <c r="BP96" s="341"/>
      <c r="BQ96" s="341"/>
      <c r="BR96" s="341"/>
      <c r="BS96" s="341"/>
      <c r="BT96" s="341"/>
      <c r="BU96" s="341"/>
      <c r="BV96" s="341"/>
      <c r="BW96" s="341"/>
      <c r="BX96" s="341"/>
      <c r="BY96" s="341"/>
    </row>
    <row r="97" ht="15.75" customHeight="1">
      <c r="A97" s="341"/>
      <c r="B97" s="341"/>
      <c r="C97" s="341"/>
      <c r="D97" s="341"/>
      <c r="E97" s="341"/>
      <c r="F97" s="341"/>
      <c r="G97" s="341"/>
      <c r="H97" s="341"/>
      <c r="I97" s="341"/>
      <c r="J97" s="341"/>
      <c r="K97" s="341"/>
      <c r="L97" s="341"/>
      <c r="M97" s="341"/>
      <c r="N97" s="341"/>
      <c r="O97" s="341"/>
      <c r="P97" s="341"/>
      <c r="Q97" s="341"/>
      <c r="R97" s="341"/>
      <c r="S97" s="341"/>
      <c r="T97" s="341"/>
      <c r="U97" s="341"/>
      <c r="V97" s="341"/>
      <c r="W97" s="341"/>
      <c r="X97" s="341"/>
      <c r="Y97" s="341"/>
      <c r="Z97" s="341"/>
      <c r="AA97" s="341"/>
      <c r="AB97" s="341"/>
      <c r="AC97" s="341"/>
      <c r="AD97" s="341"/>
      <c r="AE97" s="341"/>
      <c r="AF97" s="341"/>
      <c r="AG97" s="341"/>
      <c r="AH97" s="341"/>
      <c r="AI97" s="341"/>
      <c r="AJ97" s="341"/>
      <c r="AK97" s="341"/>
      <c r="AL97" s="341"/>
      <c r="AM97" s="341"/>
      <c r="AN97" s="341"/>
      <c r="AO97" s="341"/>
      <c r="AP97" s="341"/>
      <c r="AQ97" s="341"/>
      <c r="AR97" s="341"/>
      <c r="AS97" s="341"/>
      <c r="AT97" s="341"/>
      <c r="AU97" s="341"/>
      <c r="AV97" s="341"/>
      <c r="AW97" s="341"/>
      <c r="AX97" s="341"/>
      <c r="AY97" s="341"/>
      <c r="AZ97" s="341"/>
      <c r="BA97" s="341"/>
      <c r="BB97" s="341"/>
      <c r="BC97" s="341"/>
      <c r="BD97" s="341"/>
      <c r="BE97" s="341"/>
      <c r="BF97" s="341"/>
      <c r="BG97" s="341"/>
      <c r="BH97" s="341"/>
      <c r="BI97" s="341"/>
      <c r="BJ97" s="341"/>
      <c r="BK97" s="341"/>
      <c r="BL97" s="341"/>
      <c r="BM97" s="341"/>
      <c r="BN97" s="341"/>
      <c r="BO97" s="341"/>
      <c r="BP97" s="341"/>
      <c r="BQ97" s="341"/>
      <c r="BR97" s="341"/>
      <c r="BS97" s="341"/>
      <c r="BT97" s="341"/>
      <c r="BU97" s="341"/>
      <c r="BV97" s="341"/>
      <c r="BW97" s="341"/>
      <c r="BX97" s="341"/>
      <c r="BY97" s="341"/>
    </row>
    <row r="98" ht="15.75" customHeight="1">
      <c r="A98" s="341"/>
      <c r="B98" s="341"/>
      <c r="C98" s="341"/>
      <c r="D98" s="341"/>
      <c r="E98" s="341"/>
      <c r="F98" s="341"/>
      <c r="G98" s="341"/>
      <c r="H98" s="341"/>
      <c r="I98" s="341"/>
      <c r="J98" s="341"/>
      <c r="K98" s="341"/>
      <c r="L98" s="341"/>
      <c r="M98" s="341"/>
      <c r="N98" s="341"/>
      <c r="O98" s="341"/>
      <c r="P98" s="341"/>
      <c r="Q98" s="341"/>
      <c r="R98" s="341"/>
      <c r="S98" s="341"/>
      <c r="T98" s="341"/>
      <c r="U98" s="341"/>
      <c r="V98" s="341"/>
      <c r="W98" s="341"/>
      <c r="X98" s="341"/>
      <c r="Y98" s="341"/>
      <c r="Z98" s="341"/>
      <c r="AA98" s="341"/>
      <c r="AB98" s="341"/>
      <c r="AC98" s="341"/>
      <c r="AD98" s="341"/>
      <c r="AE98" s="341"/>
      <c r="AF98" s="341"/>
      <c r="AG98" s="341"/>
      <c r="AH98" s="341"/>
      <c r="AI98" s="341"/>
      <c r="AJ98" s="341"/>
      <c r="AK98" s="341"/>
      <c r="AL98" s="341"/>
      <c r="AM98" s="341"/>
      <c r="AN98" s="341"/>
      <c r="AO98" s="341"/>
      <c r="AP98" s="341"/>
      <c r="AQ98" s="341"/>
      <c r="AR98" s="341"/>
      <c r="AS98" s="341"/>
      <c r="AT98" s="341"/>
      <c r="AU98" s="341"/>
      <c r="AV98" s="341"/>
      <c r="AW98" s="341"/>
      <c r="AX98" s="341"/>
      <c r="AY98" s="341"/>
      <c r="AZ98" s="341"/>
      <c r="BA98" s="341"/>
      <c r="BB98" s="341"/>
      <c r="BC98" s="341"/>
      <c r="BD98" s="341"/>
      <c r="BE98" s="341"/>
      <c r="BF98" s="341"/>
      <c r="BG98" s="341"/>
      <c r="BH98" s="341"/>
      <c r="BI98" s="341"/>
      <c r="BJ98" s="341"/>
      <c r="BK98" s="341"/>
      <c r="BL98" s="341"/>
      <c r="BM98" s="341"/>
      <c r="BN98" s="341"/>
      <c r="BO98" s="341"/>
      <c r="BP98" s="341"/>
      <c r="BQ98" s="341"/>
      <c r="BR98" s="341"/>
      <c r="BS98" s="341"/>
      <c r="BT98" s="341"/>
      <c r="BU98" s="341"/>
      <c r="BV98" s="341"/>
      <c r="BW98" s="341"/>
      <c r="BX98" s="341"/>
      <c r="BY98" s="341"/>
    </row>
    <row r="99" ht="15.75" customHeight="1">
      <c r="A99" s="341"/>
      <c r="B99" s="341"/>
      <c r="C99" s="341"/>
      <c r="D99" s="341"/>
      <c r="E99" s="341"/>
      <c r="F99" s="341"/>
      <c r="G99" s="341"/>
      <c r="H99" s="341"/>
      <c r="I99" s="341"/>
      <c r="J99" s="341"/>
      <c r="K99" s="341"/>
      <c r="L99" s="341"/>
      <c r="M99" s="341"/>
      <c r="N99" s="341"/>
      <c r="O99" s="341"/>
      <c r="P99" s="341"/>
      <c r="Q99" s="341"/>
      <c r="R99" s="341"/>
      <c r="S99" s="341"/>
      <c r="T99" s="341"/>
      <c r="U99" s="341"/>
      <c r="V99" s="341"/>
      <c r="W99" s="341"/>
      <c r="X99" s="341"/>
      <c r="Y99" s="341"/>
      <c r="Z99" s="341"/>
      <c r="AA99" s="341"/>
      <c r="AB99" s="341"/>
      <c r="AC99" s="341"/>
      <c r="AD99" s="341"/>
      <c r="AE99" s="341"/>
      <c r="AF99" s="341"/>
      <c r="AG99" s="341"/>
      <c r="AH99" s="341"/>
      <c r="AI99" s="341"/>
      <c r="AJ99" s="341"/>
      <c r="AK99" s="341"/>
      <c r="AL99" s="341"/>
      <c r="AM99" s="341"/>
      <c r="AN99" s="341"/>
      <c r="AO99" s="341"/>
      <c r="AP99" s="341"/>
      <c r="AQ99" s="341"/>
      <c r="AR99" s="341"/>
      <c r="AS99" s="341"/>
      <c r="AT99" s="341"/>
      <c r="AU99" s="341"/>
      <c r="AV99" s="341"/>
      <c r="AW99" s="341"/>
      <c r="AX99" s="341"/>
      <c r="AY99" s="341"/>
      <c r="AZ99" s="341"/>
      <c r="BA99" s="341"/>
      <c r="BB99" s="341"/>
      <c r="BC99" s="341"/>
      <c r="BD99" s="341"/>
      <c r="BE99" s="341"/>
      <c r="BF99" s="341"/>
      <c r="BG99" s="341"/>
      <c r="BH99" s="341"/>
      <c r="BI99" s="341"/>
      <c r="BJ99" s="341"/>
      <c r="BK99" s="341"/>
      <c r="BL99" s="341"/>
      <c r="BM99" s="341"/>
      <c r="BN99" s="341"/>
      <c r="BO99" s="341"/>
      <c r="BP99" s="341"/>
      <c r="BQ99" s="341"/>
      <c r="BR99" s="341"/>
      <c r="BS99" s="341"/>
      <c r="BT99" s="341"/>
      <c r="BU99" s="341"/>
      <c r="BV99" s="341"/>
      <c r="BW99" s="341"/>
      <c r="BX99" s="341"/>
      <c r="BY99" s="341"/>
    </row>
    <row r="100" ht="15.75" customHeight="1">
      <c r="A100" s="341"/>
      <c r="B100" s="341"/>
      <c r="C100" s="341"/>
      <c r="D100" s="341"/>
      <c r="E100" s="341"/>
      <c r="F100" s="341"/>
      <c r="G100" s="341"/>
      <c r="H100" s="341"/>
      <c r="I100" s="341"/>
      <c r="J100" s="341"/>
      <c r="K100" s="341"/>
      <c r="L100" s="341"/>
      <c r="M100" s="341"/>
      <c r="N100" s="341"/>
      <c r="O100" s="341"/>
      <c r="P100" s="341"/>
      <c r="Q100" s="341"/>
      <c r="R100" s="341"/>
      <c r="S100" s="341"/>
      <c r="T100" s="341"/>
      <c r="U100" s="341"/>
      <c r="V100" s="341"/>
      <c r="W100" s="341"/>
      <c r="X100" s="341"/>
      <c r="Y100" s="341"/>
      <c r="Z100" s="341"/>
      <c r="AA100" s="341"/>
      <c r="AB100" s="341"/>
      <c r="AC100" s="341"/>
      <c r="AD100" s="341"/>
      <c r="AE100" s="341"/>
      <c r="AF100" s="341"/>
      <c r="AG100" s="341"/>
      <c r="AH100" s="341"/>
      <c r="AI100" s="341"/>
      <c r="AJ100" s="341"/>
      <c r="AK100" s="341"/>
      <c r="AL100" s="341"/>
      <c r="AM100" s="341"/>
      <c r="AN100" s="341"/>
      <c r="AO100" s="341"/>
      <c r="AP100" s="341"/>
      <c r="AQ100" s="341"/>
      <c r="AR100" s="341"/>
      <c r="AS100" s="341"/>
      <c r="AT100" s="341"/>
      <c r="AU100" s="341"/>
      <c r="AV100" s="341"/>
      <c r="AW100" s="341"/>
      <c r="AX100" s="341"/>
      <c r="AY100" s="341"/>
      <c r="AZ100" s="341"/>
      <c r="BA100" s="341"/>
      <c r="BB100" s="341"/>
      <c r="BC100" s="341"/>
      <c r="BD100" s="341"/>
      <c r="BE100" s="341"/>
      <c r="BF100" s="341"/>
      <c r="BG100" s="341"/>
      <c r="BH100" s="341"/>
      <c r="BI100" s="341"/>
      <c r="BJ100" s="341"/>
      <c r="BK100" s="341"/>
      <c r="BL100" s="341"/>
      <c r="BM100" s="341"/>
      <c r="BN100" s="341"/>
      <c r="BO100" s="341"/>
      <c r="BP100" s="341"/>
      <c r="BQ100" s="341"/>
      <c r="BR100" s="341"/>
      <c r="BS100" s="341"/>
      <c r="BT100" s="341"/>
      <c r="BU100" s="341"/>
      <c r="BV100" s="341"/>
      <c r="BW100" s="341"/>
      <c r="BX100" s="341"/>
      <c r="BY100" s="341"/>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78">
    <mergeCell ref="P15:S15"/>
    <mergeCell ref="P16:S16"/>
    <mergeCell ref="P17:S17"/>
    <mergeCell ref="U17:X17"/>
    <mergeCell ref="P18:S18"/>
    <mergeCell ref="U18:X18"/>
    <mergeCell ref="U19:X19"/>
    <mergeCell ref="U20:X20"/>
    <mergeCell ref="Z28:AC28"/>
    <mergeCell ref="AE28:AH28"/>
    <mergeCell ref="AJ28:AM28"/>
    <mergeCell ref="AO28:AR28"/>
    <mergeCell ref="AT28:AW28"/>
    <mergeCell ref="AY28:BB28"/>
    <mergeCell ref="BD28:BG28"/>
    <mergeCell ref="P28:S28"/>
    <mergeCell ref="P29:S29"/>
    <mergeCell ref="Z29:AC29"/>
    <mergeCell ref="AE29:AH29"/>
    <mergeCell ref="AO29:AR29"/>
    <mergeCell ref="AT29:AW29"/>
    <mergeCell ref="AY29:BB29"/>
    <mergeCell ref="BD29:BG29"/>
    <mergeCell ref="Z30:AC30"/>
    <mergeCell ref="AE30:AH30"/>
    <mergeCell ref="AO30:AR30"/>
    <mergeCell ref="AT30:AW30"/>
    <mergeCell ref="AY30:BB30"/>
    <mergeCell ref="BD30:BG30"/>
    <mergeCell ref="F30:I30"/>
    <mergeCell ref="F31:I31"/>
    <mergeCell ref="U31:X31"/>
    <mergeCell ref="Z31:AC31"/>
    <mergeCell ref="AE31:AH31"/>
    <mergeCell ref="AO31:AR31"/>
    <mergeCell ref="AT31:AW31"/>
    <mergeCell ref="AY31:BB31"/>
    <mergeCell ref="BD31:BG31"/>
    <mergeCell ref="AO34:AR34"/>
    <mergeCell ref="AO35:AR35"/>
    <mergeCell ref="P19:S19"/>
    <mergeCell ref="P20:S20"/>
    <mergeCell ref="B28:D28"/>
    <mergeCell ref="K28:N28"/>
    <mergeCell ref="U28:X28"/>
    <mergeCell ref="B29:D29"/>
    <mergeCell ref="K29:N29"/>
    <mergeCell ref="U29:X29"/>
    <mergeCell ref="F28:I28"/>
    <mergeCell ref="F29:I29"/>
    <mergeCell ref="B30:D30"/>
    <mergeCell ref="K30:N30"/>
    <mergeCell ref="U30:X30"/>
    <mergeCell ref="B31:D31"/>
    <mergeCell ref="K31:N31"/>
    <mergeCell ref="B32:D32"/>
    <mergeCell ref="F32:I32"/>
    <mergeCell ref="K32:N32"/>
    <mergeCell ref="P32:S32"/>
    <mergeCell ref="U32:X32"/>
    <mergeCell ref="F33:I33"/>
    <mergeCell ref="P33:S33"/>
    <mergeCell ref="Z41:AC41"/>
    <mergeCell ref="AE41:AH41"/>
    <mergeCell ref="AJ41:AM41"/>
    <mergeCell ref="AO41:AR41"/>
    <mergeCell ref="AT41:AW41"/>
    <mergeCell ref="AY41:BB41"/>
    <mergeCell ref="BD41:BG41"/>
    <mergeCell ref="P41:S41"/>
    <mergeCell ref="P42:S42"/>
    <mergeCell ref="Z42:AC42"/>
    <mergeCell ref="AE42:AH42"/>
    <mergeCell ref="AO42:AR42"/>
    <mergeCell ref="AT42:AW42"/>
    <mergeCell ref="AY42:BB42"/>
    <mergeCell ref="BD42:BG42"/>
    <mergeCell ref="AO43:AR43"/>
    <mergeCell ref="AO44:AR44"/>
    <mergeCell ref="BD44:BG44"/>
    <mergeCell ref="Z45:AC45"/>
    <mergeCell ref="AE45:AH45"/>
    <mergeCell ref="AO45:AR45"/>
    <mergeCell ref="AT45:AW45"/>
    <mergeCell ref="AY45:BB45"/>
    <mergeCell ref="BD45:BG45"/>
    <mergeCell ref="P45:S45"/>
    <mergeCell ref="P46:S46"/>
    <mergeCell ref="AE46:AH46"/>
    <mergeCell ref="AO46:AR46"/>
    <mergeCell ref="AE47:AH47"/>
    <mergeCell ref="AE48:AH48"/>
    <mergeCell ref="F43:I43"/>
    <mergeCell ref="F44:I44"/>
    <mergeCell ref="B45:D45"/>
    <mergeCell ref="F45:I45"/>
    <mergeCell ref="K45:N45"/>
    <mergeCell ref="U45:X45"/>
    <mergeCell ref="B46:D46"/>
    <mergeCell ref="AE52:AH52"/>
    <mergeCell ref="AJ52:AM52"/>
    <mergeCell ref="AO52:AR52"/>
    <mergeCell ref="AT52:AW52"/>
    <mergeCell ref="AY52:BB52"/>
    <mergeCell ref="BD52:BG52"/>
    <mergeCell ref="Z52:AC52"/>
    <mergeCell ref="Z53:AC53"/>
    <mergeCell ref="AE53:AH53"/>
    <mergeCell ref="AO53:AR53"/>
    <mergeCell ref="AT53:AW53"/>
    <mergeCell ref="AY53:BB53"/>
    <mergeCell ref="BD53:BG53"/>
    <mergeCell ref="AT54:AW54"/>
    <mergeCell ref="AY54:BB54"/>
    <mergeCell ref="BD54:BG54"/>
    <mergeCell ref="AT56:AW56"/>
    <mergeCell ref="AY56:BB56"/>
    <mergeCell ref="AY57:BB57"/>
    <mergeCell ref="P52:S52"/>
    <mergeCell ref="P53:S53"/>
    <mergeCell ref="P54:S54"/>
    <mergeCell ref="U54:X54"/>
    <mergeCell ref="Z54:AC54"/>
    <mergeCell ref="AE54:AH54"/>
    <mergeCell ref="AO54:AR54"/>
    <mergeCell ref="K55:N55"/>
    <mergeCell ref="P55:S55"/>
    <mergeCell ref="Z55:AC55"/>
    <mergeCell ref="AE55:AH55"/>
    <mergeCell ref="AO55:AR55"/>
    <mergeCell ref="AT55:AW55"/>
    <mergeCell ref="AY55:BB55"/>
    <mergeCell ref="BD55:BG55"/>
    <mergeCell ref="P61:S61"/>
    <mergeCell ref="P62:S62"/>
    <mergeCell ref="P63:S63"/>
    <mergeCell ref="P67:S67"/>
    <mergeCell ref="P68:S68"/>
    <mergeCell ref="P69:S69"/>
    <mergeCell ref="Z61:AC61"/>
    <mergeCell ref="Z62:AC62"/>
    <mergeCell ref="Z63:AC63"/>
    <mergeCell ref="B59:D59"/>
    <mergeCell ref="B61:D61"/>
    <mergeCell ref="K61:N61"/>
    <mergeCell ref="U61:X61"/>
    <mergeCell ref="B62:D62"/>
    <mergeCell ref="K62:N62"/>
    <mergeCell ref="U62:X62"/>
    <mergeCell ref="K64:N64"/>
    <mergeCell ref="P64:S64"/>
    <mergeCell ref="B65:D65"/>
    <mergeCell ref="F65:I65"/>
    <mergeCell ref="K65:N65"/>
    <mergeCell ref="P65:S65"/>
    <mergeCell ref="B66:D66"/>
    <mergeCell ref="P66:S66"/>
    <mergeCell ref="U64:X64"/>
    <mergeCell ref="Z64:AC64"/>
    <mergeCell ref="U65:X65"/>
    <mergeCell ref="Z65:AC65"/>
    <mergeCell ref="AE65:AH65"/>
    <mergeCell ref="U66:X66"/>
    <mergeCell ref="Z66:AC66"/>
    <mergeCell ref="AE66:AH66"/>
    <mergeCell ref="B63:D63"/>
    <mergeCell ref="F63:I63"/>
    <mergeCell ref="K63:N63"/>
    <mergeCell ref="U63:X63"/>
    <mergeCell ref="AE63:AH63"/>
    <mergeCell ref="B64:D64"/>
    <mergeCell ref="F64:I64"/>
    <mergeCell ref="AE64:AH64"/>
    <mergeCell ref="B47:D47"/>
    <mergeCell ref="B52:D52"/>
    <mergeCell ref="K52:N52"/>
    <mergeCell ref="U52:X52"/>
    <mergeCell ref="B53:D53"/>
    <mergeCell ref="K53:N53"/>
    <mergeCell ref="U53:X53"/>
    <mergeCell ref="F52:I52"/>
    <mergeCell ref="F53:I53"/>
    <mergeCell ref="B54:D54"/>
    <mergeCell ref="F54:I54"/>
    <mergeCell ref="K54:N54"/>
    <mergeCell ref="F55:I55"/>
    <mergeCell ref="U55:X55"/>
    <mergeCell ref="B55:D55"/>
    <mergeCell ref="F56:I56"/>
    <mergeCell ref="K56:N56"/>
    <mergeCell ref="P56:S56"/>
    <mergeCell ref="U56:X56"/>
    <mergeCell ref="Z56:AC56"/>
    <mergeCell ref="AE56:AH56"/>
    <mergeCell ref="B56:D56"/>
    <mergeCell ref="B57:D57"/>
    <mergeCell ref="F57:I57"/>
    <mergeCell ref="P57:S57"/>
    <mergeCell ref="U57:X57"/>
    <mergeCell ref="B58:D58"/>
    <mergeCell ref="P58:S58"/>
    <mergeCell ref="AY61:BB61"/>
    <mergeCell ref="BD61:BG61"/>
    <mergeCell ref="AY62:BB62"/>
    <mergeCell ref="AY63:BB63"/>
    <mergeCell ref="AY64:BB64"/>
    <mergeCell ref="AY65:BB65"/>
    <mergeCell ref="F61:I61"/>
    <mergeCell ref="F62:I62"/>
    <mergeCell ref="AT61:AW61"/>
    <mergeCell ref="AT62:AW62"/>
    <mergeCell ref="AT63:AW63"/>
    <mergeCell ref="AT64:AW64"/>
    <mergeCell ref="AT65:AW65"/>
    <mergeCell ref="AE57:AH57"/>
    <mergeCell ref="AE58:AH58"/>
    <mergeCell ref="AE59:AH59"/>
    <mergeCell ref="AE61:AH61"/>
    <mergeCell ref="AJ61:AM61"/>
    <mergeCell ref="AO61:AR61"/>
    <mergeCell ref="AE62:AH62"/>
    <mergeCell ref="AJ13:AM13"/>
    <mergeCell ref="AO13:AR13"/>
    <mergeCell ref="AT13:AW13"/>
    <mergeCell ref="AY13:BB13"/>
    <mergeCell ref="BD13:BG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AE16:AH16"/>
    <mergeCell ref="AO16:AR16"/>
    <mergeCell ref="AT16:AW16"/>
    <mergeCell ref="AY16:BB16"/>
    <mergeCell ref="AO17:AR17"/>
    <mergeCell ref="AY17:BB17"/>
    <mergeCell ref="AO18:AR18"/>
    <mergeCell ref="AY18:BB18"/>
    <mergeCell ref="AO22:AR22"/>
    <mergeCell ref="AT22:AW22"/>
    <mergeCell ref="AY22:BB22"/>
    <mergeCell ref="AT17:AW17"/>
    <mergeCell ref="AT18:AW18"/>
    <mergeCell ref="AO19:AR19"/>
    <mergeCell ref="AT19:AW19"/>
    <mergeCell ref="AY19:BB19"/>
    <mergeCell ref="AT20:AW20"/>
    <mergeCell ref="AY20:BB20"/>
    <mergeCell ref="B15:D15"/>
    <mergeCell ref="K15:N15"/>
    <mergeCell ref="U15:X15"/>
    <mergeCell ref="AE15:AH15"/>
    <mergeCell ref="B16:D16"/>
    <mergeCell ref="K16:N16"/>
    <mergeCell ref="U16:X16"/>
    <mergeCell ref="BD16:BG16"/>
    <mergeCell ref="BD17:BG17"/>
    <mergeCell ref="BD18:BG18"/>
    <mergeCell ref="BD19:BG19"/>
    <mergeCell ref="B18:D18"/>
    <mergeCell ref="B19:D19"/>
    <mergeCell ref="F19:I19"/>
    <mergeCell ref="K19:N19"/>
    <mergeCell ref="B20:D20"/>
    <mergeCell ref="F20:I20"/>
    <mergeCell ref="K20:N20"/>
    <mergeCell ref="B21:D21"/>
    <mergeCell ref="F15:I15"/>
    <mergeCell ref="F16:I16"/>
    <mergeCell ref="B17:D17"/>
    <mergeCell ref="F17:I17"/>
    <mergeCell ref="K17:N17"/>
    <mergeCell ref="F18:I18"/>
    <mergeCell ref="K18:N18"/>
    <mergeCell ref="Z19:AC19"/>
    <mergeCell ref="Z20:AC20"/>
    <mergeCell ref="U21:X21"/>
    <mergeCell ref="Z15:AC15"/>
    <mergeCell ref="Z16:AC16"/>
    <mergeCell ref="Z17:AC17"/>
    <mergeCell ref="AE17:AH17"/>
    <mergeCell ref="Z18:AC18"/>
    <mergeCell ref="AE18:AH18"/>
    <mergeCell ref="AE19:AH19"/>
    <mergeCell ref="AE20:AH20"/>
    <mergeCell ref="AO20:AR20"/>
    <mergeCell ref="AO21:AR21"/>
    <mergeCell ref="AT21:AW21"/>
    <mergeCell ref="AY21:BB21"/>
    <mergeCell ref="P30:S30"/>
    <mergeCell ref="P31:S31"/>
    <mergeCell ref="AE32:AH32"/>
    <mergeCell ref="AO32:AR32"/>
    <mergeCell ref="AT32:AW32"/>
    <mergeCell ref="AY32:BB32"/>
    <mergeCell ref="BD32:BG32"/>
    <mergeCell ref="Z32:AC32"/>
    <mergeCell ref="Z33:AC33"/>
    <mergeCell ref="AO33:AR33"/>
    <mergeCell ref="AT33:AW33"/>
    <mergeCell ref="BD33:BG33"/>
    <mergeCell ref="Z34:AC34"/>
    <mergeCell ref="AT34:AW34"/>
    <mergeCell ref="B33:D33"/>
    <mergeCell ref="B34:D34"/>
    <mergeCell ref="B41:D41"/>
    <mergeCell ref="K41:N41"/>
    <mergeCell ref="U41:X41"/>
    <mergeCell ref="B42:D42"/>
    <mergeCell ref="K42:N42"/>
    <mergeCell ref="U42:X42"/>
    <mergeCell ref="P43:S43"/>
    <mergeCell ref="P44:S44"/>
    <mergeCell ref="F41:I41"/>
    <mergeCell ref="F42:I42"/>
    <mergeCell ref="B43:D43"/>
    <mergeCell ref="K43:N43"/>
    <mergeCell ref="U43:X43"/>
    <mergeCell ref="B44:D44"/>
    <mergeCell ref="K44:N44"/>
    <mergeCell ref="U44:X44"/>
    <mergeCell ref="AY43:BB43"/>
    <mergeCell ref="AY44:BB44"/>
    <mergeCell ref="Z43:AC43"/>
    <mergeCell ref="AE43:AH43"/>
    <mergeCell ref="AT43:AW43"/>
    <mergeCell ref="BD43:BG43"/>
    <mergeCell ref="Z44:AC44"/>
    <mergeCell ref="AE44:AH44"/>
    <mergeCell ref="AT44:AW44"/>
  </mergeCells>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8" priority="1">
      <formula>A15=1</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9" priority="2">
      <formula>A15=2</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0" priority="3">
      <formula>A15=3</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1" priority="4">
      <formula>A15=4</formula>
    </cfRule>
  </conditionalFormatting>
  <conditionalFormatting sqref="A15:A21 A28:A34 A41:A47 A52:A59 A61:A66 E15:E20 E28:E33 E41:E45 E52:E57 E61:E65 J15:J20 J28:J32 J41:J45 J52:J56 J61:J65 O15:O20 O28:O33 O41:O46 O52:O58 O61:O69 T15:T21 T28:T32 T41:T45 T52:T57 T61:T66 Y15:Y20 Y28:Y34 Y41:Y45 Y52:Y56 Y61:Y66 AD15:AD20 AD28:AD32 AD41:AD48 AD52:AD59 AD61:AD66 AI15 AI28 AI41 AI52 AI61 AN15:AN22 AN28:AN35 AN41:AN46 AN52:AN55 AN61 AS15:AS22 AS28:AS34 AS41:AS45 AS52:AS56 AS61:AS65 AX15:AX22 AX28:AX32 AX41:AX45 AX52:AX57 AX61:AX65 BC15:BC19 BC28:BC33 BC41:BC45 BC52:BC55 BC61">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206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34" t="s">
        <v>296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35"/>
    </row>
    <row r="2" ht="12.0" customHeight="1">
      <c r="A2" s="4"/>
      <c r="BR2" s="335"/>
    </row>
    <row r="3" ht="12.0" customHeight="1">
      <c r="A3" s="334" t="s">
        <v>482</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35"/>
    </row>
    <row r="4" ht="12.0" customHeight="1">
      <c r="A4" s="4"/>
      <c r="BR4" s="335"/>
    </row>
    <row r="5" ht="12.0" customHeight="1">
      <c r="A5" s="4"/>
      <c r="BR5" s="335"/>
    </row>
    <row r="6">
      <c r="BP6" s="317"/>
      <c r="BQ6" s="317"/>
    </row>
    <row r="7" ht="19.5" customHeight="1">
      <c r="AK7" s="336" t="s">
        <v>10</v>
      </c>
      <c r="AL7" s="16"/>
      <c r="AM7" s="16"/>
      <c r="AN7" s="17"/>
      <c r="AO7" s="336" t="s">
        <v>12</v>
      </c>
      <c r="AP7" s="16"/>
      <c r="AQ7" s="16"/>
      <c r="AR7" s="16"/>
      <c r="AS7" s="17"/>
      <c r="AT7" s="336" t="s">
        <v>14</v>
      </c>
      <c r="AU7" s="16"/>
      <c r="AV7" s="16"/>
      <c r="AW7" s="16"/>
      <c r="AX7" s="17"/>
      <c r="AY7" s="336" t="s">
        <v>15</v>
      </c>
      <c r="AZ7" s="16"/>
      <c r="BA7" s="16"/>
      <c r="BB7" s="16"/>
      <c r="BC7" s="17"/>
      <c r="BD7" s="336" t="s">
        <v>16</v>
      </c>
      <c r="BE7" s="16"/>
      <c r="BF7" s="16"/>
      <c r="BG7" s="16"/>
      <c r="BH7" s="17"/>
    </row>
    <row r="8" ht="19.5" customHeight="1">
      <c r="B8" s="336" t="s">
        <v>17</v>
      </c>
      <c r="C8" s="16"/>
      <c r="D8" s="16"/>
      <c r="E8" s="16"/>
      <c r="F8" s="16"/>
      <c r="G8" s="17"/>
      <c r="H8" s="29" t="str">
        <f>'Milestones Grid'!$H$6</f>
        <v>TEST NAME- GOLF</v>
      </c>
      <c r="I8" s="16"/>
      <c r="J8" s="16"/>
      <c r="K8" s="16"/>
      <c r="L8" s="16"/>
      <c r="M8" s="16"/>
      <c r="N8" s="16"/>
      <c r="O8" s="16"/>
      <c r="P8" s="16"/>
      <c r="Q8" s="16"/>
      <c r="R8" s="16"/>
      <c r="S8" s="16"/>
      <c r="T8" s="16"/>
      <c r="U8" s="16"/>
      <c r="V8" s="16"/>
      <c r="W8" s="16"/>
      <c r="X8" s="16"/>
      <c r="Y8" s="16"/>
      <c r="Z8" s="16"/>
      <c r="AA8" s="16"/>
      <c r="AB8" s="16"/>
      <c r="AC8" s="16"/>
      <c r="AD8" s="16"/>
      <c r="AE8" s="17"/>
      <c r="AK8" s="336" t="s">
        <v>19</v>
      </c>
      <c r="AL8" s="16"/>
      <c r="AM8" s="16"/>
      <c r="AN8" s="17"/>
      <c r="AO8" s="22">
        <f>'Milestones Grid'!AO6</f>
        <v>6.5</v>
      </c>
      <c r="AP8" s="16"/>
      <c r="AQ8" s="16"/>
      <c r="AR8" s="16"/>
      <c r="AS8" s="17"/>
      <c r="AT8" s="31"/>
      <c r="AU8" s="16"/>
      <c r="AV8" s="16"/>
      <c r="AW8" s="16"/>
      <c r="AX8" s="17"/>
      <c r="AY8" s="25"/>
      <c r="AZ8" s="16"/>
      <c r="BA8" s="16"/>
      <c r="BB8" s="16"/>
      <c r="BC8" s="17"/>
      <c r="BD8" s="32"/>
      <c r="BE8" s="16"/>
      <c r="BF8" s="16"/>
      <c r="BG8" s="16"/>
      <c r="BH8" s="17"/>
      <c r="BI8" s="14">
        <f>'Milestones Grid'!$BQ$24</f>
        <v>6.5</v>
      </c>
    </row>
    <row r="9" ht="19.5" customHeight="1">
      <c r="B9" s="336" t="s">
        <v>22</v>
      </c>
      <c r="C9" s="16"/>
      <c r="D9" s="16"/>
      <c r="E9" s="16"/>
      <c r="F9" s="16"/>
      <c r="G9" s="17"/>
      <c r="H9" s="41">
        <f>'Milestones Grid'!$H$7</f>
        <v>45108</v>
      </c>
      <c r="I9" s="16"/>
      <c r="J9" s="16"/>
      <c r="K9" s="16"/>
      <c r="L9" s="16"/>
      <c r="M9" s="16"/>
      <c r="N9" s="16"/>
      <c r="O9" s="16"/>
      <c r="P9" s="16"/>
      <c r="Q9" s="16"/>
      <c r="R9" s="16"/>
      <c r="S9" s="16"/>
      <c r="T9" s="16"/>
      <c r="U9" s="16"/>
      <c r="V9" s="16"/>
      <c r="W9" s="16"/>
      <c r="X9" s="16"/>
      <c r="Y9" s="16"/>
      <c r="Z9" s="16"/>
      <c r="AA9" s="16"/>
      <c r="AB9" s="16"/>
      <c r="AC9" s="16"/>
      <c r="AD9" s="16"/>
      <c r="AE9" s="17"/>
      <c r="AK9" s="336" t="s">
        <v>23</v>
      </c>
      <c r="AL9" s="16"/>
      <c r="AM9" s="16"/>
      <c r="AN9" s="17"/>
      <c r="AO9" s="22">
        <f>'Milestones Grid'!AO7</f>
        <v>6.5</v>
      </c>
      <c r="AP9" s="16"/>
      <c r="AQ9" s="16"/>
      <c r="AR9" s="16"/>
      <c r="AS9" s="17"/>
      <c r="AT9" s="31"/>
      <c r="AU9" s="16"/>
      <c r="AV9" s="16"/>
      <c r="AW9" s="16"/>
      <c r="AX9" s="17"/>
      <c r="AY9" s="33"/>
      <c r="AZ9" s="16"/>
      <c r="BA9" s="16"/>
      <c r="BB9" s="16"/>
      <c r="BC9" s="17"/>
      <c r="BD9" s="32"/>
      <c r="BE9" s="16"/>
      <c r="BF9" s="16"/>
      <c r="BG9" s="16"/>
      <c r="BH9" s="17"/>
      <c r="BI9" s="14">
        <f>'Milestones Grid'!$BR$24</f>
        <v>0</v>
      </c>
    </row>
    <row r="10" ht="19.5" customHeight="1">
      <c r="B10" s="336" t="s">
        <v>24</v>
      </c>
      <c r="C10" s="16"/>
      <c r="D10" s="16"/>
      <c r="E10" s="16"/>
      <c r="F10" s="16"/>
      <c r="G10" s="17"/>
      <c r="H10" s="337">
        <v>1.0</v>
      </c>
      <c r="I10" s="17"/>
      <c r="J10" s="39" t="str">
        <f>IF(OR(ISBLANK($H$9),ISBLANK($AT$8)),"",INT(YEARFRAC($H$9,$AT$8))&amp;" y, "&amp;INT((YEARFRAC($H$9,$AT$8)-INT(YEARFRAC($H$9,$AT$8)))*12)&amp;" m")</f>
        <v/>
      </c>
      <c r="K10" s="16"/>
      <c r="L10" s="16"/>
      <c r="M10" s="17"/>
      <c r="N10" s="337">
        <v>2.0</v>
      </c>
      <c r="O10" s="17"/>
      <c r="P10" s="39" t="str">
        <f>IF(OR(ISBLANK($H$9),ISBLANK($AT$9)),"",INT(YEARFRAC($H$9,$AT$9))&amp;" y, "&amp;INT((YEARFRAC($H$9,$AT$9)-INT(YEARFRAC($H$9,$AT$9)))*12)&amp;" m")</f>
        <v/>
      </c>
      <c r="Q10" s="16"/>
      <c r="R10" s="16"/>
      <c r="S10" s="17"/>
      <c r="T10" s="337">
        <v>3.0</v>
      </c>
      <c r="U10" s="17"/>
      <c r="V10" s="39" t="str">
        <f>IF(OR(ISBLANK($H$9),ISBLANK($AT$10)),"",INT(YEARFRAC($H$9,$AT$10))&amp;" y, "&amp;INT((YEARFRAC($H$9,$AT$10)-INT(YEARFRAC($H$9,$AT$10)))*12)&amp;" m")</f>
        <v/>
      </c>
      <c r="W10" s="16"/>
      <c r="X10" s="16"/>
      <c r="Y10" s="17"/>
      <c r="Z10" s="337">
        <v>4.0</v>
      </c>
      <c r="AA10" s="17"/>
      <c r="AB10" s="39" t="str">
        <f>IF(OR(ISBLANK($H$9),ISBLANK($AT$11)),"",INT(YEARFRAC($H$9,$AT$11))&amp;" y, "&amp;INT((YEARFRAC($H$9,$AT$11)-INT(YEARFRAC($H$9,$AT$11)))*12)&amp;" m")</f>
        <v/>
      </c>
      <c r="AC10" s="16"/>
      <c r="AD10" s="16"/>
      <c r="AE10" s="17"/>
      <c r="AK10" s="336" t="s">
        <v>30</v>
      </c>
      <c r="AL10" s="16"/>
      <c r="AM10" s="16"/>
      <c r="AN10" s="17"/>
      <c r="AO10" s="22">
        <f>'Milestones Grid'!AO8</f>
        <v>6.5</v>
      </c>
      <c r="AP10" s="16"/>
      <c r="AQ10" s="16"/>
      <c r="AR10" s="16"/>
      <c r="AS10" s="17"/>
      <c r="AT10" s="31"/>
      <c r="AU10" s="16"/>
      <c r="AV10" s="16"/>
      <c r="AW10" s="16"/>
      <c r="AX10" s="17"/>
      <c r="AY10" s="43"/>
      <c r="AZ10" s="16"/>
      <c r="BA10" s="16"/>
      <c r="BB10" s="16"/>
      <c r="BC10" s="17"/>
      <c r="BD10" s="32"/>
      <c r="BE10" s="16"/>
      <c r="BF10" s="16"/>
      <c r="BG10" s="16"/>
      <c r="BH10" s="17"/>
      <c r="BI10" s="14">
        <f>'Milestones Grid'!$BS$24</f>
        <v>0</v>
      </c>
    </row>
    <row r="11" ht="19.5" customHeight="1">
      <c r="AK11" s="336" t="s">
        <v>32</v>
      </c>
      <c r="AL11" s="16"/>
      <c r="AM11" s="16"/>
      <c r="AN11" s="17"/>
      <c r="AO11" s="22">
        <f>'Milestones Grid'!AO9</f>
        <v>6.5</v>
      </c>
      <c r="AP11" s="16"/>
      <c r="AQ11" s="16"/>
      <c r="AR11" s="16"/>
      <c r="AS11" s="17"/>
      <c r="AT11" s="31"/>
      <c r="AU11" s="16"/>
      <c r="AV11" s="16"/>
      <c r="AW11" s="16"/>
      <c r="AX11" s="17"/>
      <c r="AY11" s="45"/>
      <c r="AZ11" s="16"/>
      <c r="BA11" s="16"/>
      <c r="BB11" s="16"/>
      <c r="BC11" s="17"/>
      <c r="BD11" s="32"/>
      <c r="BE11" s="16"/>
      <c r="BF11" s="16"/>
      <c r="BG11" s="16"/>
      <c r="BH11" s="17"/>
      <c r="BI11" s="14">
        <f>'Milestones Grid'!$BT$24</f>
        <v>0</v>
      </c>
    </row>
    <row r="12">
      <c r="B12" s="6"/>
      <c r="C12" s="6"/>
      <c r="D12" s="6"/>
    </row>
    <row r="13" ht="13.5" customHeight="1">
      <c r="A13" s="6"/>
      <c r="B13" s="48" t="s">
        <v>36</v>
      </c>
      <c r="C13" s="49"/>
      <c r="D13" s="50"/>
      <c r="F13" s="48" t="s">
        <v>37</v>
      </c>
      <c r="G13" s="49"/>
      <c r="H13" s="49"/>
      <c r="I13" s="50"/>
      <c r="K13" s="48" t="s">
        <v>38</v>
      </c>
      <c r="L13" s="49"/>
      <c r="M13" s="49"/>
      <c r="N13" s="50"/>
      <c r="P13" s="48" t="s">
        <v>361</v>
      </c>
      <c r="Q13" s="49"/>
      <c r="R13" s="49"/>
      <c r="S13" s="50"/>
      <c r="U13" s="48" t="s">
        <v>40</v>
      </c>
      <c r="V13" s="49"/>
      <c r="W13" s="49"/>
      <c r="X13" s="50"/>
      <c r="Z13" s="48" t="s">
        <v>41</v>
      </c>
      <c r="AA13" s="49"/>
      <c r="AB13" s="49"/>
      <c r="AC13" s="50"/>
      <c r="AE13" s="48" t="s">
        <v>43</v>
      </c>
      <c r="AF13" s="49"/>
      <c r="AG13" s="49"/>
      <c r="AH13" s="50"/>
      <c r="AJ13" s="48" t="s">
        <v>42</v>
      </c>
      <c r="AK13" s="49"/>
      <c r="AL13" s="49"/>
      <c r="AM13" s="50"/>
      <c r="AO13" s="48" t="s">
        <v>44</v>
      </c>
      <c r="AP13" s="49"/>
      <c r="AQ13" s="49"/>
      <c r="AR13" s="50"/>
      <c r="AT13" s="48" t="s">
        <v>45</v>
      </c>
      <c r="AU13" s="49"/>
      <c r="AV13" s="49"/>
      <c r="AW13" s="50"/>
      <c r="AY13" s="48" t="s">
        <v>46</v>
      </c>
      <c r="AZ13" s="49"/>
      <c r="BA13" s="49"/>
      <c r="BB13" s="50"/>
      <c r="BD13" s="48" t="s">
        <v>47</v>
      </c>
      <c r="BE13" s="49"/>
      <c r="BF13" s="49"/>
      <c r="BG13" s="50"/>
      <c r="BI13" s="48" t="s">
        <v>48</v>
      </c>
      <c r="BJ13" s="49"/>
      <c r="BK13" s="49"/>
      <c r="BL13" s="50"/>
    </row>
    <row r="14" ht="13.5" customHeight="1">
      <c r="B14" s="6"/>
      <c r="C14" s="6"/>
      <c r="D14" s="6"/>
    </row>
    <row r="15" ht="13.5" customHeight="1">
      <c r="A15" s="6"/>
      <c r="B15" s="342" t="s">
        <v>488</v>
      </c>
      <c r="C15" s="49"/>
      <c r="D15" s="50"/>
      <c r="E15" s="327"/>
      <c r="F15" s="342" t="s">
        <v>488</v>
      </c>
      <c r="G15" s="49"/>
      <c r="H15" s="49"/>
      <c r="I15" s="50"/>
      <c r="J15" s="327"/>
      <c r="K15" s="342" t="s">
        <v>488</v>
      </c>
      <c r="L15" s="49"/>
      <c r="M15" s="49"/>
      <c r="N15" s="50"/>
      <c r="O15" s="327"/>
      <c r="P15" s="342" t="s">
        <v>488</v>
      </c>
      <c r="Q15" s="49"/>
      <c r="R15" s="49"/>
      <c r="S15" s="50"/>
      <c r="T15" s="327"/>
      <c r="U15" s="342" t="s">
        <v>488</v>
      </c>
      <c r="V15" s="49"/>
      <c r="W15" s="49"/>
      <c r="X15" s="50"/>
      <c r="Y15" s="327"/>
      <c r="Z15" s="342" t="s">
        <v>488</v>
      </c>
      <c r="AA15" s="49"/>
      <c r="AB15" s="49"/>
      <c r="AC15" s="50"/>
      <c r="AD15" s="327"/>
      <c r="AE15" s="342" t="s">
        <v>488</v>
      </c>
      <c r="AF15" s="49"/>
      <c r="AG15" s="49"/>
      <c r="AH15" s="50"/>
      <c r="AI15" s="327"/>
      <c r="AJ15" s="342" t="s">
        <v>488</v>
      </c>
      <c r="AK15" s="49"/>
      <c r="AL15" s="49"/>
      <c r="AM15" s="50"/>
      <c r="AN15" s="327"/>
      <c r="AO15" s="342" t="s">
        <v>488</v>
      </c>
      <c r="AP15" s="49"/>
      <c r="AQ15" s="49"/>
      <c r="AR15" s="50"/>
      <c r="AS15" s="327"/>
      <c r="AT15" s="342" t="s">
        <v>488</v>
      </c>
      <c r="AU15" s="49"/>
      <c r="AV15" s="49"/>
      <c r="AW15" s="50"/>
      <c r="AX15" s="327"/>
      <c r="AY15" s="342" t="s">
        <v>488</v>
      </c>
      <c r="AZ15" s="49"/>
      <c r="BA15" s="49"/>
      <c r="BB15" s="50"/>
      <c r="BC15" s="327"/>
      <c r="BD15" s="342" t="s">
        <v>488</v>
      </c>
      <c r="BE15" s="49"/>
      <c r="BF15" s="49"/>
      <c r="BG15" s="50"/>
      <c r="BH15" s="327"/>
      <c r="BI15" s="342" t="s">
        <v>488</v>
      </c>
      <c r="BJ15" s="49"/>
      <c r="BK15" s="49"/>
      <c r="BL15" s="50"/>
      <c r="BM15" s="332"/>
    </row>
    <row r="16" ht="13.5" customHeight="1">
      <c r="A16" s="6"/>
      <c r="B16" s="343" t="s">
        <v>489</v>
      </c>
      <c r="C16" s="49"/>
      <c r="D16" s="50"/>
      <c r="E16" s="327"/>
      <c r="F16" s="343" t="s">
        <v>490</v>
      </c>
      <c r="G16" s="49"/>
      <c r="H16" s="49"/>
      <c r="I16" s="50"/>
      <c r="J16" s="327"/>
      <c r="K16" s="343" t="s">
        <v>489</v>
      </c>
      <c r="L16" s="49"/>
      <c r="M16" s="49"/>
      <c r="N16" s="50"/>
      <c r="O16" s="327"/>
      <c r="P16" s="343" t="s">
        <v>491</v>
      </c>
      <c r="Q16" s="49"/>
      <c r="R16" s="49"/>
      <c r="S16" s="50"/>
      <c r="T16" s="327"/>
      <c r="U16" s="343" t="s">
        <v>489</v>
      </c>
      <c r="V16" s="49"/>
      <c r="W16" s="49"/>
      <c r="X16" s="50"/>
      <c r="Y16" s="327"/>
      <c r="Z16" s="343" t="s">
        <v>490</v>
      </c>
      <c r="AA16" s="49"/>
      <c r="AB16" s="49"/>
      <c r="AC16" s="50"/>
      <c r="AD16" s="327"/>
      <c r="AE16" s="343" t="s">
        <v>492</v>
      </c>
      <c r="AF16" s="49"/>
      <c r="AG16" s="49"/>
      <c r="AH16" s="50"/>
      <c r="AI16" s="327"/>
      <c r="AJ16" s="343" t="s">
        <v>493</v>
      </c>
      <c r="AK16" s="49"/>
      <c r="AL16" s="49"/>
      <c r="AM16" s="50"/>
      <c r="AN16" s="327"/>
      <c r="AO16" s="343" t="s">
        <v>489</v>
      </c>
      <c r="AP16" s="49"/>
      <c r="AQ16" s="49"/>
      <c r="AR16" s="50"/>
      <c r="AS16" s="327"/>
      <c r="AT16" s="343" t="s">
        <v>494</v>
      </c>
      <c r="AU16" s="49"/>
      <c r="AV16" s="49"/>
      <c r="AW16" s="50"/>
      <c r="AX16" s="327"/>
      <c r="AY16" s="343" t="s">
        <v>495</v>
      </c>
      <c r="AZ16" s="49"/>
      <c r="BA16" s="49"/>
      <c r="BB16" s="50"/>
      <c r="BC16" s="327"/>
      <c r="BD16" s="343" t="s">
        <v>490</v>
      </c>
      <c r="BE16" s="49"/>
      <c r="BF16" s="49"/>
      <c r="BG16" s="50"/>
      <c r="BH16" s="327"/>
      <c r="BI16" s="343" t="s">
        <v>493</v>
      </c>
      <c r="BJ16" s="49"/>
      <c r="BK16" s="49"/>
      <c r="BL16" s="50"/>
      <c r="BM16" s="332"/>
    </row>
    <row r="17" ht="13.5" customHeight="1">
      <c r="A17" s="6"/>
      <c r="B17" s="343" t="s">
        <v>491</v>
      </c>
      <c r="C17" s="49"/>
      <c r="D17" s="50"/>
      <c r="E17" s="327"/>
      <c r="F17" s="343" t="s">
        <v>493</v>
      </c>
      <c r="G17" s="49"/>
      <c r="H17" s="49"/>
      <c r="I17" s="50"/>
      <c r="J17" s="327"/>
      <c r="K17" s="343" t="s">
        <v>491</v>
      </c>
      <c r="L17" s="49"/>
      <c r="M17" s="49"/>
      <c r="N17" s="50"/>
      <c r="O17" s="327"/>
      <c r="P17" s="343" t="s">
        <v>492</v>
      </c>
      <c r="Q17" s="49"/>
      <c r="R17" s="49"/>
      <c r="S17" s="50"/>
      <c r="T17" s="327"/>
      <c r="U17" s="343" t="s">
        <v>491</v>
      </c>
      <c r="V17" s="49"/>
      <c r="W17" s="49"/>
      <c r="X17" s="50"/>
      <c r="Y17" s="327"/>
      <c r="Z17" s="343" t="s">
        <v>493</v>
      </c>
      <c r="AA17" s="49"/>
      <c r="AB17" s="49"/>
      <c r="AC17" s="50"/>
      <c r="AD17" s="327"/>
      <c r="AE17" s="343" t="s">
        <v>496</v>
      </c>
      <c r="AF17" s="49"/>
      <c r="AG17" s="49"/>
      <c r="AH17" s="50"/>
      <c r="AI17" s="327"/>
      <c r="AJ17" s="343" t="s">
        <v>489</v>
      </c>
      <c r="AK17" s="49"/>
      <c r="AL17" s="49"/>
      <c r="AM17" s="50"/>
      <c r="AN17" s="327"/>
      <c r="AO17" s="343" t="s">
        <v>491</v>
      </c>
      <c r="AP17" s="49"/>
      <c r="AQ17" s="49"/>
      <c r="AR17" s="50"/>
      <c r="AS17" s="327"/>
      <c r="AT17" s="343" t="s">
        <v>497</v>
      </c>
      <c r="AU17" s="49"/>
      <c r="AV17" s="49"/>
      <c r="AW17" s="50"/>
      <c r="AX17" s="327"/>
      <c r="AY17" s="343" t="s">
        <v>490</v>
      </c>
      <c r="AZ17" s="49"/>
      <c r="BA17" s="49"/>
      <c r="BB17" s="50"/>
      <c r="BC17" s="327"/>
      <c r="BD17" s="343" t="s">
        <v>493</v>
      </c>
      <c r="BE17" s="49"/>
      <c r="BF17" s="49"/>
      <c r="BG17" s="50"/>
      <c r="BH17" s="327"/>
      <c r="BI17" s="343" t="s">
        <v>489</v>
      </c>
      <c r="BJ17" s="49"/>
      <c r="BK17" s="49"/>
      <c r="BL17" s="50"/>
      <c r="BM17" s="332"/>
    </row>
    <row r="18" ht="13.5" customHeight="1">
      <c r="A18" s="6"/>
      <c r="B18" s="343" t="s">
        <v>492</v>
      </c>
      <c r="C18" s="49"/>
      <c r="D18" s="50"/>
      <c r="E18" s="327"/>
      <c r="F18" s="343" t="s">
        <v>489</v>
      </c>
      <c r="G18" s="49"/>
      <c r="H18" s="49"/>
      <c r="I18" s="50"/>
      <c r="J18" s="327"/>
      <c r="K18" s="343" t="s">
        <v>492</v>
      </c>
      <c r="L18" s="49"/>
      <c r="M18" s="49"/>
      <c r="N18" s="50"/>
      <c r="O18" s="327"/>
      <c r="P18" s="343" t="s">
        <v>496</v>
      </c>
      <c r="Q18" s="49"/>
      <c r="R18" s="49"/>
      <c r="S18" s="50"/>
      <c r="T18" s="327"/>
      <c r="U18" s="343" t="s">
        <v>492</v>
      </c>
      <c r="V18" s="49"/>
      <c r="W18" s="49"/>
      <c r="X18" s="50"/>
      <c r="Y18" s="327"/>
      <c r="Z18" s="343" t="s">
        <v>489</v>
      </c>
      <c r="AA18" s="49"/>
      <c r="AB18" s="49"/>
      <c r="AC18" s="50"/>
      <c r="AD18" s="327"/>
      <c r="AE18" s="343" t="s">
        <v>498</v>
      </c>
      <c r="AF18" s="49"/>
      <c r="AG18" s="49"/>
      <c r="AH18" s="50"/>
      <c r="AI18" s="327"/>
      <c r="AJ18" s="343" t="s">
        <v>491</v>
      </c>
      <c r="AK18" s="49"/>
      <c r="AL18" s="49"/>
      <c r="AM18" s="50"/>
      <c r="AN18" s="327"/>
      <c r="AO18" s="343" t="s">
        <v>492</v>
      </c>
      <c r="AP18" s="49"/>
      <c r="AQ18" s="49"/>
      <c r="AR18" s="50"/>
      <c r="AS18" s="327"/>
      <c r="AT18" s="343" t="s">
        <v>499</v>
      </c>
      <c r="AU18" s="49"/>
      <c r="AV18" s="49"/>
      <c r="AW18" s="50"/>
      <c r="AX18" s="327"/>
      <c r="AY18" s="343" t="s">
        <v>493</v>
      </c>
      <c r="AZ18" s="49"/>
      <c r="BA18" s="49"/>
      <c r="BB18" s="50"/>
      <c r="BC18" s="327"/>
      <c r="BD18" s="343" t="s">
        <v>489</v>
      </c>
      <c r="BE18" s="49"/>
      <c r="BF18" s="49"/>
      <c r="BG18" s="50"/>
      <c r="BH18" s="327"/>
      <c r="BI18" s="343" t="s">
        <v>491</v>
      </c>
      <c r="BJ18" s="49"/>
      <c r="BK18" s="49"/>
      <c r="BL18" s="50"/>
      <c r="BM18" s="332"/>
    </row>
    <row r="19" ht="13.5" customHeight="1">
      <c r="A19" s="6"/>
      <c r="B19" s="343" t="s">
        <v>496</v>
      </c>
      <c r="C19" s="49"/>
      <c r="D19" s="50"/>
      <c r="E19" s="327"/>
      <c r="F19" s="343" t="s">
        <v>491</v>
      </c>
      <c r="G19" s="49"/>
      <c r="H19" s="49"/>
      <c r="I19" s="50"/>
      <c r="J19" s="327"/>
      <c r="K19" s="343" t="s">
        <v>496</v>
      </c>
      <c r="L19" s="49"/>
      <c r="M19" s="49"/>
      <c r="N19" s="50"/>
      <c r="O19" s="327"/>
      <c r="P19" s="343" t="s">
        <v>498</v>
      </c>
      <c r="Q19" s="49"/>
      <c r="R19" s="49"/>
      <c r="S19" s="50"/>
      <c r="T19" s="327"/>
      <c r="U19" s="343" t="s">
        <v>496</v>
      </c>
      <c r="V19" s="49"/>
      <c r="W19" s="49"/>
      <c r="X19" s="50"/>
      <c r="Y19" s="327"/>
      <c r="Z19" s="343" t="s">
        <v>491</v>
      </c>
      <c r="AA19" s="49"/>
      <c r="AB19" s="49"/>
      <c r="AC19" s="50"/>
      <c r="AD19" s="332"/>
      <c r="AE19" s="344"/>
      <c r="AF19" s="345"/>
      <c r="AG19" s="345"/>
      <c r="AH19" s="346"/>
      <c r="AI19" s="327"/>
      <c r="AJ19" s="343" t="s">
        <v>492</v>
      </c>
      <c r="AK19" s="49"/>
      <c r="AL19" s="49"/>
      <c r="AM19" s="50"/>
      <c r="AN19" s="327"/>
      <c r="AO19" s="343" t="s">
        <v>496</v>
      </c>
      <c r="AP19" s="49"/>
      <c r="AQ19" s="49"/>
      <c r="AR19" s="50"/>
      <c r="AS19" s="327"/>
      <c r="AT19" s="343" t="s">
        <v>495</v>
      </c>
      <c r="AU19" s="49"/>
      <c r="AV19" s="49"/>
      <c r="AW19" s="50"/>
      <c r="AX19" s="327"/>
      <c r="AY19" s="343" t="s">
        <v>489</v>
      </c>
      <c r="AZ19" s="49"/>
      <c r="BA19" s="49"/>
      <c r="BB19" s="50"/>
      <c r="BC19" s="327"/>
      <c r="BD19" s="343" t="s">
        <v>491</v>
      </c>
      <c r="BE19" s="49"/>
      <c r="BF19" s="49"/>
      <c r="BG19" s="50"/>
      <c r="BH19" s="327"/>
      <c r="BI19" s="343" t="s">
        <v>492</v>
      </c>
      <c r="BJ19" s="49"/>
      <c r="BK19" s="49"/>
      <c r="BL19" s="50"/>
      <c r="BM19" s="332"/>
    </row>
    <row r="20" ht="13.5" customHeight="1">
      <c r="A20" s="6"/>
      <c r="B20" s="343" t="s">
        <v>498</v>
      </c>
      <c r="C20" s="49"/>
      <c r="D20" s="50"/>
      <c r="E20" s="327"/>
      <c r="F20" s="343" t="s">
        <v>492</v>
      </c>
      <c r="G20" s="49"/>
      <c r="H20" s="49"/>
      <c r="I20" s="50"/>
      <c r="J20" s="327"/>
      <c r="K20" s="343" t="s">
        <v>498</v>
      </c>
      <c r="L20" s="49"/>
      <c r="M20" s="49"/>
      <c r="N20" s="50"/>
      <c r="O20" s="332"/>
      <c r="P20" s="344"/>
      <c r="Q20" s="345"/>
      <c r="R20" s="345"/>
      <c r="S20" s="346"/>
      <c r="T20" s="327"/>
      <c r="U20" s="343" t="s">
        <v>498</v>
      </c>
      <c r="V20" s="49"/>
      <c r="W20" s="49"/>
      <c r="X20" s="50"/>
      <c r="Y20" s="327"/>
      <c r="Z20" s="343" t="s">
        <v>492</v>
      </c>
      <c r="AA20" s="49"/>
      <c r="AB20" s="49"/>
      <c r="AC20" s="50"/>
      <c r="AD20" s="332"/>
      <c r="AE20" s="344"/>
      <c r="AF20" s="345"/>
      <c r="AG20" s="345"/>
      <c r="AH20" s="346"/>
      <c r="AI20" s="327"/>
      <c r="AJ20" s="343" t="s">
        <v>496</v>
      </c>
      <c r="AK20" s="49"/>
      <c r="AL20" s="49"/>
      <c r="AM20" s="50"/>
      <c r="AN20" s="327"/>
      <c r="AO20" s="343" t="s">
        <v>498</v>
      </c>
      <c r="AP20" s="49"/>
      <c r="AQ20" s="49"/>
      <c r="AR20" s="50"/>
      <c r="AS20" s="327"/>
      <c r="AT20" s="343" t="s">
        <v>490</v>
      </c>
      <c r="AU20" s="49"/>
      <c r="AV20" s="49"/>
      <c r="AW20" s="50"/>
      <c r="AX20" s="327"/>
      <c r="AY20" s="343" t="s">
        <v>491</v>
      </c>
      <c r="AZ20" s="49"/>
      <c r="BA20" s="49"/>
      <c r="BB20" s="50"/>
      <c r="BC20" s="327"/>
      <c r="BD20" s="343" t="s">
        <v>492</v>
      </c>
      <c r="BE20" s="49"/>
      <c r="BF20" s="49"/>
      <c r="BG20" s="50"/>
      <c r="BH20" s="327"/>
      <c r="BI20" s="343" t="s">
        <v>496</v>
      </c>
      <c r="BJ20" s="49"/>
      <c r="BK20" s="49"/>
      <c r="BL20" s="50"/>
      <c r="BM20" s="332"/>
    </row>
    <row r="21" ht="13.5" customHeight="1">
      <c r="B21" s="344"/>
      <c r="C21" s="345"/>
      <c r="D21" s="346"/>
      <c r="E21" s="327"/>
      <c r="F21" s="343" t="s">
        <v>496</v>
      </c>
      <c r="G21" s="49"/>
      <c r="H21" s="49"/>
      <c r="I21" s="50"/>
      <c r="J21" s="332"/>
      <c r="K21" s="344"/>
      <c r="L21" s="345"/>
      <c r="M21" s="345"/>
      <c r="N21" s="346"/>
      <c r="O21" s="332"/>
      <c r="P21" s="344"/>
      <c r="Q21" s="345"/>
      <c r="R21" s="345"/>
      <c r="S21" s="346"/>
      <c r="T21" s="332"/>
      <c r="U21" s="344"/>
      <c r="V21" s="345"/>
      <c r="W21" s="345"/>
      <c r="X21" s="346"/>
      <c r="Y21" s="327"/>
      <c r="Z21" s="343" t="s">
        <v>496</v>
      </c>
      <c r="AA21" s="49"/>
      <c r="AB21" s="49"/>
      <c r="AC21" s="50"/>
      <c r="AD21" s="332"/>
      <c r="AE21" s="344"/>
      <c r="AF21" s="345"/>
      <c r="AG21" s="345"/>
      <c r="AH21" s="346"/>
      <c r="AI21" s="327"/>
      <c r="AJ21" s="343" t="s">
        <v>498</v>
      </c>
      <c r="AK21" s="49"/>
      <c r="AL21" s="49"/>
      <c r="AM21" s="50"/>
      <c r="AN21" s="332"/>
      <c r="AO21" s="344"/>
      <c r="AP21" s="345"/>
      <c r="AQ21" s="345"/>
      <c r="AR21" s="346"/>
      <c r="AS21" s="327"/>
      <c r="AT21" s="343" t="s">
        <v>493</v>
      </c>
      <c r="AU21" s="49"/>
      <c r="AV21" s="49"/>
      <c r="AW21" s="50"/>
      <c r="AX21" s="327"/>
      <c r="AY21" s="343" t="s">
        <v>492</v>
      </c>
      <c r="AZ21" s="49"/>
      <c r="BA21" s="49"/>
      <c r="BB21" s="50"/>
      <c r="BC21" s="327"/>
      <c r="BD21" s="343" t="s">
        <v>496</v>
      </c>
      <c r="BE21" s="49"/>
      <c r="BF21" s="49"/>
      <c r="BG21" s="50"/>
      <c r="BH21" s="327"/>
      <c r="BI21" s="343" t="s">
        <v>498</v>
      </c>
      <c r="BJ21" s="49"/>
      <c r="BK21" s="49"/>
      <c r="BL21" s="50"/>
      <c r="BM21" s="332"/>
    </row>
    <row r="22" ht="13.5" customHeight="1">
      <c r="B22" s="344"/>
      <c r="C22" s="345"/>
      <c r="D22" s="346"/>
      <c r="E22" s="327"/>
      <c r="F22" s="343" t="s">
        <v>498</v>
      </c>
      <c r="G22" s="49"/>
      <c r="H22" s="49"/>
      <c r="I22" s="50"/>
      <c r="J22" s="332"/>
      <c r="K22" s="344"/>
      <c r="L22" s="345"/>
      <c r="M22" s="345"/>
      <c r="N22" s="346"/>
      <c r="O22" s="332"/>
      <c r="P22" s="344"/>
      <c r="Q22" s="345"/>
      <c r="R22" s="345"/>
      <c r="S22" s="346"/>
      <c r="T22" s="332"/>
      <c r="U22" s="344"/>
      <c r="V22" s="345"/>
      <c r="W22" s="345"/>
      <c r="X22" s="346"/>
      <c r="Y22" s="327"/>
      <c r="Z22" s="343" t="s">
        <v>498</v>
      </c>
      <c r="AA22" s="49"/>
      <c r="AB22" s="49"/>
      <c r="AC22" s="50"/>
      <c r="AD22" s="332"/>
      <c r="AE22" s="344"/>
      <c r="AF22" s="345"/>
      <c r="AG22" s="345"/>
      <c r="AH22" s="346"/>
      <c r="AI22" s="332"/>
      <c r="AJ22" s="344"/>
      <c r="AK22" s="345"/>
      <c r="AL22" s="345"/>
      <c r="AM22" s="346"/>
      <c r="AN22" s="332"/>
      <c r="AO22" s="344"/>
      <c r="AP22" s="345"/>
      <c r="AQ22" s="345"/>
      <c r="AR22" s="346"/>
      <c r="AS22" s="327"/>
      <c r="AT22" s="343" t="s">
        <v>489</v>
      </c>
      <c r="AU22" s="49"/>
      <c r="AV22" s="49"/>
      <c r="AW22" s="50"/>
      <c r="AX22" s="327"/>
      <c r="AY22" s="343" t="s">
        <v>496</v>
      </c>
      <c r="AZ22" s="49"/>
      <c r="BA22" s="49"/>
      <c r="BB22" s="50"/>
      <c r="BC22" s="327"/>
      <c r="BD22" s="343" t="s">
        <v>498</v>
      </c>
      <c r="BE22" s="49"/>
      <c r="BF22" s="49"/>
      <c r="BG22" s="50"/>
      <c r="BH22" s="332"/>
      <c r="BI22" s="344"/>
      <c r="BJ22" s="345"/>
      <c r="BK22" s="345"/>
      <c r="BL22" s="346"/>
      <c r="BM22" s="332"/>
    </row>
    <row r="23" ht="13.5" customHeight="1">
      <c r="B23" s="344"/>
      <c r="C23" s="345"/>
      <c r="D23" s="346"/>
      <c r="E23" s="332"/>
      <c r="F23" s="344"/>
      <c r="G23" s="345"/>
      <c r="H23" s="345"/>
      <c r="I23" s="346"/>
      <c r="J23" s="332"/>
      <c r="K23" s="344"/>
      <c r="L23" s="345"/>
      <c r="M23" s="345"/>
      <c r="N23" s="346"/>
      <c r="O23" s="332"/>
      <c r="P23" s="344"/>
      <c r="Q23" s="345"/>
      <c r="R23" s="345"/>
      <c r="S23" s="346"/>
      <c r="T23" s="332"/>
      <c r="U23" s="344"/>
      <c r="V23" s="345"/>
      <c r="W23" s="345"/>
      <c r="X23" s="346"/>
      <c r="Y23" s="332"/>
      <c r="Z23" s="344"/>
      <c r="AA23" s="345"/>
      <c r="AB23" s="345"/>
      <c r="AC23" s="346"/>
      <c r="AD23" s="332"/>
      <c r="AE23" s="344"/>
      <c r="AF23" s="345"/>
      <c r="AG23" s="345"/>
      <c r="AH23" s="346"/>
      <c r="AI23" s="332"/>
      <c r="AJ23" s="344"/>
      <c r="AK23" s="345"/>
      <c r="AL23" s="345"/>
      <c r="AM23" s="346"/>
      <c r="AN23" s="332"/>
      <c r="AO23" s="344"/>
      <c r="AP23" s="345"/>
      <c r="AQ23" s="345"/>
      <c r="AR23" s="346"/>
      <c r="AS23" s="327"/>
      <c r="AT23" s="343" t="s">
        <v>491</v>
      </c>
      <c r="AU23" s="49"/>
      <c r="AV23" s="49"/>
      <c r="AW23" s="50"/>
      <c r="AX23" s="327"/>
      <c r="AY23" s="343" t="s">
        <v>498</v>
      </c>
      <c r="AZ23" s="49"/>
      <c r="BA23" s="49"/>
      <c r="BB23" s="50"/>
      <c r="BC23" s="332"/>
      <c r="BD23" s="344"/>
      <c r="BE23" s="345"/>
      <c r="BF23" s="345"/>
      <c r="BG23" s="346"/>
      <c r="BH23" s="332"/>
      <c r="BI23" s="344"/>
      <c r="BJ23" s="345"/>
      <c r="BK23" s="345"/>
      <c r="BL23" s="346"/>
      <c r="BM23" s="332"/>
    </row>
    <row r="24" ht="13.5" customHeight="1">
      <c r="B24" s="344"/>
      <c r="C24" s="345"/>
      <c r="D24" s="346"/>
      <c r="E24" s="332"/>
      <c r="F24" s="344"/>
      <c r="G24" s="345"/>
      <c r="H24" s="345"/>
      <c r="I24" s="346"/>
      <c r="J24" s="332"/>
      <c r="K24" s="344"/>
      <c r="L24" s="345"/>
      <c r="M24" s="345"/>
      <c r="N24" s="346"/>
      <c r="O24" s="332"/>
      <c r="P24" s="344"/>
      <c r="Q24" s="345"/>
      <c r="R24" s="345"/>
      <c r="S24" s="346"/>
      <c r="T24" s="332"/>
      <c r="U24" s="344"/>
      <c r="V24" s="345"/>
      <c r="W24" s="345"/>
      <c r="X24" s="346"/>
      <c r="Y24" s="332"/>
      <c r="Z24" s="344"/>
      <c r="AA24" s="345"/>
      <c r="AB24" s="345"/>
      <c r="AC24" s="346"/>
      <c r="AD24" s="332"/>
      <c r="AE24" s="344"/>
      <c r="AF24" s="345"/>
      <c r="AG24" s="345"/>
      <c r="AH24" s="346"/>
      <c r="AI24" s="332"/>
      <c r="AJ24" s="344"/>
      <c r="AK24" s="345"/>
      <c r="AL24" s="345"/>
      <c r="AM24" s="346"/>
      <c r="AN24" s="332"/>
      <c r="AO24" s="344"/>
      <c r="AP24" s="345"/>
      <c r="AQ24" s="345"/>
      <c r="AR24" s="346"/>
      <c r="AS24" s="327"/>
      <c r="AT24" s="343" t="s">
        <v>492</v>
      </c>
      <c r="AU24" s="49"/>
      <c r="AV24" s="49"/>
      <c r="AW24" s="50"/>
      <c r="AX24" s="332"/>
      <c r="AY24" s="344"/>
      <c r="AZ24" s="345"/>
      <c r="BA24" s="345"/>
      <c r="BB24" s="346"/>
      <c r="BC24" s="332"/>
      <c r="BD24" s="344"/>
      <c r="BE24" s="345"/>
      <c r="BF24" s="345"/>
      <c r="BG24" s="346"/>
      <c r="BH24" s="332"/>
      <c r="BI24" s="344"/>
      <c r="BJ24" s="345"/>
      <c r="BK24" s="345"/>
      <c r="BL24" s="346"/>
      <c r="BM24" s="332"/>
    </row>
    <row r="25" ht="13.5" customHeight="1">
      <c r="B25" s="344"/>
      <c r="C25" s="345"/>
      <c r="D25" s="346"/>
      <c r="E25" s="332"/>
      <c r="F25" s="344"/>
      <c r="G25" s="345"/>
      <c r="H25" s="345"/>
      <c r="I25" s="346"/>
      <c r="J25" s="332"/>
      <c r="K25" s="344"/>
      <c r="L25" s="345"/>
      <c r="M25" s="345"/>
      <c r="N25" s="346"/>
      <c r="O25" s="332"/>
      <c r="P25" s="344"/>
      <c r="Q25" s="345"/>
      <c r="R25" s="345"/>
      <c r="S25" s="346"/>
      <c r="T25" s="332"/>
      <c r="U25" s="344"/>
      <c r="V25" s="345"/>
      <c r="W25" s="345"/>
      <c r="X25" s="346"/>
      <c r="Y25" s="332"/>
      <c r="Z25" s="344"/>
      <c r="AA25" s="345"/>
      <c r="AB25" s="345"/>
      <c r="AC25" s="346"/>
      <c r="AD25" s="332"/>
      <c r="AE25" s="344"/>
      <c r="AF25" s="345"/>
      <c r="AG25" s="345"/>
      <c r="AH25" s="346"/>
      <c r="AI25" s="332"/>
      <c r="AJ25" s="344"/>
      <c r="AK25" s="345"/>
      <c r="AL25" s="345"/>
      <c r="AM25" s="346"/>
      <c r="AN25" s="332"/>
      <c r="AO25" s="344"/>
      <c r="AP25" s="345"/>
      <c r="AQ25" s="345"/>
      <c r="AR25" s="346"/>
      <c r="AS25" s="327"/>
      <c r="AT25" s="343" t="s">
        <v>496</v>
      </c>
      <c r="AU25" s="49"/>
      <c r="AV25" s="49"/>
      <c r="AW25" s="50"/>
      <c r="AX25" s="332"/>
      <c r="AY25" s="344"/>
      <c r="AZ25" s="345"/>
      <c r="BA25" s="345"/>
      <c r="BB25" s="346"/>
      <c r="BC25" s="332"/>
      <c r="BD25" s="344"/>
      <c r="BE25" s="345"/>
      <c r="BF25" s="345"/>
      <c r="BG25" s="346"/>
      <c r="BH25" s="332"/>
      <c r="BI25" s="344"/>
      <c r="BJ25" s="345"/>
      <c r="BK25" s="345"/>
      <c r="BL25" s="346"/>
      <c r="BM25" s="332"/>
    </row>
    <row r="26" ht="13.5" customHeight="1">
      <c r="B26" s="344"/>
      <c r="C26" s="345"/>
      <c r="D26" s="346"/>
      <c r="E26" s="332"/>
      <c r="F26" s="344"/>
      <c r="G26" s="345"/>
      <c r="H26" s="345"/>
      <c r="I26" s="346"/>
      <c r="J26" s="332"/>
      <c r="K26" s="344"/>
      <c r="L26" s="345"/>
      <c r="M26" s="345"/>
      <c r="N26" s="346"/>
      <c r="O26" s="332"/>
      <c r="P26" s="344"/>
      <c r="Q26" s="345"/>
      <c r="R26" s="345"/>
      <c r="S26" s="346"/>
      <c r="T26" s="332"/>
      <c r="U26" s="344"/>
      <c r="V26" s="345"/>
      <c r="W26" s="345"/>
      <c r="X26" s="346"/>
      <c r="Y26" s="332"/>
      <c r="Z26" s="344"/>
      <c r="AA26" s="345"/>
      <c r="AB26" s="345"/>
      <c r="AC26" s="346"/>
      <c r="AD26" s="332"/>
      <c r="AE26" s="344"/>
      <c r="AF26" s="345"/>
      <c r="AG26" s="345"/>
      <c r="AH26" s="346"/>
      <c r="AI26" s="332"/>
      <c r="AJ26" s="344"/>
      <c r="AK26" s="345"/>
      <c r="AL26" s="345"/>
      <c r="AM26" s="346"/>
      <c r="AN26" s="332"/>
      <c r="AO26" s="344"/>
      <c r="AP26" s="345"/>
      <c r="AQ26" s="345"/>
      <c r="AR26" s="346"/>
      <c r="AS26" s="327"/>
      <c r="AT26" s="343" t="s">
        <v>498</v>
      </c>
      <c r="AU26" s="49"/>
      <c r="AV26" s="49"/>
      <c r="AW26" s="50"/>
      <c r="AX26" s="332"/>
      <c r="AY26" s="344"/>
      <c r="AZ26" s="345"/>
      <c r="BA26" s="345"/>
      <c r="BB26" s="346"/>
      <c r="BC26" s="332"/>
      <c r="BD26" s="344"/>
      <c r="BE26" s="345"/>
      <c r="BF26" s="345"/>
      <c r="BG26" s="346"/>
      <c r="BH26" s="332"/>
      <c r="BI26" s="344"/>
      <c r="BJ26" s="345"/>
      <c r="BK26" s="345"/>
      <c r="BL26" s="346"/>
      <c r="BM26" s="332"/>
    </row>
    <row r="27" ht="13.5" customHeight="1">
      <c r="B27" s="344"/>
      <c r="C27" s="345"/>
      <c r="D27" s="346"/>
      <c r="E27" s="332"/>
      <c r="F27" s="344"/>
      <c r="G27" s="345"/>
      <c r="H27" s="345"/>
      <c r="I27" s="346"/>
      <c r="J27" s="332"/>
      <c r="K27" s="344"/>
      <c r="L27" s="345"/>
      <c r="M27" s="345"/>
      <c r="N27" s="346"/>
      <c r="O27" s="332"/>
      <c r="P27" s="344"/>
      <c r="Q27" s="345"/>
      <c r="R27" s="345"/>
      <c r="S27" s="346"/>
      <c r="T27" s="332"/>
      <c r="U27" s="344"/>
      <c r="V27" s="345"/>
      <c r="W27" s="345"/>
      <c r="X27" s="346"/>
      <c r="Y27" s="332"/>
      <c r="Z27" s="344"/>
      <c r="AA27" s="345"/>
      <c r="AB27" s="345"/>
      <c r="AC27" s="346"/>
      <c r="AD27" s="332"/>
      <c r="AE27" s="344"/>
      <c r="AF27" s="345"/>
      <c r="AG27" s="345"/>
      <c r="AH27" s="346"/>
      <c r="AI27" s="332"/>
      <c r="AJ27" s="344"/>
      <c r="AK27" s="345"/>
      <c r="AL27" s="345"/>
      <c r="AM27" s="346"/>
      <c r="AN27" s="332"/>
      <c r="AO27" s="344"/>
      <c r="AP27" s="345"/>
      <c r="AQ27" s="345"/>
      <c r="AR27" s="346"/>
      <c r="AS27" s="332"/>
      <c r="AT27" s="344"/>
      <c r="AU27" s="345"/>
      <c r="AV27" s="345"/>
      <c r="AW27" s="346"/>
      <c r="AX27" s="332"/>
      <c r="AY27" s="344"/>
      <c r="AZ27" s="345"/>
      <c r="BA27" s="345"/>
      <c r="BB27" s="346"/>
      <c r="BC27" s="332"/>
      <c r="BD27" s="344"/>
      <c r="BE27" s="345"/>
      <c r="BF27" s="345"/>
      <c r="BG27" s="346"/>
      <c r="BH27" s="332"/>
      <c r="BI27" s="344"/>
      <c r="BJ27" s="345"/>
      <c r="BK27" s="345"/>
      <c r="BL27" s="346"/>
      <c r="BM27" s="332"/>
    </row>
    <row r="28" ht="13.5" customHeight="1">
      <c r="A28" s="6"/>
      <c r="B28" s="342" t="s">
        <v>500</v>
      </c>
      <c r="C28" s="49"/>
      <c r="D28" s="50"/>
      <c r="E28" s="327"/>
      <c r="F28" s="342" t="s">
        <v>500</v>
      </c>
      <c r="G28" s="49"/>
      <c r="H28" s="49"/>
      <c r="I28" s="50"/>
      <c r="J28" s="327"/>
      <c r="K28" s="342" t="s">
        <v>500</v>
      </c>
      <c r="L28" s="49"/>
      <c r="M28" s="49"/>
      <c r="N28" s="50"/>
      <c r="O28" s="327"/>
      <c r="P28" s="342" t="s">
        <v>500</v>
      </c>
      <c r="Q28" s="49"/>
      <c r="R28" s="49"/>
      <c r="S28" s="50"/>
      <c r="T28" s="327"/>
      <c r="U28" s="342" t="s">
        <v>500</v>
      </c>
      <c r="V28" s="49"/>
      <c r="W28" s="49"/>
      <c r="X28" s="50"/>
      <c r="Y28" s="327"/>
      <c r="Z28" s="342" t="s">
        <v>500</v>
      </c>
      <c r="AA28" s="49"/>
      <c r="AB28" s="49"/>
      <c r="AC28" s="50"/>
      <c r="AD28" s="327"/>
      <c r="AE28" s="342" t="s">
        <v>500</v>
      </c>
      <c r="AF28" s="49"/>
      <c r="AG28" s="49"/>
      <c r="AH28" s="50"/>
      <c r="AI28" s="327"/>
      <c r="AJ28" s="342" t="s">
        <v>500</v>
      </c>
      <c r="AK28" s="49"/>
      <c r="AL28" s="49"/>
      <c r="AM28" s="50"/>
      <c r="AN28" s="327"/>
      <c r="AO28" s="342" t="s">
        <v>500</v>
      </c>
      <c r="AP28" s="49"/>
      <c r="AQ28" s="49"/>
      <c r="AR28" s="50"/>
      <c r="AS28" s="327"/>
      <c r="AT28" s="342" t="s">
        <v>500</v>
      </c>
      <c r="AU28" s="49"/>
      <c r="AV28" s="49"/>
      <c r="AW28" s="50"/>
      <c r="AX28" s="327"/>
      <c r="AY28" s="342" t="s">
        <v>500</v>
      </c>
      <c r="AZ28" s="49"/>
      <c r="BA28" s="49"/>
      <c r="BB28" s="50"/>
      <c r="BC28" s="327"/>
      <c r="BD28" s="342" t="s">
        <v>500</v>
      </c>
      <c r="BE28" s="49"/>
      <c r="BF28" s="49"/>
      <c r="BG28" s="50"/>
      <c r="BH28" s="327"/>
      <c r="BI28" s="342" t="s">
        <v>500</v>
      </c>
      <c r="BJ28" s="49"/>
      <c r="BK28" s="49"/>
      <c r="BL28" s="50"/>
      <c r="BM28" s="332"/>
    </row>
    <row r="29" ht="13.5" customHeight="1">
      <c r="A29" s="6"/>
      <c r="B29" s="343" t="s">
        <v>501</v>
      </c>
      <c r="C29" s="49"/>
      <c r="D29" s="50"/>
      <c r="E29" s="327"/>
      <c r="F29" s="343" t="s">
        <v>502</v>
      </c>
      <c r="G29" s="49"/>
      <c r="H29" s="49"/>
      <c r="I29" s="50"/>
      <c r="J29" s="327"/>
      <c r="K29" s="343" t="s">
        <v>501</v>
      </c>
      <c r="L29" s="49"/>
      <c r="M29" s="49"/>
      <c r="N29" s="50"/>
      <c r="O29" s="327"/>
      <c r="P29" s="343" t="s">
        <v>501</v>
      </c>
      <c r="Q29" s="49"/>
      <c r="R29" s="49"/>
      <c r="S29" s="50"/>
      <c r="T29" s="327"/>
      <c r="U29" s="343" t="s">
        <v>501</v>
      </c>
      <c r="V29" s="49"/>
      <c r="W29" s="49"/>
      <c r="X29" s="50"/>
      <c r="Y29" s="327"/>
      <c r="Z29" s="343" t="s">
        <v>502</v>
      </c>
      <c r="AA29" s="49"/>
      <c r="AB29" s="49"/>
      <c r="AC29" s="50"/>
      <c r="AD29" s="327"/>
      <c r="AE29" s="343" t="s">
        <v>501</v>
      </c>
      <c r="AF29" s="49"/>
      <c r="AG29" s="49"/>
      <c r="AH29" s="50"/>
      <c r="AI29" s="327"/>
      <c r="AJ29" s="343" t="s">
        <v>502</v>
      </c>
      <c r="AK29" s="49"/>
      <c r="AL29" s="49"/>
      <c r="AM29" s="50"/>
      <c r="AN29" s="327"/>
      <c r="AO29" s="343" t="s">
        <v>503</v>
      </c>
      <c r="AP29" s="49"/>
      <c r="AQ29" s="49"/>
      <c r="AR29" s="50"/>
      <c r="AS29" s="327"/>
      <c r="AT29" s="343" t="s">
        <v>504</v>
      </c>
      <c r="AU29" s="49"/>
      <c r="AV29" s="49"/>
      <c r="AW29" s="50"/>
      <c r="AX29" s="327"/>
      <c r="AY29" s="343" t="s">
        <v>503</v>
      </c>
      <c r="AZ29" s="49"/>
      <c r="BA29" s="49"/>
      <c r="BB29" s="50"/>
      <c r="BC29" s="327"/>
      <c r="BD29" s="343" t="s">
        <v>502</v>
      </c>
      <c r="BE29" s="49"/>
      <c r="BF29" s="49"/>
      <c r="BG29" s="50"/>
      <c r="BH29" s="327"/>
      <c r="BI29" s="343" t="s">
        <v>502</v>
      </c>
      <c r="BJ29" s="49"/>
      <c r="BK29" s="49"/>
      <c r="BL29" s="50"/>
      <c r="BM29" s="332"/>
    </row>
    <row r="30" ht="13.5" customHeight="1">
      <c r="A30" s="6"/>
      <c r="B30" s="343" t="s">
        <v>505</v>
      </c>
      <c r="C30" s="49"/>
      <c r="D30" s="50"/>
      <c r="E30" s="327"/>
      <c r="F30" s="343" t="s">
        <v>501</v>
      </c>
      <c r="G30" s="49"/>
      <c r="H30" s="49"/>
      <c r="I30" s="50"/>
      <c r="J30" s="327"/>
      <c r="K30" s="343" t="s">
        <v>505</v>
      </c>
      <c r="L30" s="49"/>
      <c r="M30" s="49"/>
      <c r="N30" s="50"/>
      <c r="O30" s="327"/>
      <c r="P30" s="343" t="s">
        <v>505</v>
      </c>
      <c r="Q30" s="49"/>
      <c r="R30" s="49"/>
      <c r="S30" s="50"/>
      <c r="T30" s="327"/>
      <c r="U30" s="343" t="s">
        <v>505</v>
      </c>
      <c r="V30" s="49"/>
      <c r="W30" s="49"/>
      <c r="X30" s="50"/>
      <c r="Y30" s="327"/>
      <c r="Z30" s="343" t="s">
        <v>501</v>
      </c>
      <c r="AA30" s="49"/>
      <c r="AB30" s="49"/>
      <c r="AC30" s="50"/>
      <c r="AD30" s="327"/>
      <c r="AE30" s="343" t="s">
        <v>505</v>
      </c>
      <c r="AF30" s="49"/>
      <c r="AG30" s="49"/>
      <c r="AH30" s="50"/>
      <c r="AI30" s="327"/>
      <c r="AJ30" s="343" t="s">
        <v>501</v>
      </c>
      <c r="AK30" s="49"/>
      <c r="AL30" s="49"/>
      <c r="AM30" s="50"/>
      <c r="AN30" s="327"/>
      <c r="AO30" s="343" t="s">
        <v>502</v>
      </c>
      <c r="AP30" s="49"/>
      <c r="AQ30" s="49"/>
      <c r="AR30" s="50"/>
      <c r="AS30" s="327"/>
      <c r="AT30" s="343" t="s">
        <v>506</v>
      </c>
      <c r="AU30" s="49"/>
      <c r="AV30" s="49"/>
      <c r="AW30" s="50"/>
      <c r="AX30" s="327"/>
      <c r="AY30" s="343" t="s">
        <v>502</v>
      </c>
      <c r="AZ30" s="49"/>
      <c r="BA30" s="49"/>
      <c r="BB30" s="50"/>
      <c r="BC30" s="327"/>
      <c r="BD30" s="343" t="s">
        <v>501</v>
      </c>
      <c r="BE30" s="49"/>
      <c r="BF30" s="49"/>
      <c r="BG30" s="50"/>
      <c r="BH30" s="327"/>
      <c r="BI30" s="343" t="s">
        <v>501</v>
      </c>
      <c r="BJ30" s="49"/>
      <c r="BK30" s="49"/>
      <c r="BL30" s="50"/>
      <c r="BM30" s="332"/>
    </row>
    <row r="31" ht="13.5" customHeight="1">
      <c r="A31" s="6"/>
      <c r="B31" s="343" t="s">
        <v>507</v>
      </c>
      <c r="C31" s="49"/>
      <c r="D31" s="50"/>
      <c r="E31" s="327"/>
      <c r="F31" s="343" t="s">
        <v>505</v>
      </c>
      <c r="G31" s="49"/>
      <c r="H31" s="49"/>
      <c r="I31" s="50"/>
      <c r="J31" s="327"/>
      <c r="K31" s="343" t="s">
        <v>507</v>
      </c>
      <c r="L31" s="49"/>
      <c r="M31" s="49"/>
      <c r="N31" s="50"/>
      <c r="O31" s="327"/>
      <c r="P31" s="343" t="s">
        <v>507</v>
      </c>
      <c r="Q31" s="49"/>
      <c r="R31" s="49"/>
      <c r="S31" s="50"/>
      <c r="T31" s="327"/>
      <c r="U31" s="343" t="s">
        <v>507</v>
      </c>
      <c r="V31" s="49"/>
      <c r="W31" s="49"/>
      <c r="X31" s="50"/>
      <c r="Y31" s="327"/>
      <c r="Z31" s="343" t="s">
        <v>505</v>
      </c>
      <c r="AA31" s="49"/>
      <c r="AB31" s="49"/>
      <c r="AC31" s="50"/>
      <c r="AD31" s="327"/>
      <c r="AE31" s="343" t="s">
        <v>507</v>
      </c>
      <c r="AF31" s="49"/>
      <c r="AG31" s="49"/>
      <c r="AH31" s="50"/>
      <c r="AI31" s="327"/>
      <c r="AJ31" s="343" t="s">
        <v>505</v>
      </c>
      <c r="AK31" s="49"/>
      <c r="AL31" s="49"/>
      <c r="AM31" s="50"/>
      <c r="AN31" s="327"/>
      <c r="AO31" s="343" t="s">
        <v>501</v>
      </c>
      <c r="AP31" s="49"/>
      <c r="AQ31" s="49"/>
      <c r="AR31" s="50"/>
      <c r="AS31" s="327"/>
      <c r="AT31" s="343" t="s">
        <v>508</v>
      </c>
      <c r="AU31" s="49"/>
      <c r="AV31" s="49"/>
      <c r="AW31" s="50"/>
      <c r="AX31" s="327"/>
      <c r="AY31" s="343" t="s">
        <v>501</v>
      </c>
      <c r="AZ31" s="49"/>
      <c r="BA31" s="49"/>
      <c r="BB31" s="50"/>
      <c r="BC31" s="327"/>
      <c r="BD31" s="343" t="s">
        <v>505</v>
      </c>
      <c r="BE31" s="49"/>
      <c r="BF31" s="49"/>
      <c r="BG31" s="50"/>
      <c r="BH31" s="327"/>
      <c r="BI31" s="343" t="s">
        <v>505</v>
      </c>
      <c r="BJ31" s="49"/>
      <c r="BK31" s="49"/>
      <c r="BL31" s="50"/>
      <c r="BM31" s="332"/>
    </row>
    <row r="32" ht="13.5" customHeight="1">
      <c r="A32" s="6"/>
      <c r="B32" s="343" t="s">
        <v>509</v>
      </c>
      <c r="C32" s="49"/>
      <c r="D32" s="50"/>
      <c r="E32" s="327"/>
      <c r="F32" s="343" t="s">
        <v>507</v>
      </c>
      <c r="G32" s="49"/>
      <c r="H32" s="49"/>
      <c r="I32" s="50"/>
      <c r="J32" s="327"/>
      <c r="K32" s="343" t="s">
        <v>509</v>
      </c>
      <c r="L32" s="49"/>
      <c r="M32" s="49"/>
      <c r="N32" s="50"/>
      <c r="O32" s="327"/>
      <c r="P32" s="343" t="s">
        <v>509</v>
      </c>
      <c r="Q32" s="49"/>
      <c r="R32" s="49"/>
      <c r="S32" s="50"/>
      <c r="T32" s="327"/>
      <c r="U32" s="343" t="s">
        <v>509</v>
      </c>
      <c r="V32" s="49"/>
      <c r="W32" s="49"/>
      <c r="X32" s="50"/>
      <c r="Y32" s="327"/>
      <c r="Z32" s="343" t="s">
        <v>507</v>
      </c>
      <c r="AA32" s="49"/>
      <c r="AB32" s="49"/>
      <c r="AC32" s="50"/>
      <c r="AD32" s="327"/>
      <c r="AE32" s="343" t="s">
        <v>509</v>
      </c>
      <c r="AF32" s="49"/>
      <c r="AG32" s="49"/>
      <c r="AH32" s="50"/>
      <c r="AI32" s="327"/>
      <c r="AJ32" s="343" t="s">
        <v>507</v>
      </c>
      <c r="AK32" s="49"/>
      <c r="AL32" s="49"/>
      <c r="AM32" s="50"/>
      <c r="AN32" s="327"/>
      <c r="AO32" s="343" t="s">
        <v>505</v>
      </c>
      <c r="AP32" s="49"/>
      <c r="AQ32" s="49"/>
      <c r="AR32" s="50"/>
      <c r="AS32" s="327"/>
      <c r="AT32" s="343" t="s">
        <v>510</v>
      </c>
      <c r="AU32" s="49"/>
      <c r="AV32" s="49"/>
      <c r="AW32" s="50"/>
      <c r="AX32" s="327"/>
      <c r="AY32" s="343" t="s">
        <v>505</v>
      </c>
      <c r="AZ32" s="49"/>
      <c r="BA32" s="49"/>
      <c r="BB32" s="50"/>
      <c r="BC32" s="327"/>
      <c r="BD32" s="343" t="s">
        <v>507</v>
      </c>
      <c r="BE32" s="49"/>
      <c r="BF32" s="49"/>
      <c r="BG32" s="50"/>
      <c r="BH32" s="327"/>
      <c r="BI32" s="343" t="s">
        <v>507</v>
      </c>
      <c r="BJ32" s="49"/>
      <c r="BK32" s="49"/>
      <c r="BL32" s="50"/>
      <c r="BM32" s="332"/>
    </row>
    <row r="33" ht="13.5" customHeight="1">
      <c r="B33" s="344"/>
      <c r="C33" s="345"/>
      <c r="D33" s="346"/>
      <c r="E33" s="327"/>
      <c r="F33" s="343" t="s">
        <v>509</v>
      </c>
      <c r="G33" s="49"/>
      <c r="H33" s="49"/>
      <c r="I33" s="50"/>
      <c r="J33" s="332"/>
      <c r="K33" s="344"/>
      <c r="L33" s="345"/>
      <c r="M33" s="345"/>
      <c r="N33" s="346"/>
      <c r="O33" s="332"/>
      <c r="P33" s="344"/>
      <c r="Q33" s="345"/>
      <c r="R33" s="345"/>
      <c r="S33" s="346"/>
      <c r="T33" s="332"/>
      <c r="U33" s="344"/>
      <c r="V33" s="345"/>
      <c r="W33" s="345"/>
      <c r="X33" s="346"/>
      <c r="Y33" s="327"/>
      <c r="Z33" s="343" t="s">
        <v>509</v>
      </c>
      <c r="AA33" s="49"/>
      <c r="AB33" s="49"/>
      <c r="AC33" s="50"/>
      <c r="AD33" s="332"/>
      <c r="AE33" s="344"/>
      <c r="AF33" s="345"/>
      <c r="AG33" s="345"/>
      <c r="AH33" s="346"/>
      <c r="AI33" s="327"/>
      <c r="AJ33" s="343" t="s">
        <v>509</v>
      </c>
      <c r="AK33" s="49"/>
      <c r="AL33" s="49"/>
      <c r="AM33" s="50"/>
      <c r="AN33" s="327"/>
      <c r="AO33" s="343" t="s">
        <v>507</v>
      </c>
      <c r="AP33" s="49"/>
      <c r="AQ33" s="49"/>
      <c r="AR33" s="50"/>
      <c r="AS33" s="327"/>
      <c r="AT33" s="343" t="s">
        <v>511</v>
      </c>
      <c r="AU33" s="49"/>
      <c r="AV33" s="49"/>
      <c r="AW33" s="50"/>
      <c r="AX33" s="327"/>
      <c r="AY33" s="343" t="s">
        <v>507</v>
      </c>
      <c r="AZ33" s="49"/>
      <c r="BA33" s="49"/>
      <c r="BB33" s="50"/>
      <c r="BC33" s="327"/>
      <c r="BD33" s="343" t="s">
        <v>509</v>
      </c>
      <c r="BE33" s="49"/>
      <c r="BF33" s="49"/>
      <c r="BG33" s="50"/>
      <c r="BH33" s="327"/>
      <c r="BI33" s="343" t="s">
        <v>509</v>
      </c>
      <c r="BJ33" s="49"/>
      <c r="BK33" s="49"/>
      <c r="BL33" s="50"/>
      <c r="BM33" s="332"/>
    </row>
    <row r="34" ht="13.5" customHeight="1">
      <c r="B34" s="344"/>
      <c r="C34" s="345"/>
      <c r="D34" s="346"/>
      <c r="E34" s="332"/>
      <c r="F34" s="344"/>
      <c r="G34" s="345"/>
      <c r="H34" s="345"/>
      <c r="I34" s="346"/>
      <c r="J34" s="332"/>
      <c r="K34" s="344"/>
      <c r="L34" s="345"/>
      <c r="M34" s="345"/>
      <c r="N34" s="346"/>
      <c r="O34" s="332"/>
      <c r="P34" s="344"/>
      <c r="Q34" s="345"/>
      <c r="R34" s="345"/>
      <c r="S34" s="346"/>
      <c r="T34" s="332"/>
      <c r="U34" s="344"/>
      <c r="V34" s="345"/>
      <c r="W34" s="345"/>
      <c r="X34" s="346"/>
      <c r="Y34" s="332"/>
      <c r="Z34" s="344"/>
      <c r="AA34" s="345"/>
      <c r="AB34" s="345"/>
      <c r="AC34" s="346"/>
      <c r="AD34" s="332"/>
      <c r="AE34" s="344"/>
      <c r="AF34" s="345"/>
      <c r="AG34" s="345"/>
      <c r="AH34" s="346"/>
      <c r="AI34" s="332"/>
      <c r="AJ34" s="344"/>
      <c r="AK34" s="345"/>
      <c r="AL34" s="345"/>
      <c r="AM34" s="346"/>
      <c r="AN34" s="327"/>
      <c r="AO34" s="343" t="s">
        <v>509</v>
      </c>
      <c r="AP34" s="49"/>
      <c r="AQ34" s="49"/>
      <c r="AR34" s="50"/>
      <c r="AS34" s="327"/>
      <c r="AT34" s="343" t="s">
        <v>503</v>
      </c>
      <c r="AU34" s="49"/>
      <c r="AV34" s="49"/>
      <c r="AW34" s="50"/>
      <c r="AX34" s="327"/>
      <c r="AY34" s="343" t="s">
        <v>509</v>
      </c>
      <c r="AZ34" s="49"/>
      <c r="BA34" s="49"/>
      <c r="BB34" s="50"/>
      <c r="BC34" s="332"/>
      <c r="BD34" s="344"/>
      <c r="BE34" s="345"/>
      <c r="BF34" s="345"/>
      <c r="BG34" s="346"/>
      <c r="BH34" s="332"/>
      <c r="BI34" s="344"/>
      <c r="BJ34" s="345"/>
      <c r="BK34" s="345"/>
      <c r="BL34" s="346"/>
      <c r="BM34" s="332"/>
    </row>
    <row r="35" ht="13.5" customHeight="1">
      <c r="B35" s="344"/>
      <c r="C35" s="345"/>
      <c r="D35" s="346"/>
      <c r="E35" s="332"/>
      <c r="F35" s="344"/>
      <c r="G35" s="345"/>
      <c r="H35" s="345"/>
      <c r="I35" s="346"/>
      <c r="J35" s="332"/>
      <c r="K35" s="344"/>
      <c r="L35" s="345"/>
      <c r="M35" s="345"/>
      <c r="N35" s="346"/>
      <c r="O35" s="332"/>
      <c r="P35" s="344"/>
      <c r="Q35" s="345"/>
      <c r="R35" s="345"/>
      <c r="S35" s="346"/>
      <c r="T35" s="332"/>
      <c r="U35" s="344"/>
      <c r="V35" s="345"/>
      <c r="W35" s="345"/>
      <c r="X35" s="346"/>
      <c r="Y35" s="332"/>
      <c r="Z35" s="344"/>
      <c r="AA35" s="345"/>
      <c r="AB35" s="345"/>
      <c r="AC35" s="346"/>
      <c r="AD35" s="332"/>
      <c r="AE35" s="344"/>
      <c r="AF35" s="345"/>
      <c r="AG35" s="345"/>
      <c r="AH35" s="346"/>
      <c r="AI35" s="332"/>
      <c r="AJ35" s="344"/>
      <c r="AK35" s="345"/>
      <c r="AL35" s="345"/>
      <c r="AM35" s="346"/>
      <c r="AN35" s="332"/>
      <c r="AO35" s="344"/>
      <c r="AP35" s="345"/>
      <c r="AQ35" s="345"/>
      <c r="AR35" s="346"/>
      <c r="AS35" s="327"/>
      <c r="AT35" s="343" t="s">
        <v>502</v>
      </c>
      <c r="AU35" s="49"/>
      <c r="AV35" s="49"/>
      <c r="AW35" s="50"/>
      <c r="AX35" s="332"/>
      <c r="AY35" s="344"/>
      <c r="AZ35" s="345"/>
      <c r="BA35" s="345"/>
      <c r="BB35" s="346"/>
      <c r="BC35" s="332"/>
      <c r="BD35" s="344"/>
      <c r="BE35" s="345"/>
      <c r="BF35" s="345"/>
      <c r="BG35" s="346"/>
      <c r="BH35" s="332"/>
      <c r="BI35" s="344"/>
      <c r="BJ35" s="345"/>
      <c r="BK35" s="345"/>
      <c r="BL35" s="346"/>
      <c r="BM35" s="332"/>
    </row>
    <row r="36" ht="13.5" customHeight="1">
      <c r="B36" s="344"/>
      <c r="C36" s="345"/>
      <c r="D36" s="346"/>
      <c r="E36" s="332"/>
      <c r="F36" s="344"/>
      <c r="G36" s="345"/>
      <c r="H36" s="345"/>
      <c r="I36" s="346"/>
      <c r="J36" s="332"/>
      <c r="K36" s="344"/>
      <c r="L36" s="345"/>
      <c r="M36" s="345"/>
      <c r="N36" s="346"/>
      <c r="O36" s="332"/>
      <c r="P36" s="344"/>
      <c r="Q36" s="345"/>
      <c r="R36" s="345"/>
      <c r="S36" s="346"/>
      <c r="T36" s="332"/>
      <c r="U36" s="344"/>
      <c r="V36" s="345"/>
      <c r="W36" s="345"/>
      <c r="X36" s="346"/>
      <c r="Y36" s="332"/>
      <c r="Z36" s="344"/>
      <c r="AA36" s="345"/>
      <c r="AB36" s="345"/>
      <c r="AC36" s="346"/>
      <c r="AD36" s="332"/>
      <c r="AE36" s="344"/>
      <c r="AF36" s="345"/>
      <c r="AG36" s="345"/>
      <c r="AH36" s="346"/>
      <c r="AI36" s="332"/>
      <c r="AJ36" s="344"/>
      <c r="AK36" s="345"/>
      <c r="AL36" s="345"/>
      <c r="AM36" s="346"/>
      <c r="AN36" s="332"/>
      <c r="AO36" s="344"/>
      <c r="AP36" s="345"/>
      <c r="AQ36" s="345"/>
      <c r="AR36" s="346"/>
      <c r="AS36" s="327"/>
      <c r="AT36" s="343" t="s">
        <v>501</v>
      </c>
      <c r="AU36" s="49"/>
      <c r="AV36" s="49"/>
      <c r="AW36" s="50"/>
      <c r="AX36" s="332"/>
      <c r="AY36" s="344"/>
      <c r="AZ36" s="345"/>
      <c r="BA36" s="345"/>
      <c r="BB36" s="346"/>
      <c r="BC36" s="332"/>
      <c r="BD36" s="344"/>
      <c r="BE36" s="345"/>
      <c r="BF36" s="345"/>
      <c r="BG36" s="346"/>
      <c r="BH36" s="332"/>
      <c r="BI36" s="344"/>
      <c r="BJ36" s="345"/>
      <c r="BK36" s="345"/>
      <c r="BL36" s="346"/>
      <c r="BM36" s="332"/>
    </row>
    <row r="37" ht="13.5" customHeight="1">
      <c r="B37" s="344"/>
      <c r="C37" s="345"/>
      <c r="D37" s="346"/>
      <c r="E37" s="332"/>
      <c r="F37" s="344"/>
      <c r="G37" s="345"/>
      <c r="H37" s="345"/>
      <c r="I37" s="346"/>
      <c r="J37" s="332"/>
      <c r="K37" s="344"/>
      <c r="L37" s="345"/>
      <c r="M37" s="345"/>
      <c r="N37" s="346"/>
      <c r="O37" s="332"/>
      <c r="P37" s="344"/>
      <c r="Q37" s="345"/>
      <c r="R37" s="345"/>
      <c r="S37" s="346"/>
      <c r="T37" s="332"/>
      <c r="U37" s="344"/>
      <c r="V37" s="345"/>
      <c r="W37" s="345"/>
      <c r="X37" s="346"/>
      <c r="Y37" s="332"/>
      <c r="Z37" s="344"/>
      <c r="AA37" s="345"/>
      <c r="AB37" s="345"/>
      <c r="AC37" s="346"/>
      <c r="AD37" s="332"/>
      <c r="AE37" s="344"/>
      <c r="AF37" s="345"/>
      <c r="AG37" s="345"/>
      <c r="AH37" s="346"/>
      <c r="AI37" s="332"/>
      <c r="AJ37" s="344"/>
      <c r="AK37" s="345"/>
      <c r="AL37" s="345"/>
      <c r="AM37" s="346"/>
      <c r="AN37" s="332"/>
      <c r="AO37" s="344"/>
      <c r="AP37" s="345"/>
      <c r="AQ37" s="345"/>
      <c r="AR37" s="346"/>
      <c r="AS37" s="327"/>
      <c r="AT37" s="343" t="s">
        <v>505</v>
      </c>
      <c r="AU37" s="49"/>
      <c r="AV37" s="49"/>
      <c r="AW37" s="50"/>
      <c r="AX37" s="332"/>
      <c r="AY37" s="344"/>
      <c r="AZ37" s="345"/>
      <c r="BA37" s="345"/>
      <c r="BB37" s="346"/>
      <c r="BC37" s="332"/>
      <c r="BD37" s="344"/>
      <c r="BE37" s="345"/>
      <c r="BF37" s="345"/>
      <c r="BG37" s="346"/>
      <c r="BH37" s="332"/>
      <c r="BI37" s="344"/>
      <c r="BJ37" s="345"/>
      <c r="BK37" s="345"/>
      <c r="BL37" s="346"/>
      <c r="BM37" s="332"/>
    </row>
    <row r="38" ht="13.5" customHeight="1">
      <c r="B38" s="344"/>
      <c r="C38" s="345"/>
      <c r="D38" s="346"/>
      <c r="E38" s="332"/>
      <c r="F38" s="344"/>
      <c r="G38" s="345"/>
      <c r="H38" s="345"/>
      <c r="I38" s="346"/>
      <c r="J38" s="332"/>
      <c r="K38" s="344"/>
      <c r="L38" s="345"/>
      <c r="M38" s="345"/>
      <c r="N38" s="346"/>
      <c r="O38" s="332"/>
      <c r="P38" s="344"/>
      <c r="Q38" s="345"/>
      <c r="R38" s="345"/>
      <c r="S38" s="346"/>
      <c r="T38" s="332"/>
      <c r="U38" s="344"/>
      <c r="V38" s="345"/>
      <c r="W38" s="345"/>
      <c r="X38" s="346"/>
      <c r="Y38" s="332"/>
      <c r="Z38" s="344"/>
      <c r="AA38" s="345"/>
      <c r="AB38" s="345"/>
      <c r="AC38" s="346"/>
      <c r="AD38" s="332"/>
      <c r="AE38" s="344"/>
      <c r="AF38" s="345"/>
      <c r="AG38" s="345"/>
      <c r="AH38" s="346"/>
      <c r="AI38" s="332"/>
      <c r="AJ38" s="344"/>
      <c r="AK38" s="345"/>
      <c r="AL38" s="345"/>
      <c r="AM38" s="346"/>
      <c r="AN38" s="332"/>
      <c r="AO38" s="344"/>
      <c r="AP38" s="345"/>
      <c r="AQ38" s="345"/>
      <c r="AR38" s="346"/>
      <c r="AS38" s="327"/>
      <c r="AT38" s="343" t="s">
        <v>507</v>
      </c>
      <c r="AU38" s="49"/>
      <c r="AV38" s="49"/>
      <c r="AW38" s="50"/>
      <c r="AX38" s="332"/>
      <c r="AY38" s="344"/>
      <c r="AZ38" s="345"/>
      <c r="BA38" s="345"/>
      <c r="BB38" s="346"/>
      <c r="BC38" s="332"/>
      <c r="BD38" s="344"/>
      <c r="BE38" s="345"/>
      <c r="BF38" s="345"/>
      <c r="BG38" s="346"/>
      <c r="BH38" s="332"/>
      <c r="BI38" s="344"/>
      <c r="BJ38" s="345"/>
      <c r="BK38" s="345"/>
      <c r="BL38" s="346"/>
      <c r="BM38" s="332"/>
    </row>
    <row r="39" ht="13.5" customHeight="1">
      <c r="B39" s="344"/>
      <c r="C39" s="345"/>
      <c r="D39" s="346"/>
      <c r="E39" s="332"/>
      <c r="F39" s="344"/>
      <c r="G39" s="345"/>
      <c r="H39" s="345"/>
      <c r="I39" s="346"/>
      <c r="J39" s="332"/>
      <c r="K39" s="344"/>
      <c r="L39" s="345"/>
      <c r="M39" s="345"/>
      <c r="N39" s="346"/>
      <c r="O39" s="332"/>
      <c r="P39" s="344"/>
      <c r="Q39" s="345"/>
      <c r="R39" s="345"/>
      <c r="S39" s="346"/>
      <c r="T39" s="332"/>
      <c r="U39" s="344"/>
      <c r="V39" s="345"/>
      <c r="W39" s="345"/>
      <c r="X39" s="346"/>
      <c r="Y39" s="332"/>
      <c r="Z39" s="344"/>
      <c r="AA39" s="345"/>
      <c r="AB39" s="345"/>
      <c r="AC39" s="346"/>
      <c r="AD39" s="332"/>
      <c r="AE39" s="344"/>
      <c r="AF39" s="345"/>
      <c r="AG39" s="345"/>
      <c r="AH39" s="346"/>
      <c r="AI39" s="332"/>
      <c r="AJ39" s="344"/>
      <c r="AK39" s="345"/>
      <c r="AL39" s="345"/>
      <c r="AM39" s="346"/>
      <c r="AN39" s="332"/>
      <c r="AO39" s="344"/>
      <c r="AP39" s="345"/>
      <c r="AQ39" s="345"/>
      <c r="AR39" s="346"/>
      <c r="AS39" s="327"/>
      <c r="AT39" s="343" t="s">
        <v>509</v>
      </c>
      <c r="AU39" s="49"/>
      <c r="AV39" s="49"/>
      <c r="AW39" s="50"/>
      <c r="AX39" s="332"/>
      <c r="AY39" s="344"/>
      <c r="AZ39" s="345"/>
      <c r="BA39" s="345"/>
      <c r="BB39" s="346"/>
      <c r="BC39" s="332"/>
      <c r="BD39" s="344"/>
      <c r="BE39" s="345"/>
      <c r="BF39" s="345"/>
      <c r="BG39" s="346"/>
      <c r="BH39" s="332"/>
      <c r="BI39" s="344"/>
      <c r="BJ39" s="345"/>
      <c r="BK39" s="345"/>
      <c r="BL39" s="346"/>
      <c r="BM39" s="332"/>
    </row>
    <row r="40" ht="13.5" customHeight="1">
      <c r="B40" s="344"/>
      <c r="C40" s="345"/>
      <c r="D40" s="346"/>
      <c r="E40" s="332"/>
      <c r="F40" s="344"/>
      <c r="G40" s="345"/>
      <c r="H40" s="345"/>
      <c r="I40" s="346"/>
      <c r="J40" s="332"/>
      <c r="K40" s="344"/>
      <c r="L40" s="345"/>
      <c r="M40" s="345"/>
      <c r="N40" s="346"/>
      <c r="O40" s="332"/>
      <c r="P40" s="344"/>
      <c r="Q40" s="345"/>
      <c r="R40" s="345"/>
      <c r="S40" s="346"/>
      <c r="T40" s="332"/>
      <c r="U40" s="344"/>
      <c r="V40" s="345"/>
      <c r="W40" s="345"/>
      <c r="X40" s="346"/>
      <c r="Y40" s="332"/>
      <c r="Z40" s="344"/>
      <c r="AA40" s="345"/>
      <c r="AB40" s="345"/>
      <c r="AC40" s="346"/>
      <c r="AD40" s="332"/>
      <c r="AE40" s="344"/>
      <c r="AF40" s="345"/>
      <c r="AG40" s="345"/>
      <c r="AH40" s="346"/>
      <c r="AI40" s="332"/>
      <c r="AJ40" s="344"/>
      <c r="AK40" s="345"/>
      <c r="AL40" s="345"/>
      <c r="AM40" s="346"/>
      <c r="AN40" s="332"/>
      <c r="AO40" s="344"/>
      <c r="AP40" s="345"/>
      <c r="AQ40" s="345"/>
      <c r="AR40" s="346"/>
      <c r="AS40" s="332"/>
      <c r="AT40" s="344"/>
      <c r="AU40" s="345"/>
      <c r="AV40" s="345"/>
      <c r="AW40" s="346"/>
      <c r="AX40" s="332"/>
      <c r="AY40" s="344"/>
      <c r="AZ40" s="345"/>
      <c r="BA40" s="345"/>
      <c r="BB40" s="346"/>
      <c r="BC40" s="332"/>
      <c r="BD40" s="344"/>
      <c r="BE40" s="345"/>
      <c r="BF40" s="345"/>
      <c r="BG40" s="346"/>
      <c r="BH40" s="332"/>
      <c r="BI40" s="344"/>
      <c r="BJ40" s="345"/>
      <c r="BK40" s="345"/>
      <c r="BL40" s="346"/>
      <c r="BM40" s="332"/>
    </row>
    <row r="41" ht="13.5" customHeight="1">
      <c r="A41" s="6"/>
      <c r="B41" s="342" t="s">
        <v>512</v>
      </c>
      <c r="C41" s="49"/>
      <c r="D41" s="50"/>
      <c r="E41" s="327"/>
      <c r="F41" s="342" t="s">
        <v>512</v>
      </c>
      <c r="G41" s="49"/>
      <c r="H41" s="49"/>
      <c r="I41" s="50"/>
      <c r="J41" s="327"/>
      <c r="K41" s="342" t="s">
        <v>512</v>
      </c>
      <c r="L41" s="49"/>
      <c r="M41" s="49"/>
      <c r="N41" s="50"/>
      <c r="O41" s="327"/>
      <c r="P41" s="342" t="s">
        <v>512</v>
      </c>
      <c r="Q41" s="49"/>
      <c r="R41" s="49"/>
      <c r="S41" s="50"/>
      <c r="T41" s="327"/>
      <c r="U41" s="342" t="s">
        <v>512</v>
      </c>
      <c r="V41" s="49"/>
      <c r="W41" s="49"/>
      <c r="X41" s="50"/>
      <c r="Y41" s="327"/>
      <c r="Z41" s="342" t="s">
        <v>512</v>
      </c>
      <c r="AA41" s="49"/>
      <c r="AB41" s="49"/>
      <c r="AC41" s="50"/>
      <c r="AD41" s="327"/>
      <c r="AE41" s="342" t="s">
        <v>512</v>
      </c>
      <c r="AF41" s="49"/>
      <c r="AG41" s="49"/>
      <c r="AH41" s="50"/>
      <c r="AI41" s="327"/>
      <c r="AJ41" s="342" t="s">
        <v>512</v>
      </c>
      <c r="AK41" s="49"/>
      <c r="AL41" s="49"/>
      <c r="AM41" s="50"/>
      <c r="AN41" s="327"/>
      <c r="AO41" s="342" t="s">
        <v>512</v>
      </c>
      <c r="AP41" s="49"/>
      <c r="AQ41" s="49"/>
      <c r="AR41" s="50"/>
      <c r="AS41" s="327"/>
      <c r="AT41" s="342" t="s">
        <v>512</v>
      </c>
      <c r="AU41" s="49"/>
      <c r="AV41" s="49"/>
      <c r="AW41" s="50"/>
      <c r="AX41" s="327"/>
      <c r="AY41" s="342" t="s">
        <v>512</v>
      </c>
      <c r="AZ41" s="49"/>
      <c r="BA41" s="49"/>
      <c r="BB41" s="50"/>
      <c r="BC41" s="327"/>
      <c r="BD41" s="342" t="s">
        <v>512</v>
      </c>
      <c r="BE41" s="49"/>
      <c r="BF41" s="49"/>
      <c r="BG41" s="50"/>
      <c r="BH41" s="327"/>
      <c r="BI41" s="342" t="s">
        <v>512</v>
      </c>
      <c r="BJ41" s="49"/>
      <c r="BK41" s="49"/>
      <c r="BL41" s="50"/>
      <c r="BM41" s="332"/>
    </row>
    <row r="42" ht="13.5" customHeight="1">
      <c r="A42" s="6"/>
      <c r="B42" s="343" t="s">
        <v>513</v>
      </c>
      <c r="C42" s="49"/>
      <c r="D42" s="50"/>
      <c r="E42" s="327"/>
      <c r="F42" s="343" t="s">
        <v>513</v>
      </c>
      <c r="G42" s="49"/>
      <c r="H42" s="49"/>
      <c r="I42" s="50"/>
      <c r="J42" s="327"/>
      <c r="K42" s="343" t="s">
        <v>514</v>
      </c>
      <c r="L42" s="49"/>
      <c r="M42" s="49"/>
      <c r="N42" s="50"/>
      <c r="O42" s="327"/>
      <c r="P42" s="343" t="s">
        <v>515</v>
      </c>
      <c r="Q42" s="49"/>
      <c r="R42" s="49"/>
      <c r="S42" s="50"/>
      <c r="T42" s="327"/>
      <c r="U42" s="343" t="s">
        <v>514</v>
      </c>
      <c r="V42" s="49"/>
      <c r="W42" s="49"/>
      <c r="X42" s="50"/>
      <c r="Y42" s="327"/>
      <c r="Z42" s="343" t="s">
        <v>514</v>
      </c>
      <c r="AA42" s="49"/>
      <c r="AB42" s="49"/>
      <c r="AC42" s="50"/>
      <c r="AD42" s="327"/>
      <c r="AE42" s="343" t="s">
        <v>515</v>
      </c>
      <c r="AF42" s="49"/>
      <c r="AG42" s="49"/>
      <c r="AH42" s="50"/>
      <c r="AI42" s="327"/>
      <c r="AJ42" s="343" t="s">
        <v>514</v>
      </c>
      <c r="AK42" s="49"/>
      <c r="AL42" s="49"/>
      <c r="AM42" s="50"/>
      <c r="AN42" s="327"/>
      <c r="AO42" s="343" t="s">
        <v>516</v>
      </c>
      <c r="AP42" s="49"/>
      <c r="AQ42" s="49"/>
      <c r="AR42" s="50"/>
      <c r="AS42" s="327"/>
      <c r="AT42" s="343" t="s">
        <v>517</v>
      </c>
      <c r="AU42" s="49"/>
      <c r="AV42" s="49"/>
      <c r="AW42" s="50"/>
      <c r="AX42" s="327"/>
      <c r="AY42" s="343" t="s">
        <v>515</v>
      </c>
      <c r="AZ42" s="49"/>
      <c r="BA42" s="49"/>
      <c r="BB42" s="50"/>
      <c r="BC42" s="327"/>
      <c r="BD42" s="343" t="s">
        <v>514</v>
      </c>
      <c r="BE42" s="49"/>
      <c r="BF42" s="49"/>
      <c r="BG42" s="50"/>
      <c r="BH42" s="327"/>
      <c r="BI42" s="343" t="s">
        <v>515</v>
      </c>
      <c r="BJ42" s="49"/>
      <c r="BK42" s="49"/>
      <c r="BL42" s="50"/>
      <c r="BM42" s="332"/>
    </row>
    <row r="43" ht="13.5" customHeight="1">
      <c r="A43" s="6"/>
      <c r="B43" s="343" t="s">
        <v>514</v>
      </c>
      <c r="C43" s="49"/>
      <c r="D43" s="50"/>
      <c r="E43" s="327"/>
      <c r="F43" s="343" t="s">
        <v>514</v>
      </c>
      <c r="G43" s="49"/>
      <c r="H43" s="49"/>
      <c r="I43" s="50"/>
      <c r="J43" s="327"/>
      <c r="K43" s="343" t="s">
        <v>515</v>
      </c>
      <c r="L43" s="49"/>
      <c r="M43" s="49"/>
      <c r="N43" s="50"/>
      <c r="O43" s="327"/>
      <c r="P43" s="343" t="s">
        <v>518</v>
      </c>
      <c r="Q43" s="49"/>
      <c r="R43" s="49"/>
      <c r="S43" s="50"/>
      <c r="T43" s="327"/>
      <c r="U43" s="343" t="s">
        <v>515</v>
      </c>
      <c r="V43" s="49"/>
      <c r="W43" s="49"/>
      <c r="X43" s="50"/>
      <c r="Y43" s="327"/>
      <c r="Z43" s="343" t="s">
        <v>515</v>
      </c>
      <c r="AA43" s="49"/>
      <c r="AB43" s="49"/>
      <c r="AC43" s="50"/>
      <c r="AD43" s="327"/>
      <c r="AE43" s="343" t="s">
        <v>518</v>
      </c>
      <c r="AF43" s="49"/>
      <c r="AG43" s="49"/>
      <c r="AH43" s="50"/>
      <c r="AI43" s="327"/>
      <c r="AJ43" s="343" t="s">
        <v>515</v>
      </c>
      <c r="AK43" s="49"/>
      <c r="AL43" s="49"/>
      <c r="AM43" s="50"/>
      <c r="AN43" s="327"/>
      <c r="AO43" s="343" t="s">
        <v>519</v>
      </c>
      <c r="AP43" s="49"/>
      <c r="AQ43" s="49"/>
      <c r="AR43" s="50"/>
      <c r="AS43" s="327"/>
      <c r="AT43" s="343" t="s">
        <v>516</v>
      </c>
      <c r="AU43" s="49"/>
      <c r="AV43" s="49"/>
      <c r="AW43" s="50"/>
      <c r="AX43" s="327"/>
      <c r="AY43" s="343" t="s">
        <v>518</v>
      </c>
      <c r="AZ43" s="49"/>
      <c r="BA43" s="49"/>
      <c r="BB43" s="50"/>
      <c r="BC43" s="327"/>
      <c r="BD43" s="343" t="s">
        <v>515</v>
      </c>
      <c r="BE43" s="49"/>
      <c r="BF43" s="49"/>
      <c r="BG43" s="50"/>
      <c r="BH43" s="327"/>
      <c r="BI43" s="343" t="s">
        <v>518</v>
      </c>
      <c r="BJ43" s="49"/>
      <c r="BK43" s="49"/>
      <c r="BL43" s="50"/>
      <c r="BM43" s="332"/>
    </row>
    <row r="44" ht="13.5" customHeight="1">
      <c r="A44" s="6"/>
      <c r="B44" s="343" t="s">
        <v>515</v>
      </c>
      <c r="C44" s="49"/>
      <c r="D44" s="50"/>
      <c r="E44" s="327"/>
      <c r="F44" s="343" t="s">
        <v>515</v>
      </c>
      <c r="G44" s="49"/>
      <c r="H44" s="49"/>
      <c r="I44" s="50"/>
      <c r="J44" s="327"/>
      <c r="K44" s="343" t="s">
        <v>518</v>
      </c>
      <c r="L44" s="49"/>
      <c r="M44" s="49"/>
      <c r="N44" s="50"/>
      <c r="O44" s="327"/>
      <c r="P44" s="343" t="s">
        <v>520</v>
      </c>
      <c r="Q44" s="49"/>
      <c r="R44" s="49"/>
      <c r="S44" s="50"/>
      <c r="T44" s="327"/>
      <c r="U44" s="343" t="s">
        <v>518</v>
      </c>
      <c r="V44" s="49"/>
      <c r="W44" s="49"/>
      <c r="X44" s="50"/>
      <c r="Y44" s="327"/>
      <c r="Z44" s="343" t="s">
        <v>518</v>
      </c>
      <c r="AA44" s="49"/>
      <c r="AB44" s="49"/>
      <c r="AC44" s="50"/>
      <c r="AD44" s="327"/>
      <c r="AE44" s="343" t="s">
        <v>520</v>
      </c>
      <c r="AF44" s="49"/>
      <c r="AG44" s="49"/>
      <c r="AH44" s="50"/>
      <c r="AI44" s="327"/>
      <c r="AJ44" s="343" t="s">
        <v>518</v>
      </c>
      <c r="AK44" s="49"/>
      <c r="AL44" s="49"/>
      <c r="AM44" s="50"/>
      <c r="AN44" s="327"/>
      <c r="AO44" s="343" t="s">
        <v>513</v>
      </c>
      <c r="AP44" s="49"/>
      <c r="AQ44" s="49"/>
      <c r="AR44" s="50"/>
      <c r="AS44" s="327"/>
      <c r="AT44" s="343" t="s">
        <v>519</v>
      </c>
      <c r="AU44" s="49"/>
      <c r="AV44" s="49"/>
      <c r="AW44" s="50"/>
      <c r="AX44" s="327"/>
      <c r="AY44" s="343" t="s">
        <v>520</v>
      </c>
      <c r="AZ44" s="49"/>
      <c r="BA44" s="49"/>
      <c r="BB44" s="50"/>
      <c r="BC44" s="327"/>
      <c r="BD44" s="343" t="s">
        <v>518</v>
      </c>
      <c r="BE44" s="49"/>
      <c r="BF44" s="49"/>
      <c r="BG44" s="50"/>
      <c r="BH44" s="327"/>
      <c r="BI44" s="343" t="s">
        <v>520</v>
      </c>
      <c r="BJ44" s="49"/>
      <c r="BK44" s="49"/>
      <c r="BL44" s="50"/>
      <c r="BM44" s="332"/>
    </row>
    <row r="45" ht="13.5" customHeight="1">
      <c r="A45" s="6"/>
      <c r="B45" s="343" t="s">
        <v>518</v>
      </c>
      <c r="C45" s="49"/>
      <c r="D45" s="50"/>
      <c r="E45" s="327"/>
      <c r="F45" s="343" t="s">
        <v>518</v>
      </c>
      <c r="G45" s="49"/>
      <c r="H45" s="49"/>
      <c r="I45" s="50"/>
      <c r="J45" s="327"/>
      <c r="K45" s="343" t="s">
        <v>520</v>
      </c>
      <c r="L45" s="49"/>
      <c r="M45" s="49"/>
      <c r="N45" s="50"/>
      <c r="O45" s="327"/>
      <c r="P45" s="343" t="s">
        <v>521</v>
      </c>
      <c r="Q45" s="49"/>
      <c r="R45" s="49"/>
      <c r="S45" s="50"/>
      <c r="T45" s="327"/>
      <c r="U45" s="343" t="s">
        <v>520</v>
      </c>
      <c r="V45" s="49"/>
      <c r="W45" s="49"/>
      <c r="X45" s="50"/>
      <c r="Y45" s="327"/>
      <c r="Z45" s="343" t="s">
        <v>520</v>
      </c>
      <c r="AA45" s="49"/>
      <c r="AB45" s="49"/>
      <c r="AC45" s="50"/>
      <c r="AD45" s="327"/>
      <c r="AE45" s="343" t="s">
        <v>521</v>
      </c>
      <c r="AF45" s="49"/>
      <c r="AG45" s="49"/>
      <c r="AH45" s="50"/>
      <c r="AI45" s="327"/>
      <c r="AJ45" s="343" t="s">
        <v>520</v>
      </c>
      <c r="AK45" s="49"/>
      <c r="AL45" s="49"/>
      <c r="AM45" s="50"/>
      <c r="AN45" s="327"/>
      <c r="AO45" s="343" t="s">
        <v>514</v>
      </c>
      <c r="AP45" s="49"/>
      <c r="AQ45" s="49"/>
      <c r="AR45" s="50"/>
      <c r="AS45" s="327"/>
      <c r="AT45" s="343" t="s">
        <v>513</v>
      </c>
      <c r="AU45" s="49"/>
      <c r="AV45" s="49"/>
      <c r="AW45" s="50"/>
      <c r="AX45" s="327"/>
      <c r="AY45" s="343" t="s">
        <v>521</v>
      </c>
      <c r="AZ45" s="49"/>
      <c r="BA45" s="49"/>
      <c r="BB45" s="50"/>
      <c r="BC45" s="327"/>
      <c r="BD45" s="343" t="s">
        <v>520</v>
      </c>
      <c r="BE45" s="49"/>
      <c r="BF45" s="49"/>
      <c r="BG45" s="50"/>
      <c r="BH45" s="327"/>
      <c r="BI45" s="343" t="s">
        <v>521</v>
      </c>
      <c r="BJ45" s="49"/>
      <c r="BK45" s="49"/>
      <c r="BL45" s="50"/>
      <c r="BM45" s="332"/>
    </row>
    <row r="46" ht="13.5" customHeight="1">
      <c r="A46" s="6"/>
      <c r="B46" s="343" t="s">
        <v>520</v>
      </c>
      <c r="C46" s="49"/>
      <c r="D46" s="50"/>
      <c r="E46" s="327"/>
      <c r="F46" s="343" t="s">
        <v>520</v>
      </c>
      <c r="G46" s="49"/>
      <c r="H46" s="49"/>
      <c r="I46" s="50"/>
      <c r="J46" s="327"/>
      <c r="K46" s="343" t="s">
        <v>521</v>
      </c>
      <c r="L46" s="49"/>
      <c r="M46" s="49"/>
      <c r="N46" s="50"/>
      <c r="O46" s="332"/>
      <c r="P46" s="344"/>
      <c r="Q46" s="345"/>
      <c r="R46" s="345"/>
      <c r="S46" s="346"/>
      <c r="T46" s="327"/>
      <c r="U46" s="343" t="s">
        <v>521</v>
      </c>
      <c r="V46" s="49"/>
      <c r="W46" s="49"/>
      <c r="X46" s="50"/>
      <c r="Y46" s="327"/>
      <c r="Z46" s="343" t="s">
        <v>521</v>
      </c>
      <c r="AA46" s="49"/>
      <c r="AB46" s="49"/>
      <c r="AC46" s="50"/>
      <c r="AD46" s="332"/>
      <c r="AE46" s="344"/>
      <c r="AF46" s="345"/>
      <c r="AG46" s="345"/>
      <c r="AH46" s="346"/>
      <c r="AI46" s="327"/>
      <c r="AJ46" s="343" t="s">
        <v>521</v>
      </c>
      <c r="AK46" s="49"/>
      <c r="AL46" s="49"/>
      <c r="AM46" s="50"/>
      <c r="AN46" s="327"/>
      <c r="AO46" s="343" t="s">
        <v>515</v>
      </c>
      <c r="AP46" s="49"/>
      <c r="AQ46" s="49"/>
      <c r="AR46" s="50"/>
      <c r="AS46" s="327"/>
      <c r="AT46" s="343" t="s">
        <v>514</v>
      </c>
      <c r="AU46" s="49"/>
      <c r="AV46" s="49"/>
      <c r="AW46" s="50"/>
      <c r="AX46" s="332"/>
      <c r="AY46" s="344"/>
      <c r="AZ46" s="345"/>
      <c r="BA46" s="345"/>
      <c r="BB46" s="346"/>
      <c r="BC46" s="327"/>
      <c r="BD46" s="343" t="s">
        <v>521</v>
      </c>
      <c r="BE46" s="49"/>
      <c r="BF46" s="49"/>
      <c r="BG46" s="50"/>
      <c r="BH46" s="332"/>
      <c r="BI46" s="344"/>
      <c r="BJ46" s="345"/>
      <c r="BK46" s="345"/>
      <c r="BL46" s="346"/>
      <c r="BM46" s="332"/>
    </row>
    <row r="47" ht="13.5" customHeight="1">
      <c r="A47" s="6"/>
      <c r="B47" s="343" t="s">
        <v>521</v>
      </c>
      <c r="C47" s="49"/>
      <c r="D47" s="50"/>
      <c r="E47" s="327"/>
      <c r="F47" s="343" t="s">
        <v>521</v>
      </c>
      <c r="G47" s="49"/>
      <c r="H47" s="49"/>
      <c r="I47" s="50"/>
      <c r="J47" s="332"/>
      <c r="K47" s="344"/>
      <c r="L47" s="345"/>
      <c r="M47" s="345"/>
      <c r="N47" s="346"/>
      <c r="O47" s="332"/>
      <c r="P47" s="344"/>
      <c r="Q47" s="345"/>
      <c r="R47" s="345"/>
      <c r="S47" s="346"/>
      <c r="T47" s="332"/>
      <c r="U47" s="344"/>
      <c r="V47" s="345"/>
      <c r="W47" s="345"/>
      <c r="X47" s="346"/>
      <c r="Y47" s="332"/>
      <c r="Z47" s="344"/>
      <c r="AA47" s="345"/>
      <c r="AB47" s="345"/>
      <c r="AC47" s="346"/>
      <c r="AD47" s="332"/>
      <c r="AE47" s="344"/>
      <c r="AF47" s="345"/>
      <c r="AG47" s="345"/>
      <c r="AH47" s="346"/>
      <c r="AI47" s="332"/>
      <c r="AJ47" s="344"/>
      <c r="AK47" s="345"/>
      <c r="AL47" s="345"/>
      <c r="AM47" s="346"/>
      <c r="AN47" s="327"/>
      <c r="AO47" s="343" t="s">
        <v>518</v>
      </c>
      <c r="AP47" s="49"/>
      <c r="AQ47" s="49"/>
      <c r="AR47" s="50"/>
      <c r="AS47" s="327"/>
      <c r="AT47" s="343" t="s">
        <v>515</v>
      </c>
      <c r="AU47" s="49"/>
      <c r="AV47" s="49"/>
      <c r="AW47" s="50"/>
      <c r="AX47" s="332"/>
      <c r="AY47" s="344"/>
      <c r="AZ47" s="345"/>
      <c r="BA47" s="345"/>
      <c r="BB47" s="346"/>
      <c r="BC47" s="332"/>
      <c r="BD47" s="344"/>
      <c r="BE47" s="345"/>
      <c r="BF47" s="345"/>
      <c r="BG47" s="346"/>
      <c r="BH47" s="332"/>
      <c r="BI47" s="344"/>
      <c r="BJ47" s="345"/>
      <c r="BK47" s="345"/>
      <c r="BL47" s="346"/>
      <c r="BM47" s="332"/>
    </row>
    <row r="48" ht="13.5" customHeight="1">
      <c r="B48" s="344"/>
      <c r="C48" s="345"/>
      <c r="D48" s="346"/>
      <c r="E48" s="332"/>
      <c r="F48" s="344"/>
      <c r="G48" s="345"/>
      <c r="H48" s="345"/>
      <c r="I48" s="346"/>
      <c r="J48" s="332"/>
      <c r="K48" s="344"/>
      <c r="L48" s="345"/>
      <c r="M48" s="345"/>
      <c r="N48" s="346"/>
      <c r="O48" s="332"/>
      <c r="P48" s="344"/>
      <c r="Q48" s="345"/>
      <c r="R48" s="345"/>
      <c r="S48" s="346"/>
      <c r="T48" s="332"/>
      <c r="U48" s="344"/>
      <c r="V48" s="345"/>
      <c r="W48" s="345"/>
      <c r="X48" s="346"/>
      <c r="Y48" s="332"/>
      <c r="Z48" s="344"/>
      <c r="AA48" s="345"/>
      <c r="AB48" s="345"/>
      <c r="AC48" s="346"/>
      <c r="AD48" s="332"/>
      <c r="AE48" s="344"/>
      <c r="AF48" s="345"/>
      <c r="AG48" s="345"/>
      <c r="AH48" s="346"/>
      <c r="AI48" s="332"/>
      <c r="AJ48" s="344"/>
      <c r="AK48" s="345"/>
      <c r="AL48" s="345"/>
      <c r="AM48" s="346"/>
      <c r="AN48" s="327"/>
      <c r="AO48" s="343" t="s">
        <v>520</v>
      </c>
      <c r="AP48" s="49"/>
      <c r="AQ48" s="49"/>
      <c r="AR48" s="50"/>
      <c r="AS48" s="327"/>
      <c r="AT48" s="343" t="s">
        <v>518</v>
      </c>
      <c r="AU48" s="49"/>
      <c r="AV48" s="49"/>
      <c r="AW48" s="50"/>
      <c r="AX48" s="332"/>
      <c r="AY48" s="344"/>
      <c r="AZ48" s="345"/>
      <c r="BA48" s="345"/>
      <c r="BB48" s="346"/>
      <c r="BC48" s="332"/>
      <c r="BD48" s="344"/>
      <c r="BE48" s="345"/>
      <c r="BF48" s="345"/>
      <c r="BG48" s="346"/>
      <c r="BH48" s="332"/>
      <c r="BI48" s="344"/>
      <c r="BJ48" s="345"/>
      <c r="BK48" s="345"/>
      <c r="BL48" s="346"/>
      <c r="BM48" s="332"/>
    </row>
    <row r="49" ht="13.5" customHeight="1">
      <c r="B49" s="344"/>
      <c r="C49" s="345"/>
      <c r="D49" s="346"/>
      <c r="E49" s="332"/>
      <c r="F49" s="344"/>
      <c r="G49" s="345"/>
      <c r="H49" s="345"/>
      <c r="I49" s="346"/>
      <c r="J49" s="332"/>
      <c r="K49" s="344"/>
      <c r="L49" s="345"/>
      <c r="M49" s="345"/>
      <c r="N49" s="346"/>
      <c r="O49" s="332"/>
      <c r="P49" s="344"/>
      <c r="Q49" s="345"/>
      <c r="R49" s="345"/>
      <c r="S49" s="346"/>
      <c r="T49" s="332"/>
      <c r="U49" s="344"/>
      <c r="V49" s="345"/>
      <c r="W49" s="345"/>
      <c r="X49" s="346"/>
      <c r="Y49" s="332"/>
      <c r="Z49" s="344"/>
      <c r="AA49" s="345"/>
      <c r="AB49" s="345"/>
      <c r="AC49" s="346"/>
      <c r="AD49" s="332"/>
      <c r="AE49" s="344"/>
      <c r="AF49" s="345"/>
      <c r="AG49" s="345"/>
      <c r="AH49" s="346"/>
      <c r="AI49" s="332"/>
      <c r="AJ49" s="344"/>
      <c r="AK49" s="345"/>
      <c r="AL49" s="345"/>
      <c r="AM49" s="346"/>
      <c r="AN49" s="327"/>
      <c r="AO49" s="343" t="s">
        <v>521</v>
      </c>
      <c r="AP49" s="49"/>
      <c r="AQ49" s="49"/>
      <c r="AR49" s="50"/>
      <c r="AS49" s="327"/>
      <c r="AT49" s="343" t="s">
        <v>520</v>
      </c>
      <c r="AU49" s="49"/>
      <c r="AV49" s="49"/>
      <c r="AW49" s="50"/>
      <c r="AX49" s="332"/>
      <c r="AY49" s="344"/>
      <c r="AZ49" s="345"/>
      <c r="BA49" s="345"/>
      <c r="BB49" s="346"/>
      <c r="BC49" s="332"/>
      <c r="BD49" s="344"/>
      <c r="BE49" s="345"/>
      <c r="BF49" s="345"/>
      <c r="BG49" s="346"/>
      <c r="BH49" s="332"/>
      <c r="BI49" s="344"/>
      <c r="BJ49" s="345"/>
      <c r="BK49" s="345"/>
      <c r="BL49" s="346"/>
      <c r="BM49" s="332"/>
    </row>
    <row r="50" ht="13.5" customHeight="1">
      <c r="B50" s="344"/>
      <c r="C50" s="345"/>
      <c r="D50" s="346"/>
      <c r="E50" s="332"/>
      <c r="F50" s="344"/>
      <c r="G50" s="345"/>
      <c r="H50" s="345"/>
      <c r="I50" s="346"/>
      <c r="J50" s="332"/>
      <c r="K50" s="344"/>
      <c r="L50" s="345"/>
      <c r="M50" s="345"/>
      <c r="N50" s="346"/>
      <c r="O50" s="332"/>
      <c r="P50" s="344"/>
      <c r="Q50" s="345"/>
      <c r="R50" s="345"/>
      <c r="S50" s="346"/>
      <c r="T50" s="332"/>
      <c r="U50" s="344"/>
      <c r="V50" s="345"/>
      <c r="W50" s="345"/>
      <c r="X50" s="346"/>
      <c r="Y50" s="332"/>
      <c r="Z50" s="344"/>
      <c r="AA50" s="345"/>
      <c r="AB50" s="345"/>
      <c r="AC50" s="346"/>
      <c r="AD50" s="332"/>
      <c r="AE50" s="344"/>
      <c r="AF50" s="345"/>
      <c r="AG50" s="345"/>
      <c r="AH50" s="346"/>
      <c r="AI50" s="332"/>
      <c r="AJ50" s="344"/>
      <c r="AK50" s="345"/>
      <c r="AL50" s="345"/>
      <c r="AM50" s="346"/>
      <c r="AN50" s="332"/>
      <c r="AO50" s="344"/>
      <c r="AP50" s="345"/>
      <c r="AQ50" s="345"/>
      <c r="AR50" s="346"/>
      <c r="AS50" s="327"/>
      <c r="AT50" s="343" t="s">
        <v>521</v>
      </c>
      <c r="AU50" s="49"/>
      <c r="AV50" s="49"/>
      <c r="AW50" s="50"/>
      <c r="AX50" s="332"/>
      <c r="AY50" s="344"/>
      <c r="AZ50" s="345"/>
      <c r="BA50" s="345"/>
      <c r="BB50" s="346"/>
      <c r="BC50" s="332"/>
      <c r="BD50" s="344"/>
      <c r="BE50" s="345"/>
      <c r="BF50" s="345"/>
      <c r="BG50" s="346"/>
      <c r="BH50" s="332"/>
      <c r="BI50" s="344"/>
      <c r="BJ50" s="345"/>
      <c r="BK50" s="345"/>
      <c r="BL50" s="346"/>
      <c r="BM50" s="332"/>
    </row>
    <row r="51" ht="13.5" customHeight="1">
      <c r="B51" s="344"/>
      <c r="C51" s="345"/>
      <c r="D51" s="346"/>
      <c r="E51" s="332"/>
      <c r="F51" s="344"/>
      <c r="G51" s="345"/>
      <c r="H51" s="345"/>
      <c r="I51" s="346"/>
      <c r="J51" s="332"/>
      <c r="K51" s="344"/>
      <c r="L51" s="345"/>
      <c r="M51" s="345"/>
      <c r="N51" s="346"/>
      <c r="O51" s="332"/>
      <c r="P51" s="344"/>
      <c r="Q51" s="345"/>
      <c r="R51" s="345"/>
      <c r="S51" s="346"/>
      <c r="T51" s="332"/>
      <c r="U51" s="344"/>
      <c r="V51" s="345"/>
      <c r="W51" s="345"/>
      <c r="X51" s="346"/>
      <c r="Y51" s="332"/>
      <c r="Z51" s="344"/>
      <c r="AA51" s="345"/>
      <c r="AB51" s="345"/>
      <c r="AC51" s="346"/>
      <c r="AD51" s="332"/>
      <c r="AE51" s="344"/>
      <c r="AF51" s="345"/>
      <c r="AG51" s="345"/>
      <c r="AH51" s="346"/>
      <c r="AI51" s="332"/>
      <c r="AJ51" s="344"/>
      <c r="AK51" s="345"/>
      <c r="AL51" s="345"/>
      <c r="AM51" s="346"/>
      <c r="AN51" s="332"/>
      <c r="AO51" s="344"/>
      <c r="AP51" s="345"/>
      <c r="AQ51" s="345"/>
      <c r="AR51" s="346"/>
      <c r="AS51" s="332"/>
      <c r="AT51" s="344"/>
      <c r="AU51" s="345"/>
      <c r="AV51" s="345"/>
      <c r="AW51" s="346"/>
      <c r="AX51" s="332"/>
      <c r="AY51" s="344"/>
      <c r="AZ51" s="345"/>
      <c r="BA51" s="345"/>
      <c r="BB51" s="346"/>
      <c r="BC51" s="332"/>
      <c r="BD51" s="344"/>
      <c r="BE51" s="345"/>
      <c r="BF51" s="345"/>
      <c r="BG51" s="346"/>
      <c r="BH51" s="332"/>
      <c r="BI51" s="344"/>
      <c r="BJ51" s="345"/>
      <c r="BK51" s="345"/>
      <c r="BL51" s="346"/>
      <c r="BM51" s="332"/>
    </row>
    <row r="52" ht="13.5" customHeight="1">
      <c r="A52" s="6"/>
      <c r="B52" s="342" t="s">
        <v>522</v>
      </c>
      <c r="C52" s="49"/>
      <c r="D52" s="50"/>
      <c r="E52" s="327"/>
      <c r="F52" s="342" t="s">
        <v>522</v>
      </c>
      <c r="G52" s="49"/>
      <c r="H52" s="49"/>
      <c r="I52" s="50"/>
      <c r="J52" s="327"/>
      <c r="K52" s="342" t="s">
        <v>522</v>
      </c>
      <c r="L52" s="49"/>
      <c r="M52" s="49"/>
      <c r="N52" s="50"/>
      <c r="O52" s="327"/>
      <c r="P52" s="342" t="s">
        <v>522</v>
      </c>
      <c r="Q52" s="49"/>
      <c r="R52" s="49"/>
      <c r="S52" s="50"/>
      <c r="T52" s="327"/>
      <c r="U52" s="342" t="s">
        <v>522</v>
      </c>
      <c r="V52" s="49"/>
      <c r="W52" s="49"/>
      <c r="X52" s="50"/>
      <c r="Y52" s="327"/>
      <c r="Z52" s="342" t="s">
        <v>522</v>
      </c>
      <c r="AA52" s="49"/>
      <c r="AB52" s="49"/>
      <c r="AC52" s="50"/>
      <c r="AD52" s="327"/>
      <c r="AE52" s="342" t="s">
        <v>522</v>
      </c>
      <c r="AF52" s="49"/>
      <c r="AG52" s="49"/>
      <c r="AH52" s="50"/>
      <c r="AI52" s="327"/>
      <c r="AJ52" s="342" t="s">
        <v>522</v>
      </c>
      <c r="AK52" s="49"/>
      <c r="AL52" s="49"/>
      <c r="AM52" s="50"/>
      <c r="AN52" s="327"/>
      <c r="AO52" s="342" t="s">
        <v>522</v>
      </c>
      <c r="AP52" s="49"/>
      <c r="AQ52" s="49"/>
      <c r="AR52" s="50"/>
      <c r="AS52" s="327"/>
      <c r="AT52" s="342" t="s">
        <v>522</v>
      </c>
      <c r="AU52" s="49"/>
      <c r="AV52" s="49"/>
      <c r="AW52" s="50"/>
      <c r="AX52" s="327"/>
      <c r="AY52" s="342" t="s">
        <v>522</v>
      </c>
      <c r="AZ52" s="49"/>
      <c r="BA52" s="49"/>
      <c r="BB52" s="50"/>
      <c r="BC52" s="327"/>
      <c r="BD52" s="342" t="s">
        <v>522</v>
      </c>
      <c r="BE52" s="49"/>
      <c r="BF52" s="49"/>
      <c r="BG52" s="50"/>
      <c r="BH52" s="327"/>
      <c r="BI52" s="342" t="s">
        <v>522</v>
      </c>
      <c r="BJ52" s="49"/>
      <c r="BK52" s="49"/>
      <c r="BL52" s="50"/>
      <c r="BM52" s="332"/>
    </row>
    <row r="53" ht="13.5" customHeight="1">
      <c r="A53" s="6"/>
      <c r="B53" s="343" t="s">
        <v>523</v>
      </c>
      <c r="C53" s="49"/>
      <c r="D53" s="50"/>
      <c r="E53" s="327"/>
      <c r="F53" s="343" t="s">
        <v>524</v>
      </c>
      <c r="G53" s="49"/>
      <c r="H53" s="49"/>
      <c r="I53" s="50"/>
      <c r="J53" s="327"/>
      <c r="K53" s="343" t="s">
        <v>525</v>
      </c>
      <c r="L53" s="49"/>
      <c r="M53" s="49"/>
      <c r="N53" s="50"/>
      <c r="O53" s="327"/>
      <c r="P53" s="343" t="s">
        <v>526</v>
      </c>
      <c r="Q53" s="49"/>
      <c r="R53" s="49"/>
      <c r="S53" s="50"/>
      <c r="T53" s="327"/>
      <c r="U53" s="343" t="s">
        <v>526</v>
      </c>
      <c r="V53" s="49"/>
      <c r="W53" s="49"/>
      <c r="X53" s="50"/>
      <c r="Y53" s="327"/>
      <c r="Z53" s="343" t="s">
        <v>525</v>
      </c>
      <c r="AA53" s="49"/>
      <c r="AB53" s="49"/>
      <c r="AC53" s="50"/>
      <c r="AD53" s="327"/>
      <c r="AE53" s="343" t="s">
        <v>525</v>
      </c>
      <c r="AF53" s="49"/>
      <c r="AG53" s="49"/>
      <c r="AH53" s="50"/>
      <c r="AI53" s="327"/>
      <c r="AJ53" s="343" t="s">
        <v>523</v>
      </c>
      <c r="AK53" s="49"/>
      <c r="AL53" s="49"/>
      <c r="AM53" s="50"/>
      <c r="AN53" s="327"/>
      <c r="AO53" s="343" t="s">
        <v>525</v>
      </c>
      <c r="AP53" s="49"/>
      <c r="AQ53" s="49"/>
      <c r="AR53" s="50"/>
      <c r="AS53" s="327"/>
      <c r="AT53" s="343" t="s">
        <v>524</v>
      </c>
      <c r="AU53" s="49"/>
      <c r="AV53" s="49"/>
      <c r="AW53" s="50"/>
      <c r="AX53" s="327"/>
      <c r="AY53" s="343" t="s">
        <v>526</v>
      </c>
      <c r="AZ53" s="49"/>
      <c r="BA53" s="49"/>
      <c r="BB53" s="50"/>
      <c r="BC53" s="327"/>
      <c r="BD53" s="343" t="s">
        <v>526</v>
      </c>
      <c r="BE53" s="49"/>
      <c r="BF53" s="49"/>
      <c r="BG53" s="50"/>
      <c r="BH53" s="327"/>
      <c r="BI53" s="343" t="s">
        <v>526</v>
      </c>
      <c r="BJ53" s="49"/>
      <c r="BK53" s="49"/>
      <c r="BL53" s="50"/>
      <c r="BM53" s="332"/>
    </row>
    <row r="54" ht="13.5" customHeight="1">
      <c r="A54" s="6"/>
      <c r="B54" s="343" t="s">
        <v>526</v>
      </c>
      <c r="C54" s="49"/>
      <c r="D54" s="50"/>
      <c r="E54" s="327"/>
      <c r="F54" s="343" t="s">
        <v>525</v>
      </c>
      <c r="G54" s="49"/>
      <c r="H54" s="49"/>
      <c r="I54" s="50"/>
      <c r="J54" s="327"/>
      <c r="K54" s="343" t="s">
        <v>523</v>
      </c>
      <c r="L54" s="49"/>
      <c r="M54" s="49"/>
      <c r="N54" s="50"/>
      <c r="O54" s="327"/>
      <c r="P54" s="343" t="s">
        <v>527</v>
      </c>
      <c r="Q54" s="49"/>
      <c r="R54" s="49"/>
      <c r="S54" s="50"/>
      <c r="T54" s="327"/>
      <c r="U54" s="343" t="s">
        <v>527</v>
      </c>
      <c r="V54" s="49"/>
      <c r="W54" s="49"/>
      <c r="X54" s="50"/>
      <c r="Y54" s="327"/>
      <c r="Z54" s="343" t="s">
        <v>523</v>
      </c>
      <c r="AA54" s="49"/>
      <c r="AB54" s="49"/>
      <c r="AC54" s="50"/>
      <c r="AD54" s="327"/>
      <c r="AE54" s="343" t="s">
        <v>523</v>
      </c>
      <c r="AF54" s="49"/>
      <c r="AG54" s="49"/>
      <c r="AH54" s="50"/>
      <c r="AI54" s="327"/>
      <c r="AJ54" s="343" t="s">
        <v>526</v>
      </c>
      <c r="AK54" s="49"/>
      <c r="AL54" s="49"/>
      <c r="AM54" s="50"/>
      <c r="AN54" s="327"/>
      <c r="AO54" s="343" t="s">
        <v>523</v>
      </c>
      <c r="AP54" s="49"/>
      <c r="AQ54" s="49"/>
      <c r="AR54" s="50"/>
      <c r="AS54" s="327"/>
      <c r="AT54" s="343" t="s">
        <v>525</v>
      </c>
      <c r="AU54" s="49"/>
      <c r="AV54" s="49"/>
      <c r="AW54" s="50"/>
      <c r="AX54" s="327"/>
      <c r="AY54" s="343" t="s">
        <v>527</v>
      </c>
      <c r="AZ54" s="49"/>
      <c r="BA54" s="49"/>
      <c r="BB54" s="50"/>
      <c r="BC54" s="327"/>
      <c r="BD54" s="343" t="s">
        <v>527</v>
      </c>
      <c r="BE54" s="49"/>
      <c r="BF54" s="49"/>
      <c r="BG54" s="50"/>
      <c r="BH54" s="327"/>
      <c r="BI54" s="343" t="s">
        <v>527</v>
      </c>
      <c r="BJ54" s="49"/>
      <c r="BK54" s="49"/>
      <c r="BL54" s="50"/>
      <c r="BM54" s="332"/>
    </row>
    <row r="55" ht="13.5" customHeight="1">
      <c r="A55" s="6"/>
      <c r="B55" s="343" t="s">
        <v>527</v>
      </c>
      <c r="C55" s="49"/>
      <c r="D55" s="50"/>
      <c r="E55" s="327"/>
      <c r="F55" s="343" t="s">
        <v>523</v>
      </c>
      <c r="G55" s="49"/>
      <c r="H55" s="49"/>
      <c r="I55" s="50"/>
      <c r="J55" s="327"/>
      <c r="K55" s="343" t="s">
        <v>526</v>
      </c>
      <c r="L55" s="49"/>
      <c r="M55" s="49"/>
      <c r="N55" s="50"/>
      <c r="O55" s="327"/>
      <c r="P55" s="343" t="s">
        <v>528</v>
      </c>
      <c r="Q55" s="49"/>
      <c r="R55" s="49"/>
      <c r="S55" s="50"/>
      <c r="T55" s="327"/>
      <c r="U55" s="343" t="s">
        <v>528</v>
      </c>
      <c r="V55" s="49"/>
      <c r="W55" s="49"/>
      <c r="X55" s="50"/>
      <c r="Y55" s="327"/>
      <c r="Z55" s="343" t="s">
        <v>526</v>
      </c>
      <c r="AA55" s="49"/>
      <c r="AB55" s="49"/>
      <c r="AC55" s="50"/>
      <c r="AD55" s="327"/>
      <c r="AE55" s="343" t="s">
        <v>526</v>
      </c>
      <c r="AF55" s="49"/>
      <c r="AG55" s="49"/>
      <c r="AH55" s="50"/>
      <c r="AI55" s="327"/>
      <c r="AJ55" s="343" t="s">
        <v>527</v>
      </c>
      <c r="AK55" s="49"/>
      <c r="AL55" s="49"/>
      <c r="AM55" s="50"/>
      <c r="AN55" s="327"/>
      <c r="AO55" s="343" t="s">
        <v>526</v>
      </c>
      <c r="AP55" s="49"/>
      <c r="AQ55" s="49"/>
      <c r="AR55" s="50"/>
      <c r="AS55" s="327"/>
      <c r="AT55" s="343" t="s">
        <v>523</v>
      </c>
      <c r="AU55" s="49"/>
      <c r="AV55" s="49"/>
      <c r="AW55" s="50"/>
      <c r="AX55" s="327"/>
      <c r="AY55" s="343" t="s">
        <v>528</v>
      </c>
      <c r="AZ55" s="49"/>
      <c r="BA55" s="49"/>
      <c r="BB55" s="50"/>
      <c r="BC55" s="327"/>
      <c r="BD55" s="343" t="s">
        <v>528</v>
      </c>
      <c r="BE55" s="49"/>
      <c r="BF55" s="49"/>
      <c r="BG55" s="50"/>
      <c r="BH55" s="327"/>
      <c r="BI55" s="343" t="s">
        <v>528</v>
      </c>
      <c r="BJ55" s="49"/>
      <c r="BK55" s="49"/>
      <c r="BL55" s="50"/>
      <c r="BM55" s="332"/>
    </row>
    <row r="56" ht="13.5" customHeight="1">
      <c r="A56" s="6"/>
      <c r="B56" s="343" t="s">
        <v>528</v>
      </c>
      <c r="C56" s="49"/>
      <c r="D56" s="50"/>
      <c r="E56" s="327"/>
      <c r="F56" s="343" t="s">
        <v>526</v>
      </c>
      <c r="G56" s="49"/>
      <c r="H56" s="49"/>
      <c r="I56" s="50"/>
      <c r="J56" s="327"/>
      <c r="K56" s="343" t="s">
        <v>527</v>
      </c>
      <c r="L56" s="49"/>
      <c r="M56" s="49"/>
      <c r="N56" s="50"/>
      <c r="O56" s="327"/>
      <c r="P56" s="343" t="s">
        <v>529</v>
      </c>
      <c r="Q56" s="49"/>
      <c r="R56" s="49"/>
      <c r="S56" s="50"/>
      <c r="T56" s="327"/>
      <c r="U56" s="343" t="s">
        <v>529</v>
      </c>
      <c r="V56" s="49"/>
      <c r="W56" s="49"/>
      <c r="X56" s="50"/>
      <c r="Y56" s="327"/>
      <c r="Z56" s="343" t="s">
        <v>527</v>
      </c>
      <c r="AA56" s="49"/>
      <c r="AB56" s="49"/>
      <c r="AC56" s="50"/>
      <c r="AD56" s="327"/>
      <c r="AE56" s="343" t="s">
        <v>527</v>
      </c>
      <c r="AF56" s="49"/>
      <c r="AG56" s="49"/>
      <c r="AH56" s="50"/>
      <c r="AI56" s="327"/>
      <c r="AJ56" s="343" t="s">
        <v>528</v>
      </c>
      <c r="AK56" s="49"/>
      <c r="AL56" s="49"/>
      <c r="AM56" s="50"/>
      <c r="AN56" s="327"/>
      <c r="AO56" s="343" t="s">
        <v>527</v>
      </c>
      <c r="AP56" s="49"/>
      <c r="AQ56" s="49"/>
      <c r="AR56" s="50"/>
      <c r="AS56" s="327"/>
      <c r="AT56" s="343" t="s">
        <v>526</v>
      </c>
      <c r="AU56" s="49"/>
      <c r="AV56" s="49"/>
      <c r="AW56" s="50"/>
      <c r="AX56" s="327"/>
      <c r="AY56" s="343" t="s">
        <v>529</v>
      </c>
      <c r="AZ56" s="49"/>
      <c r="BA56" s="49"/>
      <c r="BB56" s="50"/>
      <c r="BC56" s="327"/>
      <c r="BD56" s="343" t="s">
        <v>529</v>
      </c>
      <c r="BE56" s="49"/>
      <c r="BF56" s="49"/>
      <c r="BG56" s="50"/>
      <c r="BH56" s="327"/>
      <c r="BI56" s="343" t="s">
        <v>529</v>
      </c>
      <c r="BJ56" s="49"/>
      <c r="BK56" s="49"/>
      <c r="BL56" s="50"/>
      <c r="BM56" s="332"/>
    </row>
    <row r="57" ht="13.5" customHeight="1">
      <c r="A57" s="6"/>
      <c r="B57" s="343" t="s">
        <v>529</v>
      </c>
      <c r="C57" s="49"/>
      <c r="D57" s="50"/>
      <c r="E57" s="327"/>
      <c r="F57" s="343" t="s">
        <v>527</v>
      </c>
      <c r="G57" s="49"/>
      <c r="H57" s="49"/>
      <c r="I57" s="50"/>
      <c r="J57" s="327"/>
      <c r="K57" s="343" t="s">
        <v>528</v>
      </c>
      <c r="L57" s="49"/>
      <c r="M57" s="49"/>
      <c r="N57" s="50"/>
      <c r="O57" s="332"/>
      <c r="P57" s="344"/>
      <c r="Q57" s="345"/>
      <c r="R57" s="345"/>
      <c r="S57" s="346"/>
      <c r="T57" s="332"/>
      <c r="U57" s="344"/>
      <c r="V57" s="345"/>
      <c r="W57" s="345"/>
      <c r="X57" s="346"/>
      <c r="Y57" s="327"/>
      <c r="Z57" s="343" t="s">
        <v>528</v>
      </c>
      <c r="AA57" s="49"/>
      <c r="AB57" s="49"/>
      <c r="AC57" s="50"/>
      <c r="AD57" s="327"/>
      <c r="AE57" s="343" t="s">
        <v>528</v>
      </c>
      <c r="AF57" s="49"/>
      <c r="AG57" s="49"/>
      <c r="AH57" s="50"/>
      <c r="AI57" s="327"/>
      <c r="AJ57" s="343" t="s">
        <v>529</v>
      </c>
      <c r="AK57" s="49"/>
      <c r="AL57" s="49"/>
      <c r="AM57" s="50"/>
      <c r="AN57" s="327"/>
      <c r="AO57" s="343" t="s">
        <v>528</v>
      </c>
      <c r="AP57" s="49"/>
      <c r="AQ57" s="49"/>
      <c r="AR57" s="50"/>
      <c r="AS57" s="327"/>
      <c r="AT57" s="343" t="s">
        <v>527</v>
      </c>
      <c r="AU57" s="49"/>
      <c r="AV57" s="49"/>
      <c r="AW57" s="50"/>
      <c r="AX57" s="332"/>
      <c r="AY57" s="344"/>
      <c r="AZ57" s="345"/>
      <c r="BA57" s="345"/>
      <c r="BB57" s="346"/>
      <c r="BC57" s="332"/>
      <c r="BD57" s="344"/>
      <c r="BE57" s="345"/>
      <c r="BF57" s="345"/>
      <c r="BG57" s="346"/>
      <c r="BH57" s="332"/>
      <c r="BI57" s="344"/>
      <c r="BJ57" s="345"/>
      <c r="BK57" s="345"/>
      <c r="BL57" s="346"/>
      <c r="BM57" s="332"/>
    </row>
    <row r="58" ht="13.5" customHeight="1">
      <c r="B58" s="344"/>
      <c r="C58" s="345"/>
      <c r="D58" s="346"/>
      <c r="E58" s="327"/>
      <c r="F58" s="343" t="s">
        <v>528</v>
      </c>
      <c r="G58" s="49"/>
      <c r="H58" s="49"/>
      <c r="I58" s="50"/>
      <c r="J58" s="327"/>
      <c r="K58" s="343" t="s">
        <v>529</v>
      </c>
      <c r="L58" s="49"/>
      <c r="M58" s="49"/>
      <c r="N58" s="50"/>
      <c r="O58" s="332"/>
      <c r="P58" s="344"/>
      <c r="Q58" s="345"/>
      <c r="R58" s="345"/>
      <c r="S58" s="346"/>
      <c r="T58" s="332"/>
      <c r="U58" s="344"/>
      <c r="V58" s="345"/>
      <c r="W58" s="345"/>
      <c r="X58" s="346"/>
      <c r="Y58" s="327"/>
      <c r="Z58" s="343" t="s">
        <v>529</v>
      </c>
      <c r="AA58" s="49"/>
      <c r="AB58" s="49"/>
      <c r="AC58" s="50"/>
      <c r="AD58" s="327"/>
      <c r="AE58" s="343" t="s">
        <v>529</v>
      </c>
      <c r="AF58" s="49"/>
      <c r="AG58" s="49"/>
      <c r="AH58" s="50"/>
      <c r="AI58" s="332"/>
      <c r="AJ58" s="344"/>
      <c r="AK58" s="345"/>
      <c r="AL58" s="345"/>
      <c r="AM58" s="346"/>
      <c r="AN58" s="327"/>
      <c r="AO58" s="343" t="s">
        <v>529</v>
      </c>
      <c r="AP58" s="49"/>
      <c r="AQ58" s="49"/>
      <c r="AR58" s="50"/>
      <c r="AS58" s="327"/>
      <c r="AT58" s="343" t="s">
        <v>528</v>
      </c>
      <c r="AU58" s="49"/>
      <c r="AV58" s="49"/>
      <c r="AW58" s="50"/>
      <c r="AX58" s="332"/>
      <c r="AY58" s="344"/>
      <c r="AZ58" s="345"/>
      <c r="BA58" s="345"/>
      <c r="BB58" s="346"/>
      <c r="BC58" s="332"/>
      <c r="BD58" s="344"/>
      <c r="BE58" s="345"/>
      <c r="BF58" s="345"/>
      <c r="BG58" s="346"/>
      <c r="BH58" s="332"/>
      <c r="BI58" s="344"/>
      <c r="BJ58" s="345"/>
      <c r="BK58" s="345"/>
      <c r="BL58" s="346"/>
      <c r="BM58" s="332"/>
    </row>
    <row r="59" ht="13.5" customHeight="1">
      <c r="B59" s="344"/>
      <c r="C59" s="345"/>
      <c r="D59" s="346"/>
      <c r="E59" s="327"/>
      <c r="F59" s="343" t="s">
        <v>529</v>
      </c>
      <c r="G59" s="49"/>
      <c r="H59" s="49"/>
      <c r="I59" s="50"/>
      <c r="J59" s="332"/>
      <c r="K59" s="344"/>
      <c r="L59" s="345"/>
      <c r="M59" s="345"/>
      <c r="N59" s="346"/>
      <c r="O59" s="332"/>
      <c r="P59" s="344"/>
      <c r="Q59" s="345"/>
      <c r="R59" s="345"/>
      <c r="S59" s="346"/>
      <c r="T59" s="332"/>
      <c r="U59" s="344"/>
      <c r="V59" s="345"/>
      <c r="W59" s="345"/>
      <c r="X59" s="346"/>
      <c r="Y59" s="332"/>
      <c r="Z59" s="344"/>
      <c r="AA59" s="345"/>
      <c r="AB59" s="345"/>
      <c r="AC59" s="346"/>
      <c r="AD59" s="332"/>
      <c r="AE59" s="344"/>
      <c r="AF59" s="345"/>
      <c r="AG59" s="345"/>
      <c r="AH59" s="346"/>
      <c r="AI59" s="332"/>
      <c r="AJ59" s="344"/>
      <c r="AK59" s="345"/>
      <c r="AL59" s="345"/>
      <c r="AM59" s="346"/>
      <c r="AN59" s="332"/>
      <c r="AO59" s="344"/>
      <c r="AP59" s="345"/>
      <c r="AQ59" s="345"/>
      <c r="AR59" s="346"/>
      <c r="AS59" s="327"/>
      <c r="AT59" s="343" t="s">
        <v>529</v>
      </c>
      <c r="AU59" s="49"/>
      <c r="AV59" s="49"/>
      <c r="AW59" s="50"/>
      <c r="AX59" s="332"/>
      <c r="AY59" s="344"/>
      <c r="AZ59" s="345"/>
      <c r="BA59" s="345"/>
      <c r="BB59" s="346"/>
      <c r="BC59" s="332"/>
      <c r="BD59" s="344"/>
      <c r="BE59" s="345"/>
      <c r="BF59" s="345"/>
      <c r="BG59" s="346"/>
      <c r="BH59" s="332"/>
      <c r="BI59" s="344"/>
      <c r="BJ59" s="345"/>
      <c r="BK59" s="345"/>
      <c r="BL59" s="346"/>
      <c r="BM59" s="332"/>
    </row>
    <row r="60" ht="13.5" customHeight="1">
      <c r="B60" s="344"/>
      <c r="C60" s="345"/>
      <c r="D60" s="346"/>
      <c r="E60" s="332"/>
      <c r="F60" s="344"/>
      <c r="G60" s="345"/>
      <c r="H60" s="345"/>
      <c r="I60" s="346"/>
      <c r="J60" s="332"/>
      <c r="K60" s="344"/>
      <c r="L60" s="345"/>
      <c r="M60" s="345"/>
      <c r="N60" s="346"/>
      <c r="O60" s="332"/>
      <c r="P60" s="344"/>
      <c r="Q60" s="345"/>
      <c r="R60" s="345"/>
      <c r="S60" s="346"/>
      <c r="T60" s="332"/>
      <c r="U60" s="344"/>
      <c r="V60" s="345"/>
      <c r="W60" s="345"/>
      <c r="X60" s="346"/>
      <c r="Y60" s="332"/>
      <c r="Z60" s="344"/>
      <c r="AA60" s="345"/>
      <c r="AB60" s="345"/>
      <c r="AC60" s="346"/>
      <c r="AD60" s="332"/>
      <c r="AE60" s="344"/>
      <c r="AF60" s="345"/>
      <c r="AG60" s="345"/>
      <c r="AH60" s="346"/>
      <c r="AI60" s="332"/>
      <c r="AJ60" s="344"/>
      <c r="AK60" s="345"/>
      <c r="AL60" s="345"/>
      <c r="AM60" s="346"/>
      <c r="AN60" s="332"/>
      <c r="AO60" s="344"/>
      <c r="AP60" s="345"/>
      <c r="AQ60" s="345"/>
      <c r="AR60" s="346"/>
      <c r="AS60" s="332"/>
      <c r="AT60" s="344"/>
      <c r="AU60" s="345"/>
      <c r="AV60" s="345"/>
      <c r="AW60" s="346"/>
      <c r="AX60" s="332"/>
      <c r="AY60" s="344"/>
      <c r="AZ60" s="345"/>
      <c r="BA60" s="345"/>
      <c r="BB60" s="346"/>
      <c r="BC60" s="332"/>
      <c r="BD60" s="344"/>
      <c r="BE60" s="345"/>
      <c r="BF60" s="345"/>
      <c r="BG60" s="346"/>
      <c r="BH60" s="332"/>
      <c r="BI60" s="344"/>
      <c r="BJ60" s="345"/>
      <c r="BK60" s="345"/>
      <c r="BL60" s="346"/>
      <c r="BM60" s="332"/>
    </row>
    <row r="61" ht="13.5" customHeight="1">
      <c r="A61" s="6"/>
      <c r="B61" s="342" t="s">
        <v>530</v>
      </c>
      <c r="C61" s="49"/>
      <c r="D61" s="50"/>
      <c r="E61" s="327"/>
      <c r="F61" s="342" t="s">
        <v>530</v>
      </c>
      <c r="G61" s="49"/>
      <c r="H61" s="49"/>
      <c r="I61" s="50"/>
      <c r="J61" s="327"/>
      <c r="K61" s="342" t="s">
        <v>530</v>
      </c>
      <c r="L61" s="49"/>
      <c r="M61" s="49"/>
      <c r="N61" s="50"/>
      <c r="O61" s="327"/>
      <c r="P61" s="342" t="s">
        <v>530</v>
      </c>
      <c r="Q61" s="49"/>
      <c r="R61" s="49"/>
      <c r="S61" s="50"/>
      <c r="T61" s="327"/>
      <c r="U61" s="342" t="s">
        <v>530</v>
      </c>
      <c r="V61" s="49"/>
      <c r="W61" s="49"/>
      <c r="X61" s="50"/>
      <c r="Y61" s="327"/>
      <c r="Z61" s="342" t="s">
        <v>530</v>
      </c>
      <c r="AA61" s="49"/>
      <c r="AB61" s="49"/>
      <c r="AC61" s="50"/>
      <c r="AD61" s="327"/>
      <c r="AE61" s="342" t="s">
        <v>530</v>
      </c>
      <c r="AF61" s="49"/>
      <c r="AG61" s="49"/>
      <c r="AH61" s="50"/>
      <c r="AI61" s="327"/>
      <c r="AJ61" s="342" t="s">
        <v>530</v>
      </c>
      <c r="AK61" s="49"/>
      <c r="AL61" s="49"/>
      <c r="AM61" s="50"/>
      <c r="AN61" s="327"/>
      <c r="AO61" s="342" t="s">
        <v>530</v>
      </c>
      <c r="AP61" s="49"/>
      <c r="AQ61" s="49"/>
      <c r="AR61" s="50"/>
      <c r="AS61" s="327"/>
      <c r="AT61" s="342" t="s">
        <v>530</v>
      </c>
      <c r="AU61" s="49"/>
      <c r="AV61" s="49"/>
      <c r="AW61" s="50"/>
      <c r="AX61" s="327"/>
      <c r="AY61" s="342" t="s">
        <v>530</v>
      </c>
      <c r="AZ61" s="49"/>
      <c r="BA61" s="49"/>
      <c r="BB61" s="50"/>
      <c r="BC61" s="327"/>
      <c r="BD61" s="342" t="s">
        <v>530</v>
      </c>
      <c r="BE61" s="49"/>
      <c r="BF61" s="49"/>
      <c r="BG61" s="50"/>
      <c r="BH61" s="327"/>
      <c r="BI61" s="342" t="s">
        <v>530</v>
      </c>
      <c r="BJ61" s="49"/>
      <c r="BK61" s="49"/>
      <c r="BL61" s="50"/>
      <c r="BM61" s="332"/>
    </row>
    <row r="62" ht="13.5" customHeight="1">
      <c r="A62" s="6"/>
      <c r="B62" s="343" t="s">
        <v>531</v>
      </c>
      <c r="C62" s="49"/>
      <c r="D62" s="50"/>
      <c r="E62" s="327"/>
      <c r="F62" s="343" t="s">
        <v>532</v>
      </c>
      <c r="G62" s="49"/>
      <c r="H62" s="49"/>
      <c r="I62" s="50"/>
      <c r="J62" s="327"/>
      <c r="K62" s="343" t="s">
        <v>533</v>
      </c>
      <c r="L62" s="49"/>
      <c r="M62" s="49"/>
      <c r="N62" s="50"/>
      <c r="O62" s="327"/>
      <c r="P62" s="343" t="s">
        <v>534</v>
      </c>
      <c r="Q62" s="49"/>
      <c r="R62" s="49"/>
      <c r="S62" s="50"/>
      <c r="T62" s="327"/>
      <c r="U62" s="343" t="s">
        <v>534</v>
      </c>
      <c r="V62" s="49"/>
      <c r="W62" s="49"/>
      <c r="X62" s="50"/>
      <c r="Y62" s="327"/>
      <c r="Z62" s="343" t="s">
        <v>531</v>
      </c>
      <c r="AA62" s="49"/>
      <c r="AB62" s="49"/>
      <c r="AC62" s="50"/>
      <c r="AD62" s="327"/>
      <c r="AE62" s="343" t="s">
        <v>535</v>
      </c>
      <c r="AF62" s="49"/>
      <c r="AG62" s="49"/>
      <c r="AH62" s="50"/>
      <c r="AI62" s="327"/>
      <c r="AJ62" s="343" t="s">
        <v>536</v>
      </c>
      <c r="AK62" s="49"/>
      <c r="AL62" s="49"/>
      <c r="AM62" s="50"/>
      <c r="AN62" s="327"/>
      <c r="AO62" s="343" t="s">
        <v>533</v>
      </c>
      <c r="AP62" s="49"/>
      <c r="AQ62" s="49"/>
      <c r="AR62" s="50"/>
      <c r="AS62" s="327"/>
      <c r="AT62" s="343" t="s">
        <v>537</v>
      </c>
      <c r="AU62" s="49"/>
      <c r="AV62" s="49"/>
      <c r="AW62" s="50"/>
      <c r="AX62" s="327"/>
      <c r="AY62" s="343" t="s">
        <v>534</v>
      </c>
      <c r="AZ62" s="49"/>
      <c r="BA62" s="49"/>
      <c r="BB62" s="50"/>
      <c r="BC62" s="327"/>
      <c r="BD62" s="343" t="s">
        <v>534</v>
      </c>
      <c r="BE62" s="49"/>
      <c r="BF62" s="49"/>
      <c r="BG62" s="50"/>
      <c r="BH62" s="327"/>
      <c r="BI62" s="343" t="s">
        <v>531</v>
      </c>
      <c r="BJ62" s="49"/>
      <c r="BK62" s="49"/>
      <c r="BL62" s="50"/>
      <c r="BM62" s="332"/>
      <c r="BS62" s="11"/>
      <c r="BT62" s="11"/>
      <c r="BU62" s="11"/>
      <c r="BV62" s="11"/>
      <c r="BW62" s="11"/>
      <c r="BX62" s="11"/>
      <c r="BY62" s="11"/>
    </row>
    <row r="63" ht="13.5" customHeight="1">
      <c r="A63" s="6"/>
      <c r="B63" s="343" t="s">
        <v>534</v>
      </c>
      <c r="C63" s="49"/>
      <c r="D63" s="50"/>
      <c r="E63" s="327"/>
      <c r="F63" s="343" t="s">
        <v>537</v>
      </c>
      <c r="G63" s="49"/>
      <c r="H63" s="49"/>
      <c r="I63" s="50"/>
      <c r="J63" s="327"/>
      <c r="K63" s="343" t="s">
        <v>531</v>
      </c>
      <c r="L63" s="49"/>
      <c r="M63" s="49"/>
      <c r="N63" s="50"/>
      <c r="O63" s="327"/>
      <c r="P63" s="343" t="s">
        <v>536</v>
      </c>
      <c r="Q63" s="49"/>
      <c r="R63" s="49"/>
      <c r="S63" s="50"/>
      <c r="T63" s="327"/>
      <c r="U63" s="343" t="s">
        <v>536</v>
      </c>
      <c r="V63" s="49"/>
      <c r="W63" s="49"/>
      <c r="X63" s="50"/>
      <c r="Y63" s="327"/>
      <c r="Z63" s="343" t="s">
        <v>534</v>
      </c>
      <c r="AA63" s="49"/>
      <c r="AB63" s="49"/>
      <c r="AC63" s="50"/>
      <c r="AD63" s="327"/>
      <c r="AE63" s="343" t="s">
        <v>533</v>
      </c>
      <c r="AF63" s="49"/>
      <c r="AG63" s="49"/>
      <c r="AH63" s="50"/>
      <c r="AI63" s="327"/>
      <c r="AJ63" s="343" t="s">
        <v>538</v>
      </c>
      <c r="AK63" s="49"/>
      <c r="AL63" s="49"/>
      <c r="AM63" s="50"/>
      <c r="AN63" s="327"/>
      <c r="AO63" s="343" t="s">
        <v>531</v>
      </c>
      <c r="AP63" s="49"/>
      <c r="AQ63" s="49"/>
      <c r="AR63" s="50"/>
      <c r="AS63" s="327"/>
      <c r="AT63" s="343" t="s">
        <v>535</v>
      </c>
      <c r="AU63" s="49"/>
      <c r="AV63" s="49"/>
      <c r="AW63" s="50"/>
      <c r="AX63" s="327"/>
      <c r="AY63" s="343" t="s">
        <v>536</v>
      </c>
      <c r="AZ63" s="49"/>
      <c r="BA63" s="49"/>
      <c r="BB63" s="50"/>
      <c r="BC63" s="327"/>
      <c r="BD63" s="343" t="s">
        <v>536</v>
      </c>
      <c r="BE63" s="49"/>
      <c r="BF63" s="49"/>
      <c r="BG63" s="50"/>
      <c r="BH63" s="327"/>
      <c r="BI63" s="343" t="s">
        <v>534</v>
      </c>
      <c r="BJ63" s="49"/>
      <c r="BK63" s="49"/>
      <c r="BL63" s="50"/>
      <c r="BM63" s="332"/>
      <c r="BS63" s="11"/>
      <c r="BT63" s="11"/>
      <c r="BU63" s="11"/>
      <c r="BV63" s="11"/>
      <c r="BW63" s="11"/>
      <c r="BX63" s="11"/>
      <c r="BY63" s="11"/>
    </row>
    <row r="64" ht="13.5" customHeight="1">
      <c r="A64" s="6"/>
      <c r="B64" s="343" t="s">
        <v>536</v>
      </c>
      <c r="C64" s="49"/>
      <c r="D64" s="50"/>
      <c r="E64" s="327"/>
      <c r="F64" s="343" t="s">
        <v>535</v>
      </c>
      <c r="G64" s="49"/>
      <c r="H64" s="49"/>
      <c r="I64" s="50"/>
      <c r="J64" s="327"/>
      <c r="K64" s="343" t="s">
        <v>534</v>
      </c>
      <c r="L64" s="49"/>
      <c r="M64" s="49"/>
      <c r="N64" s="50"/>
      <c r="O64" s="327"/>
      <c r="P64" s="343" t="s">
        <v>538</v>
      </c>
      <c r="Q64" s="49"/>
      <c r="R64" s="49"/>
      <c r="S64" s="50"/>
      <c r="T64" s="327"/>
      <c r="U64" s="343" t="s">
        <v>538</v>
      </c>
      <c r="V64" s="49"/>
      <c r="W64" s="49"/>
      <c r="X64" s="50"/>
      <c r="Y64" s="327"/>
      <c r="Z64" s="343" t="s">
        <v>536</v>
      </c>
      <c r="AA64" s="49"/>
      <c r="AB64" s="49"/>
      <c r="AC64" s="50"/>
      <c r="AD64" s="327"/>
      <c r="AE64" s="343" t="s">
        <v>531</v>
      </c>
      <c r="AF64" s="49"/>
      <c r="AG64" s="49"/>
      <c r="AH64" s="50"/>
      <c r="AI64" s="327"/>
      <c r="AJ64" s="343" t="s">
        <v>539</v>
      </c>
      <c r="AK64" s="49"/>
      <c r="AL64" s="49"/>
      <c r="AM64" s="50"/>
      <c r="AN64" s="327"/>
      <c r="AO64" s="343" t="s">
        <v>534</v>
      </c>
      <c r="AP64" s="49"/>
      <c r="AQ64" s="49"/>
      <c r="AR64" s="50"/>
      <c r="AS64" s="327"/>
      <c r="AT64" s="343" t="s">
        <v>533</v>
      </c>
      <c r="AU64" s="49"/>
      <c r="AV64" s="49"/>
      <c r="AW64" s="50"/>
      <c r="AX64" s="327"/>
      <c r="AY64" s="343" t="s">
        <v>538</v>
      </c>
      <c r="AZ64" s="49"/>
      <c r="BA64" s="49"/>
      <c r="BB64" s="50"/>
      <c r="BC64" s="327"/>
      <c r="BD64" s="343" t="s">
        <v>538</v>
      </c>
      <c r="BE64" s="49"/>
      <c r="BF64" s="49"/>
      <c r="BG64" s="50"/>
      <c r="BH64" s="327"/>
      <c r="BI64" s="343" t="s">
        <v>536</v>
      </c>
      <c r="BJ64" s="49"/>
      <c r="BK64" s="49"/>
      <c r="BL64" s="50"/>
      <c r="BM64" s="332"/>
      <c r="BS64" s="11"/>
      <c r="BT64" s="11"/>
      <c r="BU64" s="11"/>
      <c r="BV64" s="11"/>
      <c r="BW64" s="11"/>
      <c r="BX64" s="11"/>
      <c r="BY64" s="11"/>
    </row>
    <row r="65" ht="13.5" customHeight="1">
      <c r="A65" s="6"/>
      <c r="B65" s="343" t="s">
        <v>538</v>
      </c>
      <c r="C65" s="49"/>
      <c r="D65" s="50"/>
      <c r="E65" s="327"/>
      <c r="F65" s="343" t="s">
        <v>533</v>
      </c>
      <c r="G65" s="49"/>
      <c r="H65" s="49"/>
      <c r="I65" s="50"/>
      <c r="J65" s="327"/>
      <c r="K65" s="343" t="s">
        <v>536</v>
      </c>
      <c r="L65" s="49"/>
      <c r="M65" s="49"/>
      <c r="N65" s="50"/>
      <c r="O65" s="327"/>
      <c r="P65" s="343" t="s">
        <v>539</v>
      </c>
      <c r="Q65" s="49"/>
      <c r="R65" s="49"/>
      <c r="S65" s="50"/>
      <c r="T65" s="327"/>
      <c r="U65" s="343" t="s">
        <v>539</v>
      </c>
      <c r="V65" s="49"/>
      <c r="W65" s="49"/>
      <c r="X65" s="50"/>
      <c r="Y65" s="327"/>
      <c r="Z65" s="343" t="s">
        <v>538</v>
      </c>
      <c r="AA65" s="49"/>
      <c r="AB65" s="49"/>
      <c r="AC65" s="50"/>
      <c r="AD65" s="327"/>
      <c r="AE65" s="343" t="s">
        <v>534</v>
      </c>
      <c r="AF65" s="49"/>
      <c r="AG65" s="49"/>
      <c r="AH65" s="50"/>
      <c r="AI65" s="332"/>
      <c r="AJ65" s="344"/>
      <c r="AK65" s="345"/>
      <c r="AL65" s="345"/>
      <c r="AM65" s="346"/>
      <c r="AN65" s="327"/>
      <c r="AO65" s="343" t="s">
        <v>536</v>
      </c>
      <c r="AP65" s="49"/>
      <c r="AQ65" s="49"/>
      <c r="AR65" s="50"/>
      <c r="AS65" s="327"/>
      <c r="AT65" s="343" t="s">
        <v>531</v>
      </c>
      <c r="AU65" s="49"/>
      <c r="AV65" s="49"/>
      <c r="AW65" s="50"/>
      <c r="AX65" s="327"/>
      <c r="AY65" s="343" t="s">
        <v>539</v>
      </c>
      <c r="AZ65" s="49"/>
      <c r="BA65" s="49"/>
      <c r="BB65" s="50"/>
      <c r="BC65" s="327"/>
      <c r="BD65" s="343" t="s">
        <v>539</v>
      </c>
      <c r="BE65" s="49"/>
      <c r="BF65" s="49"/>
      <c r="BG65" s="50"/>
      <c r="BH65" s="327"/>
      <c r="BI65" s="343" t="s">
        <v>538</v>
      </c>
      <c r="BJ65" s="49"/>
      <c r="BK65" s="49"/>
      <c r="BL65" s="50"/>
      <c r="BM65" s="332"/>
      <c r="BS65" s="11"/>
      <c r="BT65" s="11"/>
      <c r="BU65" s="11"/>
      <c r="BV65" s="11"/>
      <c r="BW65" s="11"/>
      <c r="BX65" s="11"/>
      <c r="BY65" s="11"/>
    </row>
    <row r="66" ht="13.5" customHeight="1">
      <c r="A66" s="6"/>
      <c r="B66" s="343" t="s">
        <v>539</v>
      </c>
      <c r="C66" s="49"/>
      <c r="D66" s="50"/>
      <c r="E66" s="327"/>
      <c r="F66" s="343" t="s">
        <v>531</v>
      </c>
      <c r="G66" s="49"/>
      <c r="H66" s="49"/>
      <c r="I66" s="50"/>
      <c r="J66" s="327"/>
      <c r="K66" s="343" t="s">
        <v>538</v>
      </c>
      <c r="L66" s="49"/>
      <c r="M66" s="49"/>
      <c r="N66" s="50"/>
      <c r="O66" s="332"/>
      <c r="P66" s="344"/>
      <c r="Q66" s="345"/>
      <c r="R66" s="345"/>
      <c r="S66" s="346"/>
      <c r="T66" s="332"/>
      <c r="U66" s="344"/>
      <c r="V66" s="345"/>
      <c r="W66" s="345"/>
      <c r="X66" s="346"/>
      <c r="Y66" s="327"/>
      <c r="Z66" s="343" t="s">
        <v>539</v>
      </c>
      <c r="AA66" s="49"/>
      <c r="AB66" s="49"/>
      <c r="AC66" s="50"/>
      <c r="AD66" s="327"/>
      <c r="AE66" s="343" t="s">
        <v>536</v>
      </c>
      <c r="AF66" s="49"/>
      <c r="AG66" s="49"/>
      <c r="AH66" s="50"/>
      <c r="AI66" s="332"/>
      <c r="AJ66" s="344"/>
      <c r="AK66" s="345"/>
      <c r="AL66" s="345"/>
      <c r="AM66" s="346"/>
      <c r="AN66" s="327"/>
      <c r="AO66" s="343" t="s">
        <v>538</v>
      </c>
      <c r="AP66" s="49"/>
      <c r="AQ66" s="49"/>
      <c r="AR66" s="50"/>
      <c r="AS66" s="327"/>
      <c r="AT66" s="343" t="s">
        <v>534</v>
      </c>
      <c r="AU66" s="49"/>
      <c r="AV66" s="49"/>
      <c r="AW66" s="50"/>
      <c r="AX66" s="332"/>
      <c r="AY66" s="344"/>
      <c r="AZ66" s="345"/>
      <c r="BA66" s="345"/>
      <c r="BB66" s="346"/>
      <c r="BC66" s="332"/>
      <c r="BD66" s="344"/>
      <c r="BE66" s="345"/>
      <c r="BF66" s="345"/>
      <c r="BG66" s="346"/>
      <c r="BH66" s="327"/>
      <c r="BI66" s="343" t="s">
        <v>539</v>
      </c>
      <c r="BJ66" s="49"/>
      <c r="BK66" s="49"/>
      <c r="BL66" s="50"/>
      <c r="BM66" s="332"/>
      <c r="BS66" s="11"/>
      <c r="BT66" s="11"/>
      <c r="BU66" s="11"/>
      <c r="BV66" s="11"/>
      <c r="BW66" s="11"/>
      <c r="BX66" s="11"/>
      <c r="BY66" s="11"/>
    </row>
    <row r="67" ht="13.5" customHeight="1">
      <c r="B67" s="344"/>
      <c r="C67" s="345"/>
      <c r="D67" s="346"/>
      <c r="E67" s="327"/>
      <c r="F67" s="343" t="s">
        <v>534</v>
      </c>
      <c r="G67" s="49"/>
      <c r="H67" s="49"/>
      <c r="I67" s="50"/>
      <c r="J67" s="327"/>
      <c r="K67" s="343" t="s">
        <v>539</v>
      </c>
      <c r="L67" s="49"/>
      <c r="M67" s="49"/>
      <c r="N67" s="50"/>
      <c r="O67" s="332"/>
      <c r="P67" s="344"/>
      <c r="Q67" s="345"/>
      <c r="R67" s="345"/>
      <c r="S67" s="346"/>
      <c r="T67" s="332"/>
      <c r="U67" s="344"/>
      <c r="V67" s="345"/>
      <c r="W67" s="345"/>
      <c r="X67" s="346"/>
      <c r="Y67" s="332"/>
      <c r="Z67" s="344"/>
      <c r="AA67" s="345"/>
      <c r="AB67" s="345"/>
      <c r="AC67" s="346"/>
      <c r="AD67" s="327"/>
      <c r="AE67" s="343" t="s">
        <v>538</v>
      </c>
      <c r="AF67" s="49"/>
      <c r="AG67" s="49"/>
      <c r="AH67" s="50"/>
      <c r="AI67" s="332"/>
      <c r="AJ67" s="344"/>
      <c r="AK67" s="345"/>
      <c r="AL67" s="345"/>
      <c r="AM67" s="346"/>
      <c r="AN67" s="327"/>
      <c r="AO67" s="343" t="s">
        <v>539</v>
      </c>
      <c r="AP67" s="49"/>
      <c r="AQ67" s="49"/>
      <c r="AR67" s="50"/>
      <c r="AS67" s="327"/>
      <c r="AT67" s="343" t="s">
        <v>536</v>
      </c>
      <c r="AU67" s="49"/>
      <c r="AV67" s="49"/>
      <c r="AW67" s="50"/>
      <c r="AX67" s="332"/>
      <c r="AY67" s="344"/>
      <c r="AZ67" s="345"/>
      <c r="BA67" s="345"/>
      <c r="BB67" s="346"/>
      <c r="BC67" s="332"/>
      <c r="BD67" s="344"/>
      <c r="BE67" s="345"/>
      <c r="BF67" s="345"/>
      <c r="BG67" s="346"/>
      <c r="BH67" s="332"/>
      <c r="BI67" s="344"/>
      <c r="BJ67" s="345"/>
      <c r="BK67" s="345"/>
      <c r="BL67" s="346"/>
      <c r="BM67" s="332"/>
      <c r="BS67" s="11"/>
      <c r="BT67" s="11"/>
      <c r="BU67" s="11"/>
      <c r="BV67" s="11"/>
      <c r="BW67" s="11"/>
      <c r="BX67" s="11"/>
      <c r="BY67" s="11"/>
    </row>
    <row r="68" ht="13.5" customHeight="1">
      <c r="B68" s="344"/>
      <c r="C68" s="345"/>
      <c r="D68" s="346"/>
      <c r="E68" s="327"/>
      <c r="F68" s="343" t="s">
        <v>536</v>
      </c>
      <c r="G68" s="49"/>
      <c r="H68" s="49"/>
      <c r="I68" s="50"/>
      <c r="J68" s="332"/>
      <c r="K68" s="344"/>
      <c r="L68" s="345"/>
      <c r="M68" s="345"/>
      <c r="N68" s="346"/>
      <c r="O68" s="332"/>
      <c r="P68" s="344"/>
      <c r="Q68" s="345"/>
      <c r="R68" s="345"/>
      <c r="S68" s="346"/>
      <c r="T68" s="332"/>
      <c r="U68" s="344"/>
      <c r="V68" s="345"/>
      <c r="W68" s="345"/>
      <c r="X68" s="346"/>
      <c r="Y68" s="332"/>
      <c r="Z68" s="344"/>
      <c r="AA68" s="345"/>
      <c r="AB68" s="345"/>
      <c r="AC68" s="346"/>
      <c r="AD68" s="327"/>
      <c r="AE68" s="343" t="s">
        <v>539</v>
      </c>
      <c r="AF68" s="49"/>
      <c r="AG68" s="49"/>
      <c r="AH68" s="50"/>
      <c r="AI68" s="332"/>
      <c r="AJ68" s="344"/>
      <c r="AK68" s="345"/>
      <c r="AL68" s="345"/>
      <c r="AM68" s="346"/>
      <c r="AN68" s="332"/>
      <c r="AO68" s="344"/>
      <c r="AP68" s="345"/>
      <c r="AQ68" s="345"/>
      <c r="AR68" s="346"/>
      <c r="AS68" s="327"/>
      <c r="AT68" s="343" t="s">
        <v>538</v>
      </c>
      <c r="AU68" s="49"/>
      <c r="AV68" s="49"/>
      <c r="AW68" s="50"/>
      <c r="AX68" s="332"/>
      <c r="AY68" s="344"/>
      <c r="AZ68" s="345"/>
      <c r="BA68" s="345"/>
      <c r="BB68" s="346"/>
      <c r="BC68" s="332"/>
      <c r="BD68" s="344"/>
      <c r="BE68" s="345"/>
      <c r="BF68" s="345"/>
      <c r="BG68" s="346"/>
      <c r="BH68" s="332"/>
      <c r="BI68" s="344"/>
      <c r="BJ68" s="345"/>
      <c r="BK68" s="345"/>
      <c r="BL68" s="346"/>
      <c r="BM68" s="332"/>
      <c r="BS68" s="11"/>
      <c r="BT68" s="11"/>
      <c r="BU68" s="11"/>
      <c r="BV68" s="11"/>
      <c r="BW68" s="11"/>
      <c r="BX68" s="11"/>
      <c r="BY68" s="11"/>
    </row>
    <row r="69" ht="13.5" customHeight="1">
      <c r="B69" s="344"/>
      <c r="C69" s="345"/>
      <c r="D69" s="346"/>
      <c r="E69" s="327"/>
      <c r="F69" s="343" t="s">
        <v>538</v>
      </c>
      <c r="G69" s="49"/>
      <c r="H69" s="49"/>
      <c r="I69" s="50"/>
      <c r="J69" s="332"/>
      <c r="K69" s="344"/>
      <c r="L69" s="345"/>
      <c r="M69" s="345"/>
      <c r="N69" s="346"/>
      <c r="O69" s="332"/>
      <c r="P69" s="344"/>
      <c r="Q69" s="345"/>
      <c r="R69" s="345"/>
      <c r="S69" s="346"/>
      <c r="T69" s="332"/>
      <c r="U69" s="344"/>
      <c r="V69" s="345"/>
      <c r="W69" s="345"/>
      <c r="X69" s="346"/>
      <c r="Y69" s="332"/>
      <c r="Z69" s="344"/>
      <c r="AA69" s="345"/>
      <c r="AB69" s="345"/>
      <c r="AC69" s="346"/>
      <c r="AD69" s="332"/>
      <c r="AE69" s="344"/>
      <c r="AF69" s="345"/>
      <c r="AG69" s="345"/>
      <c r="AH69" s="346"/>
      <c r="AI69" s="332"/>
      <c r="AJ69" s="344"/>
      <c r="AK69" s="345"/>
      <c r="AL69" s="345"/>
      <c r="AM69" s="346"/>
      <c r="AN69" s="332"/>
      <c r="AO69" s="344"/>
      <c r="AP69" s="345"/>
      <c r="AQ69" s="345"/>
      <c r="AR69" s="346"/>
      <c r="AS69" s="327"/>
      <c r="AT69" s="343" t="s">
        <v>539</v>
      </c>
      <c r="AU69" s="49"/>
      <c r="AV69" s="49"/>
      <c r="AW69" s="50"/>
      <c r="AX69" s="332"/>
      <c r="AY69" s="344"/>
      <c r="AZ69" s="345"/>
      <c r="BA69" s="345"/>
      <c r="BB69" s="346"/>
      <c r="BC69" s="332"/>
      <c r="BD69" s="344"/>
      <c r="BE69" s="345"/>
      <c r="BF69" s="345"/>
      <c r="BG69" s="346"/>
      <c r="BH69" s="332"/>
      <c r="BI69" s="344"/>
      <c r="BJ69" s="345"/>
      <c r="BK69" s="345"/>
      <c r="BL69" s="346"/>
      <c r="BM69" s="332"/>
      <c r="BS69" s="11"/>
      <c r="BT69" s="11"/>
      <c r="BU69" s="11"/>
      <c r="BV69" s="11"/>
      <c r="BW69" s="11"/>
      <c r="BX69" s="11"/>
      <c r="BY69" s="11"/>
    </row>
    <row r="70" ht="13.5" customHeight="1">
      <c r="B70" s="344"/>
      <c r="C70" s="345"/>
      <c r="D70" s="346"/>
      <c r="E70" s="327"/>
      <c r="F70" s="343" t="s">
        <v>539</v>
      </c>
      <c r="G70" s="49"/>
      <c r="H70" s="49"/>
      <c r="I70" s="50"/>
      <c r="J70" s="332"/>
      <c r="K70" s="344"/>
      <c r="L70" s="345"/>
      <c r="M70" s="345"/>
      <c r="N70" s="346"/>
      <c r="O70" s="347"/>
      <c r="P70" s="344"/>
      <c r="Q70" s="345"/>
      <c r="R70" s="345"/>
      <c r="S70" s="346"/>
      <c r="T70" s="332"/>
      <c r="U70" s="344"/>
      <c r="V70" s="345"/>
      <c r="W70" s="345"/>
      <c r="X70" s="346"/>
      <c r="Y70" s="332"/>
      <c r="Z70" s="344"/>
      <c r="AA70" s="345"/>
      <c r="AB70" s="345"/>
      <c r="AC70" s="346"/>
      <c r="AD70" s="332"/>
      <c r="AE70" s="344"/>
      <c r="AF70" s="345"/>
      <c r="AG70" s="345"/>
      <c r="AH70" s="346"/>
      <c r="AI70" s="332"/>
      <c r="AJ70" s="344"/>
      <c r="AK70" s="345"/>
      <c r="AL70" s="345"/>
      <c r="AM70" s="346"/>
      <c r="AN70" s="332"/>
      <c r="AO70" s="344"/>
      <c r="AP70" s="345"/>
      <c r="AQ70" s="345"/>
      <c r="AR70" s="346"/>
      <c r="AS70" s="332"/>
      <c r="AT70" s="348"/>
      <c r="AU70" s="349"/>
      <c r="AV70" s="349"/>
      <c r="AW70" s="350"/>
      <c r="AX70" s="332"/>
      <c r="AY70" s="344"/>
      <c r="AZ70" s="345"/>
      <c r="BA70" s="345"/>
      <c r="BB70" s="346"/>
      <c r="BC70" s="332"/>
      <c r="BD70" s="344"/>
      <c r="BE70" s="345"/>
      <c r="BF70" s="345"/>
      <c r="BG70" s="346"/>
      <c r="BH70" s="332"/>
      <c r="BI70" s="344"/>
      <c r="BJ70" s="345"/>
      <c r="BK70" s="345"/>
      <c r="BL70" s="346"/>
      <c r="BM70" s="332"/>
      <c r="BS70" s="11"/>
      <c r="BT70" s="11"/>
      <c r="BU70" s="11"/>
      <c r="BV70" s="11"/>
      <c r="BW70" s="11"/>
      <c r="BX70" s="11"/>
      <c r="BY70" s="11"/>
    </row>
    <row r="71" ht="15.75" customHeight="1">
      <c r="B71" s="351"/>
      <c r="C71" s="352"/>
      <c r="D71" s="353"/>
      <c r="F71" s="351"/>
      <c r="G71" s="352"/>
      <c r="H71" s="352"/>
      <c r="I71" s="353"/>
      <c r="K71" s="351"/>
      <c r="L71" s="352"/>
      <c r="M71" s="352"/>
      <c r="N71" s="353"/>
      <c r="P71" s="351"/>
      <c r="Q71" s="352"/>
      <c r="R71" s="352"/>
      <c r="S71" s="353"/>
      <c r="U71" s="351"/>
      <c r="V71" s="352"/>
      <c r="W71" s="352"/>
      <c r="X71" s="353"/>
      <c r="Z71" s="351"/>
      <c r="AA71" s="352"/>
      <c r="AB71" s="352"/>
      <c r="AC71" s="353"/>
      <c r="AE71" s="351"/>
      <c r="AF71" s="352"/>
      <c r="AG71" s="352"/>
      <c r="AH71" s="353"/>
      <c r="AJ71" s="351"/>
      <c r="AK71" s="352"/>
      <c r="AL71" s="352"/>
      <c r="AM71" s="353"/>
      <c r="AO71" s="351"/>
      <c r="AP71" s="352"/>
      <c r="AQ71" s="352"/>
      <c r="AR71" s="353"/>
      <c r="AT71" s="351"/>
      <c r="AU71" s="352"/>
      <c r="AV71" s="352"/>
      <c r="AW71" s="353"/>
      <c r="AY71" s="351"/>
      <c r="AZ71" s="352"/>
      <c r="BA71" s="352"/>
      <c r="BB71" s="353"/>
      <c r="BD71" s="351"/>
      <c r="BE71" s="352"/>
      <c r="BF71" s="352"/>
      <c r="BG71" s="353"/>
      <c r="BH71" s="327"/>
      <c r="BI71" s="351"/>
      <c r="BJ71" s="352"/>
      <c r="BK71" s="352"/>
      <c r="BL71" s="353"/>
      <c r="BM71" s="332"/>
      <c r="BS71" s="11"/>
      <c r="BT71" s="11"/>
      <c r="BU71" s="11"/>
      <c r="BV71" s="11"/>
      <c r="BW71" s="11"/>
      <c r="BX71" s="11"/>
      <c r="BY71" s="11"/>
    </row>
    <row r="72" ht="15.75" customHeight="1"/>
    <row r="73" ht="15.75" customHeight="1">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1"/>
      <c r="BT73" s="11"/>
      <c r="BU73" s="11"/>
      <c r="BV73" s="11"/>
      <c r="BW73" s="11"/>
      <c r="BX73" s="11"/>
      <c r="BY73" s="11"/>
    </row>
    <row r="74" ht="15.75" customHeight="1">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row>
    <row r="75" ht="15.75" customHeight="1">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row>
    <row r="76" ht="15.75" customHeight="1">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row>
    <row r="77" ht="15.75" customHeight="1">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row>
    <row r="78" ht="15.75" customHeight="1">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row>
    <row r="79" ht="15.75" customHeight="1">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row>
    <row r="80" ht="15.75" customHeight="1">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row>
    <row r="81" ht="15.75" customHeight="1">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row>
    <row r="82" ht="15.75" customHeight="1">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row>
    <row r="83" ht="15.75" customHeight="1">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row>
    <row r="84" ht="15.75" customHeight="1">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row>
    <row r="85" ht="15.75" customHeight="1">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row>
    <row r="86" ht="15.75" customHeight="1">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row>
    <row r="87" ht="15.75" customHeight="1">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row>
    <row r="88" ht="15.75" customHeight="1">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row>
    <row r="89" ht="15.75" customHeight="1">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row>
    <row r="90" ht="15.75" customHeight="1">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row>
    <row r="91" ht="15.75" customHeight="1">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row>
    <row r="92" ht="15.75" customHeight="1">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row>
    <row r="93" ht="15.75" customHeight="1">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row>
    <row r="94" ht="15.75" customHeight="1">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row>
    <row r="95" ht="15.75" customHeight="1">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row>
    <row r="96" ht="15.75" customHeight="1">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row>
    <row r="97" ht="15.75" customHeight="1">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row>
    <row r="98" ht="15.75" customHeight="1">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row>
    <row r="99" ht="15.75" customHeight="1">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row>
    <row r="100" ht="15.75" customHeight="1">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73">
    <mergeCell ref="AJ13:AM13"/>
    <mergeCell ref="AO13:AR13"/>
    <mergeCell ref="AT13:AW13"/>
    <mergeCell ref="AY13:BB13"/>
    <mergeCell ref="BD13:BG13"/>
    <mergeCell ref="BI13:BL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BI15:BL15"/>
    <mergeCell ref="AE16:AH16"/>
    <mergeCell ref="AJ16:AM16"/>
    <mergeCell ref="AO16:AR16"/>
    <mergeCell ref="AT16:AW16"/>
    <mergeCell ref="AY16:BB16"/>
    <mergeCell ref="BD16:BG16"/>
    <mergeCell ref="BI16:BL16"/>
    <mergeCell ref="B15:D15"/>
    <mergeCell ref="K15:N15"/>
    <mergeCell ref="U15:X15"/>
    <mergeCell ref="AE15:AH15"/>
    <mergeCell ref="B16:D16"/>
    <mergeCell ref="K16:N16"/>
    <mergeCell ref="U16:X16"/>
    <mergeCell ref="AY17:BB17"/>
    <mergeCell ref="BD17:BG17"/>
    <mergeCell ref="BI17:BL17"/>
    <mergeCell ref="Z15:AC15"/>
    <mergeCell ref="Z16:AC16"/>
    <mergeCell ref="Z17:AC17"/>
    <mergeCell ref="AE17:AH17"/>
    <mergeCell ref="AJ17:AM17"/>
    <mergeCell ref="AO17:AR17"/>
    <mergeCell ref="AT17:AW17"/>
    <mergeCell ref="AE18:AH18"/>
    <mergeCell ref="AJ18:AM18"/>
    <mergeCell ref="AO18:AR18"/>
    <mergeCell ref="AT18:AW18"/>
    <mergeCell ref="AY18:BB18"/>
    <mergeCell ref="BD18:BG18"/>
    <mergeCell ref="BI18:BL18"/>
    <mergeCell ref="P15:S15"/>
    <mergeCell ref="P16:S16"/>
    <mergeCell ref="P17:S17"/>
    <mergeCell ref="U17:X17"/>
    <mergeCell ref="P18:S18"/>
    <mergeCell ref="U18:X18"/>
    <mergeCell ref="Z18:AC18"/>
    <mergeCell ref="F15:I15"/>
    <mergeCell ref="F16:I16"/>
    <mergeCell ref="B17:D17"/>
    <mergeCell ref="F17:I17"/>
    <mergeCell ref="K17:N17"/>
    <mergeCell ref="F18:I18"/>
    <mergeCell ref="K18:N18"/>
    <mergeCell ref="U19:X19"/>
    <mergeCell ref="U20:X20"/>
    <mergeCell ref="Z21:AC21"/>
    <mergeCell ref="Z22:AC22"/>
    <mergeCell ref="B18:D18"/>
    <mergeCell ref="B19:D19"/>
    <mergeCell ref="K19:N19"/>
    <mergeCell ref="P19:S19"/>
    <mergeCell ref="Z19:AC19"/>
    <mergeCell ref="B20:D20"/>
    <mergeCell ref="K20:N20"/>
    <mergeCell ref="Z20:AC20"/>
    <mergeCell ref="BD19:BG19"/>
    <mergeCell ref="BD20:BG20"/>
    <mergeCell ref="BD21:BG21"/>
    <mergeCell ref="BI21:BL21"/>
    <mergeCell ref="BD22:BG22"/>
    <mergeCell ref="AJ20:AM20"/>
    <mergeCell ref="AJ21:AM21"/>
    <mergeCell ref="AJ19:AM19"/>
    <mergeCell ref="AO19:AR19"/>
    <mergeCell ref="AY19:BB19"/>
    <mergeCell ref="BI19:BL19"/>
    <mergeCell ref="AO20:AR20"/>
    <mergeCell ref="AY20:BB20"/>
    <mergeCell ref="BI20:BL20"/>
    <mergeCell ref="AT23:AW23"/>
    <mergeCell ref="AT24:AW24"/>
    <mergeCell ref="AT25:AW25"/>
    <mergeCell ref="AT26:AW26"/>
    <mergeCell ref="AT19:AW19"/>
    <mergeCell ref="AT20:AW20"/>
    <mergeCell ref="AT21:AW21"/>
    <mergeCell ref="AY21:BB21"/>
    <mergeCell ref="AT22:AW22"/>
    <mergeCell ref="AY22:BB22"/>
    <mergeCell ref="AY23:BB23"/>
    <mergeCell ref="AY28:BB28"/>
    <mergeCell ref="BD28:BG28"/>
    <mergeCell ref="BI28:BL28"/>
    <mergeCell ref="P28:S28"/>
    <mergeCell ref="U28:X28"/>
    <mergeCell ref="Z28:AC28"/>
    <mergeCell ref="AE28:AH28"/>
    <mergeCell ref="AJ28:AM28"/>
    <mergeCell ref="AO28:AR28"/>
    <mergeCell ref="AT28:AW28"/>
    <mergeCell ref="AO29:AR29"/>
    <mergeCell ref="AT29:AW29"/>
    <mergeCell ref="AY29:BB29"/>
    <mergeCell ref="BD29:BG29"/>
    <mergeCell ref="BI29:BL29"/>
    <mergeCell ref="F28:I28"/>
    <mergeCell ref="F29:I29"/>
    <mergeCell ref="P29:S29"/>
    <mergeCell ref="U29:X29"/>
    <mergeCell ref="Z29:AC29"/>
    <mergeCell ref="AE29:AH29"/>
    <mergeCell ref="AJ29:AM29"/>
    <mergeCell ref="AE30:AH30"/>
    <mergeCell ref="AJ30:AM30"/>
    <mergeCell ref="AO30:AR30"/>
    <mergeCell ref="AT30:AW30"/>
    <mergeCell ref="AY30:BB30"/>
    <mergeCell ref="BD30:BG30"/>
    <mergeCell ref="BI30:BL30"/>
    <mergeCell ref="B29:D29"/>
    <mergeCell ref="B30:D30"/>
    <mergeCell ref="F30:I30"/>
    <mergeCell ref="K30:N30"/>
    <mergeCell ref="P30:S30"/>
    <mergeCell ref="U30:X30"/>
    <mergeCell ref="Z30:AC30"/>
    <mergeCell ref="F19:I19"/>
    <mergeCell ref="F20:I20"/>
    <mergeCell ref="F21:I21"/>
    <mergeCell ref="F22:I22"/>
    <mergeCell ref="B28:D28"/>
    <mergeCell ref="K28:N28"/>
    <mergeCell ref="K29:N29"/>
    <mergeCell ref="AO42:AR42"/>
    <mergeCell ref="AT42:AW42"/>
    <mergeCell ref="K41:N41"/>
    <mergeCell ref="K42:N42"/>
    <mergeCell ref="P42:S42"/>
    <mergeCell ref="U42:X42"/>
    <mergeCell ref="Z42:AC42"/>
    <mergeCell ref="AE42:AH42"/>
    <mergeCell ref="AJ42:AM42"/>
    <mergeCell ref="AJ43:AM43"/>
    <mergeCell ref="AO43:AR43"/>
    <mergeCell ref="F42:I42"/>
    <mergeCell ref="F43:I43"/>
    <mergeCell ref="K43:N43"/>
    <mergeCell ref="P43:S43"/>
    <mergeCell ref="U43:X43"/>
    <mergeCell ref="Z43:AC43"/>
    <mergeCell ref="AE43:AH43"/>
    <mergeCell ref="P63:S63"/>
    <mergeCell ref="P64:S64"/>
    <mergeCell ref="P55:S55"/>
    <mergeCell ref="P56:S56"/>
    <mergeCell ref="P61:S61"/>
    <mergeCell ref="U61:X61"/>
    <mergeCell ref="P62:S62"/>
    <mergeCell ref="U62:X62"/>
    <mergeCell ref="U63:X63"/>
    <mergeCell ref="U64:X64"/>
    <mergeCell ref="AE44:AH44"/>
    <mergeCell ref="K45:N45"/>
    <mergeCell ref="P45:S45"/>
    <mergeCell ref="Z45:AC45"/>
    <mergeCell ref="AE45:AH45"/>
    <mergeCell ref="K46:N46"/>
    <mergeCell ref="Z46:AC46"/>
    <mergeCell ref="U45:X45"/>
    <mergeCell ref="U46:X46"/>
    <mergeCell ref="K52:N52"/>
    <mergeCell ref="U52:X52"/>
    <mergeCell ref="AE52:AH52"/>
    <mergeCell ref="U53:X53"/>
    <mergeCell ref="AE53:AH53"/>
    <mergeCell ref="K53:N53"/>
    <mergeCell ref="K54:N54"/>
    <mergeCell ref="P54:S54"/>
    <mergeCell ref="U54:X54"/>
    <mergeCell ref="K55:N55"/>
    <mergeCell ref="U55:X55"/>
    <mergeCell ref="U56:X56"/>
    <mergeCell ref="AE57:AH57"/>
    <mergeCell ref="AE58:AH58"/>
    <mergeCell ref="AE61:AH61"/>
    <mergeCell ref="AE62:AH62"/>
    <mergeCell ref="AE63:AH63"/>
    <mergeCell ref="AE64:AH64"/>
    <mergeCell ref="AE65:AH65"/>
    <mergeCell ref="AE66:AH66"/>
    <mergeCell ref="Z52:AC52"/>
    <mergeCell ref="Z53:AC53"/>
    <mergeCell ref="Z54:AC54"/>
    <mergeCell ref="AE54:AH54"/>
    <mergeCell ref="Z55:AC55"/>
    <mergeCell ref="AE55:AH55"/>
    <mergeCell ref="AE56:AH56"/>
    <mergeCell ref="K65:N65"/>
    <mergeCell ref="P65:S65"/>
    <mergeCell ref="U65:X65"/>
    <mergeCell ref="K56:N56"/>
    <mergeCell ref="K57:N57"/>
    <mergeCell ref="K58:N58"/>
    <mergeCell ref="K61:N61"/>
    <mergeCell ref="K62:N62"/>
    <mergeCell ref="K63:N63"/>
    <mergeCell ref="K64:N64"/>
    <mergeCell ref="K66:N66"/>
    <mergeCell ref="AO41:AR41"/>
    <mergeCell ref="AT41:AW41"/>
    <mergeCell ref="AT33:AW33"/>
    <mergeCell ref="AT34:AW34"/>
    <mergeCell ref="AT35:AW35"/>
    <mergeCell ref="AT36:AW36"/>
    <mergeCell ref="AT37:AW37"/>
    <mergeCell ref="AT38:AW38"/>
    <mergeCell ref="AT39:AW39"/>
    <mergeCell ref="F31:I31"/>
    <mergeCell ref="F32:I32"/>
    <mergeCell ref="F33:I33"/>
    <mergeCell ref="B41:D41"/>
    <mergeCell ref="F41:I41"/>
    <mergeCell ref="B42:D42"/>
    <mergeCell ref="B43:D43"/>
    <mergeCell ref="B44:D44"/>
    <mergeCell ref="F44:I44"/>
    <mergeCell ref="B45:D45"/>
    <mergeCell ref="F45:I45"/>
    <mergeCell ref="B46:D46"/>
    <mergeCell ref="F46:I46"/>
    <mergeCell ref="F47:I47"/>
    <mergeCell ref="F54:I54"/>
    <mergeCell ref="F55:I55"/>
    <mergeCell ref="B47:D47"/>
    <mergeCell ref="B52:D52"/>
    <mergeCell ref="F52:I52"/>
    <mergeCell ref="B53:D53"/>
    <mergeCell ref="F53:I53"/>
    <mergeCell ref="B54:D54"/>
    <mergeCell ref="B55:D55"/>
    <mergeCell ref="B61:D61"/>
    <mergeCell ref="B62:D62"/>
    <mergeCell ref="B63:D63"/>
    <mergeCell ref="B64:D64"/>
    <mergeCell ref="B65:D65"/>
    <mergeCell ref="B66:D66"/>
    <mergeCell ref="B56:D56"/>
    <mergeCell ref="F56:I56"/>
    <mergeCell ref="B57:D57"/>
    <mergeCell ref="F57:I57"/>
    <mergeCell ref="F58:I58"/>
    <mergeCell ref="F59:I59"/>
    <mergeCell ref="F61:I61"/>
    <mergeCell ref="F69:I69"/>
    <mergeCell ref="F70:I70"/>
    <mergeCell ref="F62:I62"/>
    <mergeCell ref="F63:I63"/>
    <mergeCell ref="F64:I64"/>
    <mergeCell ref="F65:I65"/>
    <mergeCell ref="F66:I66"/>
    <mergeCell ref="F67:I67"/>
    <mergeCell ref="F68:I68"/>
    <mergeCell ref="AJ31:AM31"/>
    <mergeCell ref="AO31:AR31"/>
    <mergeCell ref="AT31:AW31"/>
    <mergeCell ref="AY31:BB31"/>
    <mergeCell ref="BD31:BG31"/>
    <mergeCell ref="BI31:BL31"/>
    <mergeCell ref="P31:S31"/>
    <mergeCell ref="P32:S32"/>
    <mergeCell ref="P41:S41"/>
    <mergeCell ref="U41:X41"/>
    <mergeCell ref="Z41:AC41"/>
    <mergeCell ref="AE41:AH41"/>
    <mergeCell ref="AJ41:AM41"/>
    <mergeCell ref="AE32:AH32"/>
    <mergeCell ref="AJ32:AM32"/>
    <mergeCell ref="AO32:AR32"/>
    <mergeCell ref="AT32:AW32"/>
    <mergeCell ref="AY32:BB32"/>
    <mergeCell ref="BD32:BG32"/>
    <mergeCell ref="BI32:BL32"/>
    <mergeCell ref="B31:D31"/>
    <mergeCell ref="K31:N31"/>
    <mergeCell ref="U31:X31"/>
    <mergeCell ref="AE31:AH31"/>
    <mergeCell ref="B32:D32"/>
    <mergeCell ref="K32:N32"/>
    <mergeCell ref="U32:X32"/>
    <mergeCell ref="Z31:AC31"/>
    <mergeCell ref="Z32:AC32"/>
    <mergeCell ref="Z33:AC33"/>
    <mergeCell ref="AJ33:AM33"/>
    <mergeCell ref="AO33:AR33"/>
    <mergeCell ref="AY33:BB33"/>
    <mergeCell ref="AO34:AR34"/>
    <mergeCell ref="AY34:BB34"/>
    <mergeCell ref="BD33:BG33"/>
    <mergeCell ref="BI33:BL33"/>
    <mergeCell ref="AY41:BB41"/>
    <mergeCell ref="BD41:BG41"/>
    <mergeCell ref="BI41:BL41"/>
    <mergeCell ref="BD42:BG42"/>
    <mergeCell ref="BI42:BL42"/>
    <mergeCell ref="U44:X44"/>
    <mergeCell ref="Z44:AC44"/>
    <mergeCell ref="AJ44:AM44"/>
    <mergeCell ref="AJ46:AM46"/>
    <mergeCell ref="AO46:AR46"/>
    <mergeCell ref="AO47:AR47"/>
    <mergeCell ref="AO48:AR48"/>
    <mergeCell ref="AO49:AR49"/>
    <mergeCell ref="AO52:AR52"/>
    <mergeCell ref="AO56:AR56"/>
    <mergeCell ref="AO57:AR57"/>
    <mergeCell ref="AO58:AR58"/>
    <mergeCell ref="AJ52:AM52"/>
    <mergeCell ref="AJ53:AM53"/>
    <mergeCell ref="AJ54:AM54"/>
    <mergeCell ref="AJ55:AM55"/>
    <mergeCell ref="AO55:AR55"/>
    <mergeCell ref="AJ56:AM56"/>
    <mergeCell ref="AJ57:AM57"/>
    <mergeCell ref="AO64:AR64"/>
    <mergeCell ref="AO65:AR65"/>
    <mergeCell ref="AO66:AR66"/>
    <mergeCell ref="AO67:AR67"/>
    <mergeCell ref="AJ61:AM61"/>
    <mergeCell ref="AO61:AR61"/>
    <mergeCell ref="AJ62:AM62"/>
    <mergeCell ref="AO62:AR62"/>
    <mergeCell ref="AJ63:AM63"/>
    <mergeCell ref="AO63:AR63"/>
    <mergeCell ref="AJ64:AM64"/>
    <mergeCell ref="BD43:BG43"/>
    <mergeCell ref="BD44:BG44"/>
    <mergeCell ref="BD45:BG45"/>
    <mergeCell ref="BD46:BG46"/>
    <mergeCell ref="AY42:BB42"/>
    <mergeCell ref="AY43:BB43"/>
    <mergeCell ref="BI43:BL43"/>
    <mergeCell ref="K44:N44"/>
    <mergeCell ref="P44:S44"/>
    <mergeCell ref="AO44:AR44"/>
    <mergeCell ref="AY44:BB44"/>
    <mergeCell ref="BI44:BL44"/>
    <mergeCell ref="AJ45:AM45"/>
    <mergeCell ref="AO45:AR45"/>
    <mergeCell ref="AY45:BB45"/>
    <mergeCell ref="BI45:BL45"/>
    <mergeCell ref="P52:S52"/>
    <mergeCell ref="P53:S53"/>
    <mergeCell ref="AO53:AR53"/>
    <mergeCell ref="AO54:AR54"/>
    <mergeCell ref="AT43:AW43"/>
    <mergeCell ref="AT44:AW44"/>
    <mergeCell ref="AT45:AW45"/>
    <mergeCell ref="AT46:AW46"/>
    <mergeCell ref="AT47:AW47"/>
    <mergeCell ref="AT48:AW48"/>
    <mergeCell ref="AT49:AW49"/>
    <mergeCell ref="BI54:BL54"/>
    <mergeCell ref="BI55:BL55"/>
    <mergeCell ref="Z65:AC65"/>
    <mergeCell ref="Z66:AC66"/>
    <mergeCell ref="K67:N67"/>
    <mergeCell ref="AE67:AH67"/>
    <mergeCell ref="AE68:AH68"/>
    <mergeCell ref="Z56:AC56"/>
    <mergeCell ref="Z57:AC57"/>
    <mergeCell ref="Z58:AC58"/>
    <mergeCell ref="Z61:AC61"/>
    <mergeCell ref="Z62:AC62"/>
    <mergeCell ref="Z63:AC63"/>
    <mergeCell ref="Z64:AC64"/>
    <mergeCell ref="AY55:BB55"/>
    <mergeCell ref="AY56:BB56"/>
    <mergeCell ref="AY61:BB61"/>
    <mergeCell ref="BD61:BG61"/>
    <mergeCell ref="BI61:BL61"/>
    <mergeCell ref="BD62:BG62"/>
    <mergeCell ref="BI62:BL62"/>
    <mergeCell ref="AY62:BB62"/>
    <mergeCell ref="AY63:BB63"/>
    <mergeCell ref="BD63:BG63"/>
    <mergeCell ref="BI63:BL63"/>
    <mergeCell ref="AY64:BB64"/>
    <mergeCell ref="BI64:BL64"/>
    <mergeCell ref="AY65:BB65"/>
    <mergeCell ref="AT50:AW50"/>
    <mergeCell ref="AT52:AW52"/>
    <mergeCell ref="AY52:BB52"/>
    <mergeCell ref="BD52:BG52"/>
    <mergeCell ref="BI52:BL52"/>
    <mergeCell ref="AY53:BB53"/>
    <mergeCell ref="BD53:BG53"/>
    <mergeCell ref="BI53:BL53"/>
    <mergeCell ref="BD56:BG56"/>
    <mergeCell ref="BI56:BL56"/>
    <mergeCell ref="AT53:AW53"/>
    <mergeCell ref="AT54:AW54"/>
    <mergeCell ref="AY54:BB54"/>
    <mergeCell ref="BD54:BG54"/>
    <mergeCell ref="AT55:AW55"/>
    <mergeCell ref="BD55:BG55"/>
    <mergeCell ref="AT56:AW56"/>
    <mergeCell ref="BD64:BG64"/>
    <mergeCell ref="BD65:BG65"/>
    <mergeCell ref="AT65:AW65"/>
    <mergeCell ref="AT66:AW66"/>
    <mergeCell ref="AT67:AW67"/>
    <mergeCell ref="AT68:AW68"/>
    <mergeCell ref="AT69:AW69"/>
    <mergeCell ref="AT57:AW57"/>
    <mergeCell ref="AT58:AW58"/>
    <mergeCell ref="AT59:AW59"/>
    <mergeCell ref="AT61:AW61"/>
    <mergeCell ref="AT62:AW62"/>
    <mergeCell ref="AT63:AW63"/>
    <mergeCell ref="AT64:AW64"/>
    <mergeCell ref="BI65:BL65"/>
    <mergeCell ref="BI66:BL66"/>
  </mergeCells>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8" priority="1">
      <formula>A15=1</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9" priority="2">
      <formula>A15=2</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0" priority="3">
      <formula>A15=3</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1" priority="4">
      <formula>A15=4</formula>
    </cfRule>
  </conditionalFormatting>
  <conditionalFormatting sqref="A15:A20 A28:A32 A41:A47 A52:A57 A61:A66 E15:E22 E28:E33 E41:E47 E52:E59 E61:E70 J15:J20 J28:J32 J41:J46 J52:J58 J61:J67 O15:O19 O28:O32 O41:O45 O52:O56 O61:O65 T15:T20 T28:T32 T41:T46 T52:T56 T61:T65 Y15:Y22 Y28:Y33 Y41:Y46 Y52:Y58 Y61:Y66 AD15:AD18 AD28:AD32 AD41:AD45 AD52:AD58 AD61:AD68 AI15:AI21 AI28:AI33 AI41:AI46 AI52:AI57 AI61:AI64 AN15:AN20 AN28:AN34 AN41:AN49 AN52:AN58 AN61:AN67 AS15:AS26 AS28:AS39 AS41:AS50 AS52:AS59 AS61:AS69 AX15:AX23 AX28:AX34 AX41:AX45 AX52:AX56 AX61:AX65 BC15:BC22 BC28:BC33 BC41:BC46 BC52:BC56 BC61:BC65 BH15:BH21 BH28:BH33 BH41:BH45 BH52:BH56 BH61:BH66">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7F7F7F"/>
    <pageSetUpPr fitToPage="1"/>
  </sheetPr>
  <sheetViews>
    <sheetView showGridLines="0" workbookViewId="0"/>
  </sheetViews>
  <sheetFormatPr customHeight="1" defaultColWidth="14.43" defaultRowHeight="15.0"/>
  <cols>
    <col customWidth="1" min="1" max="16" width="1.86"/>
    <col customWidth="1" min="17" max="17" width="2.86"/>
    <col customWidth="1" min="18" max="27" width="1.14"/>
    <col customWidth="1" min="28" max="28" width="2.14"/>
    <col customWidth="1" min="29" max="47" width="1.86"/>
    <col customWidth="1" min="48" max="48" width="6.86"/>
    <col customWidth="1" min="49" max="49" width="1.86"/>
    <col customWidth="1" min="50" max="51" width="1.71"/>
    <col customWidth="1" min="52" max="52" width="3.71"/>
    <col customWidth="1" min="53" max="91" width="1.86"/>
    <col customWidth="1" min="92" max="92" width="8.86"/>
  </cols>
  <sheetData>
    <row r="1">
      <c r="A1" s="354" t="s">
        <v>540</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AQ1" s="355"/>
      <c r="AR1" s="355"/>
      <c r="AS1" s="355"/>
      <c r="AT1" s="355"/>
      <c r="AU1" s="355"/>
      <c r="AV1" s="355"/>
      <c r="AW1" s="355"/>
      <c r="AX1" s="355"/>
      <c r="AY1" s="355"/>
      <c r="AZ1" s="355"/>
      <c r="BA1" s="355"/>
      <c r="BB1" s="355"/>
      <c r="BC1" s="355"/>
      <c r="BD1" s="355"/>
      <c r="BE1" s="355"/>
      <c r="BF1" s="355"/>
      <c r="BG1" s="355"/>
      <c r="BH1" s="355"/>
      <c r="BI1" s="355"/>
      <c r="BJ1" s="355"/>
      <c r="BK1" s="355"/>
      <c r="BL1" s="355"/>
      <c r="BM1" s="355"/>
      <c r="BN1" s="355"/>
      <c r="BO1" s="355"/>
      <c r="BP1" s="355"/>
      <c r="BQ1" s="355"/>
      <c r="BR1" s="355"/>
      <c r="BS1" s="355"/>
      <c r="BT1" s="355"/>
      <c r="BU1" s="355"/>
      <c r="BV1" s="356"/>
      <c r="BW1" s="11"/>
      <c r="BX1" s="11"/>
      <c r="BY1" s="11"/>
      <c r="BZ1" s="11"/>
      <c r="CA1" s="11"/>
      <c r="CB1" s="11"/>
      <c r="CC1" s="11"/>
      <c r="CD1" s="11"/>
      <c r="CE1" s="11"/>
      <c r="CF1" s="11"/>
      <c r="CG1" s="11"/>
      <c r="CH1" s="11"/>
      <c r="CI1" s="11"/>
      <c r="CJ1" s="11"/>
      <c r="CK1" s="11"/>
      <c r="CL1" s="11"/>
      <c r="CM1" s="11"/>
      <c r="CN1" s="11"/>
    </row>
    <row r="2">
      <c r="A2" s="77"/>
      <c r="BV2" s="357"/>
      <c r="BW2" s="11"/>
      <c r="BX2" s="11"/>
      <c r="BY2" s="11"/>
      <c r="BZ2" s="11"/>
      <c r="CA2" s="11"/>
      <c r="CB2" s="11"/>
      <c r="CC2" s="11"/>
      <c r="CD2" s="11"/>
      <c r="CE2" s="11"/>
      <c r="CF2" s="11"/>
      <c r="CG2" s="11"/>
      <c r="CH2" s="11"/>
      <c r="CI2" s="11"/>
      <c r="CJ2" s="11"/>
      <c r="CK2" s="11"/>
      <c r="CL2" s="11"/>
      <c r="CM2" s="11"/>
      <c r="CN2" s="11"/>
    </row>
    <row r="3">
      <c r="A3" s="77"/>
      <c r="BV3" s="357"/>
      <c r="BW3" s="11"/>
      <c r="BX3" s="11"/>
      <c r="BY3" s="11"/>
      <c r="BZ3" s="11"/>
      <c r="CA3" s="11"/>
      <c r="CB3" s="11"/>
      <c r="CC3" s="11"/>
      <c r="CD3" s="11"/>
      <c r="CE3" s="11"/>
      <c r="CF3" s="11"/>
      <c r="CG3" s="11"/>
      <c r="CH3" s="11"/>
      <c r="CI3" s="11"/>
      <c r="CJ3" s="11"/>
      <c r="CK3" s="11"/>
      <c r="CL3" s="11"/>
      <c r="CM3" s="11"/>
      <c r="CN3" s="11"/>
    </row>
    <row r="4">
      <c r="A4" s="58"/>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358"/>
      <c r="BW4" s="11"/>
      <c r="BX4" s="11"/>
      <c r="BY4" s="11"/>
      <c r="BZ4" s="11"/>
      <c r="CA4" s="11"/>
      <c r="CB4" s="11"/>
      <c r="CC4" s="11"/>
      <c r="CD4" s="11"/>
      <c r="CE4" s="11"/>
      <c r="CF4" s="11"/>
      <c r="CG4" s="11"/>
      <c r="CH4" s="11"/>
      <c r="CI4" s="11"/>
      <c r="CJ4" s="11"/>
      <c r="CK4" s="11"/>
      <c r="CL4" s="11"/>
      <c r="CM4" s="11"/>
      <c r="CN4" s="11"/>
    </row>
    <row r="5" ht="19.5" customHeight="1">
      <c r="A5" s="58"/>
      <c r="B5" s="6"/>
      <c r="C5" s="6"/>
      <c r="D5" s="6"/>
      <c r="E5" s="6"/>
      <c r="F5" s="6"/>
      <c r="G5" s="359" t="s">
        <v>17</v>
      </c>
      <c r="H5" s="16"/>
      <c r="I5" s="16"/>
      <c r="J5" s="16"/>
      <c r="K5" s="16"/>
      <c r="L5" s="16"/>
      <c r="M5" s="16"/>
      <c r="N5" s="360" t="str">
        <f>'Milestones Grid'!H6</f>
        <v>TEST NAME- GOLF</v>
      </c>
      <c r="O5" s="16"/>
      <c r="P5" s="16"/>
      <c r="Q5" s="16"/>
      <c r="R5" s="16"/>
      <c r="S5" s="16"/>
      <c r="T5" s="16"/>
      <c r="U5" s="16"/>
      <c r="V5" s="16"/>
      <c r="W5" s="16"/>
      <c r="X5" s="16"/>
      <c r="Y5" s="16"/>
      <c r="Z5" s="16"/>
      <c r="AA5" s="16"/>
      <c r="AB5" s="16"/>
      <c r="AC5" s="16"/>
      <c r="AD5" s="16"/>
      <c r="AE5" s="16"/>
      <c r="AF5" s="17"/>
      <c r="AG5" s="6"/>
      <c r="AH5" s="6"/>
      <c r="AI5" s="6"/>
      <c r="AJ5" s="6"/>
      <c r="AK5" s="6"/>
      <c r="AL5" s="6"/>
      <c r="AM5" s="361" t="s">
        <v>22</v>
      </c>
      <c r="AN5" s="16"/>
      <c r="AO5" s="16"/>
      <c r="AP5" s="16"/>
      <c r="AQ5" s="16"/>
      <c r="AR5" s="16"/>
      <c r="AS5" s="17"/>
      <c r="AT5" s="362">
        <f>'Milestones Grid'!H7</f>
        <v>45108</v>
      </c>
      <c r="AU5" s="16"/>
      <c r="AV5" s="16"/>
      <c r="AW5" s="16"/>
      <c r="AX5" s="17"/>
      <c r="AY5" s="6"/>
      <c r="AZ5" s="363"/>
      <c r="BA5" s="363"/>
      <c r="BB5" s="6"/>
      <c r="BC5" s="6"/>
      <c r="BD5" s="361" t="s">
        <v>541</v>
      </c>
      <c r="BE5" s="16"/>
      <c r="BF5" s="16"/>
      <c r="BG5" s="16"/>
      <c r="BH5" s="16"/>
      <c r="BI5" s="16"/>
      <c r="BJ5" s="17"/>
      <c r="BK5" s="362">
        <f>TODAY()</f>
        <v>46325</v>
      </c>
      <c r="BL5" s="16"/>
      <c r="BM5" s="16"/>
      <c r="BN5" s="16"/>
      <c r="BO5" s="16"/>
      <c r="BP5" s="16"/>
      <c r="BQ5" s="17"/>
      <c r="BR5" s="6"/>
      <c r="BS5" s="364"/>
      <c r="BT5" s="364"/>
      <c r="BU5" s="365"/>
      <c r="BV5" s="358"/>
      <c r="BW5" s="11"/>
      <c r="BX5" s="11"/>
      <c r="BY5" s="11"/>
      <c r="BZ5" s="11"/>
      <c r="CA5" s="11"/>
      <c r="CB5" s="11"/>
      <c r="CC5" s="11"/>
      <c r="CD5" s="11"/>
      <c r="CE5" s="11"/>
      <c r="CF5" s="11"/>
      <c r="CG5" s="11"/>
      <c r="CH5" s="11"/>
      <c r="CI5" s="11"/>
      <c r="CJ5" s="11"/>
      <c r="CK5" s="11"/>
      <c r="CL5" s="11"/>
      <c r="CM5" s="11"/>
      <c r="CN5" s="11"/>
    </row>
    <row r="6" ht="19.5" customHeight="1">
      <c r="A6" s="58"/>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358"/>
      <c r="BW6" s="11"/>
      <c r="BX6" s="11"/>
      <c r="BY6" s="11"/>
      <c r="BZ6" s="11"/>
      <c r="CA6" s="11"/>
      <c r="CB6" s="11"/>
      <c r="CC6" s="11"/>
      <c r="CD6" s="11"/>
      <c r="CE6" s="11"/>
      <c r="CF6" s="11"/>
      <c r="CG6" s="11"/>
      <c r="CH6" s="11"/>
      <c r="CI6" s="11"/>
      <c r="CJ6" s="11"/>
      <c r="CK6" s="11"/>
      <c r="CL6" s="11"/>
      <c r="CM6" s="11"/>
      <c r="CN6" s="11"/>
    </row>
    <row r="7" ht="19.5" customHeight="1">
      <c r="A7" s="366" t="s">
        <v>542</v>
      </c>
      <c r="B7" s="169"/>
      <c r="C7" s="169"/>
      <c r="D7" s="169"/>
      <c r="E7" s="169"/>
      <c r="F7" s="169"/>
      <c r="G7" s="169"/>
      <c r="H7" s="169"/>
      <c r="I7" s="169"/>
      <c r="J7" s="169"/>
      <c r="K7" s="169"/>
      <c r="L7" s="169"/>
      <c r="M7" s="169"/>
      <c r="N7" s="169"/>
      <c r="O7" s="169"/>
      <c r="P7" s="169"/>
      <c r="Q7" s="169"/>
      <c r="R7" s="169"/>
      <c r="S7" s="169"/>
      <c r="T7" s="169"/>
      <c r="U7" s="169"/>
      <c r="V7" s="169"/>
      <c r="W7" s="169"/>
      <c r="X7" s="169"/>
      <c r="Y7" s="169"/>
      <c r="Z7" s="169"/>
      <c r="AA7" s="169"/>
      <c r="AB7" s="169"/>
      <c r="AC7" s="367" t="s">
        <v>543</v>
      </c>
      <c r="AD7" s="169"/>
      <c r="AE7" s="169"/>
      <c r="AF7" s="169"/>
      <c r="AG7" s="169"/>
      <c r="AH7" s="169"/>
      <c r="AI7" s="169"/>
      <c r="AJ7" s="169"/>
      <c r="AK7" s="169"/>
      <c r="AL7" s="169"/>
      <c r="AM7" s="169"/>
      <c r="AN7" s="169"/>
      <c r="AO7" s="169"/>
      <c r="AP7" s="169"/>
      <c r="AQ7" s="169"/>
      <c r="AR7" s="169"/>
      <c r="AS7" s="169"/>
      <c r="AT7" s="169"/>
      <c r="AU7" s="169"/>
      <c r="AV7" s="169"/>
      <c r="AW7" s="169"/>
      <c r="AX7" s="368" t="s">
        <v>544</v>
      </c>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369"/>
      <c r="BW7" s="11"/>
      <c r="BX7" s="11"/>
      <c r="BY7" s="11"/>
      <c r="BZ7" s="11"/>
      <c r="CA7" s="11"/>
      <c r="CB7" s="11"/>
      <c r="CC7" s="11"/>
      <c r="CD7" s="11"/>
      <c r="CE7" s="11"/>
      <c r="CF7" s="11"/>
      <c r="CG7" s="11"/>
      <c r="CH7" s="11"/>
      <c r="CI7" s="11"/>
      <c r="CJ7" s="11"/>
      <c r="CK7" s="11"/>
      <c r="CL7" s="11"/>
      <c r="CM7" s="11"/>
      <c r="CN7" s="11"/>
    </row>
    <row r="8" ht="15.0" customHeight="1">
      <c r="A8" s="58"/>
      <c r="B8" s="6"/>
      <c r="C8" s="6"/>
      <c r="D8" s="6"/>
      <c r="E8" s="6"/>
      <c r="F8" s="6"/>
      <c r="G8" s="6"/>
      <c r="H8" s="6"/>
      <c r="I8" s="6"/>
      <c r="J8" s="6"/>
      <c r="K8" s="6"/>
      <c r="L8" s="6"/>
      <c r="M8" s="6"/>
      <c r="N8" s="6"/>
      <c r="O8" s="6"/>
      <c r="P8" s="6"/>
      <c r="Q8" s="6"/>
      <c r="R8" s="6"/>
      <c r="S8" s="6"/>
      <c r="T8" s="6"/>
      <c r="U8" s="6"/>
      <c r="V8" s="6"/>
      <c r="W8" s="6"/>
      <c r="X8" s="6"/>
      <c r="Y8" s="6"/>
      <c r="Z8" s="6"/>
      <c r="AA8" s="6"/>
      <c r="AB8" s="370"/>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358"/>
      <c r="BW8" s="11"/>
      <c r="BX8" s="11"/>
      <c r="BY8" s="11"/>
      <c r="BZ8" s="11"/>
      <c r="CA8" s="11"/>
      <c r="CB8" s="11"/>
      <c r="CC8" s="11"/>
      <c r="CD8" s="11"/>
      <c r="CE8" s="11"/>
      <c r="CF8" s="11"/>
      <c r="CG8" s="11"/>
      <c r="CH8" s="11"/>
      <c r="CI8" s="11"/>
      <c r="CJ8" s="11"/>
      <c r="CK8" s="11"/>
      <c r="CL8" s="11"/>
      <c r="CM8" s="11"/>
      <c r="CN8" s="11"/>
    </row>
    <row r="9" ht="15.75" customHeight="1">
      <c r="A9" s="58"/>
      <c r="B9" s="6"/>
      <c r="C9" s="6"/>
      <c r="D9" s="6"/>
      <c r="E9" s="371" t="s">
        <v>545</v>
      </c>
      <c r="M9" s="372" t="str">
        <f>IF('Milestones Grid'!BS14=0,"--",'Milestones Grid'!BS14&amp;" out of 170")</f>
        <v>6.5 out of 170</v>
      </c>
      <c r="W9" s="373"/>
      <c r="X9" s="373"/>
      <c r="Y9" s="373"/>
      <c r="Z9" s="373"/>
      <c r="AA9" s="373"/>
      <c r="AB9" s="6"/>
      <c r="AC9" s="6"/>
      <c r="AD9" s="6"/>
      <c r="AE9" s="6"/>
      <c r="AF9" s="6"/>
      <c r="AG9" s="6"/>
      <c r="AH9" s="371" t="s">
        <v>545</v>
      </c>
      <c r="AP9" s="372">
        <f>IF(AND(SUM(BN12:BN17,BN22:BN27,BN31:BN36)=0,SUM('Milestones Grid'!BQ24:BT24)=0),"--",'Barrier Grid'!BL13)</f>
        <v>0</v>
      </c>
      <c r="AX9" s="6"/>
      <c r="AY9" s="6"/>
      <c r="AZ9" s="6"/>
      <c r="BA9" s="6"/>
      <c r="BB9" s="6"/>
      <c r="BC9" s="371" t="s">
        <v>545</v>
      </c>
      <c r="BK9" s="372" t="str">
        <f>IF(SUM(BN12:BN17,BN22:BN27,BN31:BN36)=0,"--",SUM(BN12:BN17,BN22:BN27,BN31:BN36)&amp;" out of 90")</f>
        <v>11 out of 90</v>
      </c>
      <c r="BS9" s="6"/>
      <c r="BT9" s="6"/>
      <c r="BU9" s="6"/>
      <c r="BV9" s="358"/>
      <c r="BW9" s="11"/>
      <c r="BX9" s="11"/>
      <c r="BY9" s="11"/>
      <c r="BZ9" s="11"/>
      <c r="CA9" s="11"/>
      <c r="CB9" s="11"/>
      <c r="CC9" s="11"/>
      <c r="CD9" s="11"/>
      <c r="CE9" s="11"/>
      <c r="CF9" s="11"/>
      <c r="CG9" s="11"/>
      <c r="CH9" s="11"/>
      <c r="CI9" s="11"/>
      <c r="CJ9" s="11"/>
      <c r="CK9" s="11"/>
      <c r="CL9" s="11"/>
      <c r="CM9" s="11"/>
      <c r="CN9" s="11"/>
    </row>
    <row r="10" ht="15.75" customHeight="1">
      <c r="A10" s="58"/>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358"/>
      <c r="BW10" s="11"/>
      <c r="BX10" s="11"/>
      <c r="BY10" s="11"/>
      <c r="BZ10" s="11"/>
      <c r="CA10" s="11"/>
      <c r="CB10" s="11"/>
      <c r="CC10" s="11"/>
      <c r="CD10" s="11"/>
      <c r="CE10" s="11"/>
      <c r="CF10" s="11"/>
      <c r="CG10" s="11"/>
      <c r="CH10" s="11"/>
      <c r="CI10" s="11"/>
      <c r="CJ10" s="11"/>
      <c r="CK10" s="11"/>
      <c r="CL10" s="11"/>
      <c r="CM10" s="11"/>
      <c r="CN10" s="11"/>
    </row>
    <row r="11" ht="15.75" customHeight="1">
      <c r="A11" s="58"/>
      <c r="B11" s="6"/>
      <c r="C11" s="6"/>
      <c r="D11" s="14"/>
      <c r="E11" s="263" t="s">
        <v>546</v>
      </c>
      <c r="L11" s="374" t="str">
        <f>IF('Milestones Grid'!AW49=45,"Complete",IF('Milestones Grid'!AW49=0,"--",'Milestones Grid'!AW49&amp;" out of 45"))</f>
        <v>6.5 out of 45</v>
      </c>
      <c r="T11" s="6"/>
      <c r="U11" s="6"/>
      <c r="V11" s="6"/>
      <c r="W11" s="6"/>
      <c r="X11" s="6"/>
      <c r="Y11" s="6"/>
      <c r="Z11" s="6"/>
      <c r="AA11" s="6"/>
      <c r="AB11" s="6"/>
      <c r="AC11" s="6"/>
      <c r="AD11" s="6"/>
      <c r="AE11" s="375" t="s">
        <v>547</v>
      </c>
      <c r="AF11" s="6"/>
      <c r="AG11" s="6"/>
      <c r="AH11" s="6"/>
      <c r="AI11" s="6"/>
      <c r="AJ11" s="6"/>
      <c r="AK11" s="6"/>
      <c r="AL11" s="6"/>
      <c r="AM11" s="6"/>
      <c r="AN11" s="6"/>
      <c r="AO11" s="6"/>
      <c r="AP11" s="6"/>
      <c r="AQ11" s="6"/>
      <c r="AR11" s="6"/>
      <c r="AS11" s="6"/>
      <c r="AT11" s="6"/>
      <c r="AU11" s="6"/>
      <c r="AV11" s="6"/>
      <c r="AW11" s="14">
        <f>IF('Barrier Grid'!L13&gt;=3,1,0)</f>
        <v>0</v>
      </c>
      <c r="AX11" s="6"/>
      <c r="AY11" s="6"/>
      <c r="AZ11" s="376" t="s">
        <v>548</v>
      </c>
      <c r="BA11" s="6"/>
      <c r="BB11" s="6"/>
      <c r="BC11" s="6"/>
      <c r="BD11" s="6"/>
      <c r="BE11" s="6"/>
      <c r="BF11" s="6"/>
      <c r="BG11" s="6"/>
      <c r="BH11" s="6"/>
      <c r="BI11" s="6"/>
      <c r="BJ11" s="6"/>
      <c r="BK11" s="6"/>
      <c r="BL11" s="6"/>
      <c r="BM11" s="6"/>
      <c r="BN11" s="6"/>
      <c r="BO11" s="6"/>
      <c r="BP11" s="6"/>
      <c r="BQ11" s="6"/>
      <c r="BR11" s="6"/>
      <c r="BS11" s="6"/>
      <c r="BT11" s="6"/>
      <c r="BU11" s="6"/>
      <c r="BV11" s="358"/>
      <c r="BW11" s="11"/>
      <c r="BX11" s="11"/>
      <c r="BY11" s="11"/>
      <c r="BZ11" s="11"/>
      <c r="CA11" s="11"/>
      <c r="CB11" s="11"/>
      <c r="CC11" s="11"/>
      <c r="CD11" s="11"/>
      <c r="CE11" s="11"/>
      <c r="CF11" s="11"/>
      <c r="CG11" s="11"/>
      <c r="CH11" s="11"/>
      <c r="CI11" s="11"/>
      <c r="CJ11" s="11"/>
      <c r="CK11" s="11"/>
      <c r="CL11" s="11"/>
      <c r="CM11" s="11"/>
      <c r="CN11" s="11"/>
    </row>
    <row r="12" ht="15.75" customHeight="1">
      <c r="A12" s="377"/>
      <c r="B12" s="6"/>
      <c r="C12" s="6"/>
      <c r="D12" s="14"/>
      <c r="E12" s="6"/>
      <c r="F12" s="6"/>
      <c r="G12" s="6"/>
      <c r="H12" s="6"/>
      <c r="I12" s="6"/>
      <c r="J12" s="6"/>
      <c r="K12" s="6"/>
      <c r="L12" s="6"/>
      <c r="M12" s="6"/>
      <c r="N12" s="6"/>
      <c r="O12" s="6"/>
      <c r="P12" s="6"/>
      <c r="Q12" s="6"/>
      <c r="R12" s="6"/>
      <c r="S12" s="6"/>
      <c r="T12" s="6"/>
      <c r="U12" s="6"/>
      <c r="V12" s="6"/>
      <c r="W12" s="6"/>
      <c r="X12" s="6"/>
      <c r="Y12" s="6"/>
      <c r="Z12" s="6"/>
      <c r="AA12" s="6"/>
      <c r="AB12" s="6"/>
      <c r="AC12" s="6"/>
      <c r="AD12" s="6"/>
      <c r="AE12" s="375" t="s">
        <v>549</v>
      </c>
      <c r="AF12" s="6"/>
      <c r="AG12" s="6"/>
      <c r="AH12" s="6"/>
      <c r="AI12" s="6"/>
      <c r="AJ12" s="6"/>
      <c r="AK12" s="6"/>
      <c r="AL12" s="6"/>
      <c r="AM12" s="6"/>
      <c r="AN12" s="6"/>
      <c r="AO12" s="6"/>
      <c r="AP12" s="6"/>
      <c r="AQ12" s="6"/>
      <c r="AR12" s="6"/>
      <c r="AS12" s="6"/>
      <c r="AT12" s="6"/>
      <c r="AU12" s="6"/>
      <c r="AV12" s="6"/>
      <c r="AW12" s="14">
        <f>IF('Barrier Grid'!V13&gt;=3,1,0)</f>
        <v>0</v>
      </c>
      <c r="AX12" s="6"/>
      <c r="AY12" s="6"/>
      <c r="AZ12" s="214" t="s">
        <v>550</v>
      </c>
      <c r="BA12" s="6"/>
      <c r="BB12" s="6"/>
      <c r="BC12" s="6"/>
      <c r="BD12" s="6"/>
      <c r="BE12" s="6"/>
      <c r="BF12" s="6"/>
      <c r="BG12" s="6"/>
      <c r="BH12" s="6"/>
      <c r="BI12" s="6"/>
      <c r="BJ12" s="6"/>
      <c r="BK12" s="6"/>
      <c r="BL12" s="6"/>
      <c r="BM12" s="6"/>
      <c r="BN12" s="288">
        <f>'Transition Grid'!L13</f>
        <v>0</v>
      </c>
      <c r="BO12" s="378" t="str">
        <f t="shared" ref="BO12:BO17" si="1">IF(OR(BN12=5,BN12=4,BN12=3,BN12=2,BN12=1),1,"")</f>
        <v/>
      </c>
      <c r="BP12" s="379" t="str">
        <f t="shared" ref="BP12:BP17" si="2">IF(OR(BN12=5,BN12=4,BN12=3,BN12=2),1,"")</f>
        <v/>
      </c>
      <c r="BQ12" s="379" t="str">
        <f t="shared" ref="BQ12:BQ17" si="3">IF(OR(BN12=5,BN12=4,BN12=3),1,"")</f>
        <v/>
      </c>
      <c r="BR12" s="379" t="str">
        <f t="shared" ref="BR12:BR17" si="4">IF(OR(BN12=5,BN12=4),1,"")</f>
        <v/>
      </c>
      <c r="BS12" s="380" t="str">
        <f t="shared" ref="BS12:BS17" si="5">IF(BN12=5,1,"")</f>
        <v/>
      </c>
      <c r="BT12" s="6"/>
      <c r="BU12" s="6"/>
      <c r="BV12" s="358"/>
      <c r="BW12" s="11"/>
      <c r="BX12" s="11"/>
      <c r="BY12" s="11"/>
      <c r="BZ12" s="11"/>
      <c r="CA12" s="11"/>
      <c r="CB12" s="11"/>
      <c r="CC12" s="11"/>
      <c r="CD12" s="11"/>
      <c r="CE12" s="11"/>
      <c r="CF12" s="11"/>
      <c r="CG12" s="11"/>
      <c r="CH12" s="11"/>
      <c r="CI12" s="11"/>
      <c r="CJ12" s="11"/>
      <c r="CK12" s="11"/>
      <c r="CL12" s="11"/>
      <c r="CM12" s="11"/>
      <c r="CN12" s="11"/>
    </row>
    <row r="13" ht="15.75" customHeight="1">
      <c r="A13" s="58"/>
      <c r="B13" s="6"/>
      <c r="C13" s="6"/>
      <c r="D13" s="14"/>
      <c r="E13" s="263" t="s">
        <v>551</v>
      </c>
      <c r="L13" s="374" t="str">
        <f>IF('Milestones Grid'!BL32=60,"Complete",IF('Milestones Grid'!BL32=0,"--",'Milestones Grid'!BL32&amp;" out of 60"))</f>
        <v>--</v>
      </c>
      <c r="T13" s="6"/>
      <c r="U13" s="6"/>
      <c r="V13" s="6"/>
      <c r="W13" s="6"/>
      <c r="X13" s="6"/>
      <c r="Y13" s="6"/>
      <c r="Z13" s="6"/>
      <c r="AA13" s="6"/>
      <c r="AB13" s="6"/>
      <c r="AC13" s="6"/>
      <c r="AD13" s="6"/>
      <c r="AE13" s="375" t="s">
        <v>552</v>
      </c>
      <c r="AF13" s="6"/>
      <c r="AG13" s="6"/>
      <c r="AH13" s="6"/>
      <c r="AI13" s="6"/>
      <c r="AJ13" s="6"/>
      <c r="AK13" s="6"/>
      <c r="AL13" s="6"/>
      <c r="AM13" s="6"/>
      <c r="AN13" s="6"/>
      <c r="AO13" s="6"/>
      <c r="AP13" s="6"/>
      <c r="AQ13" s="6"/>
      <c r="AR13" s="6"/>
      <c r="AS13" s="6"/>
      <c r="AT13" s="6"/>
      <c r="AU13" s="6"/>
      <c r="AV13" s="6"/>
      <c r="AW13" s="14">
        <f>IF('Barrier Grid'!AF13&gt;=3,1,0)</f>
        <v>0</v>
      </c>
      <c r="AX13" s="6"/>
      <c r="AY13" s="6"/>
      <c r="AZ13" s="214" t="s">
        <v>553</v>
      </c>
      <c r="BA13" s="6"/>
      <c r="BB13" s="6"/>
      <c r="BC13" s="6"/>
      <c r="BD13" s="6"/>
      <c r="BE13" s="6"/>
      <c r="BF13" s="6"/>
      <c r="BG13" s="6"/>
      <c r="BH13" s="6"/>
      <c r="BI13" s="6"/>
      <c r="BJ13" s="6"/>
      <c r="BK13" s="6"/>
      <c r="BL13" s="6"/>
      <c r="BM13" s="6"/>
      <c r="BN13" s="288">
        <f>'Transition Grid'!V13</f>
        <v>5</v>
      </c>
      <c r="BO13" s="378">
        <f t="shared" si="1"/>
        <v>1</v>
      </c>
      <c r="BP13" s="379">
        <f t="shared" si="2"/>
        <v>1</v>
      </c>
      <c r="BQ13" s="379">
        <f t="shared" si="3"/>
        <v>1</v>
      </c>
      <c r="BR13" s="379">
        <f t="shared" si="4"/>
        <v>1</v>
      </c>
      <c r="BS13" s="380">
        <f t="shared" si="5"/>
        <v>1</v>
      </c>
      <c r="BT13" s="6"/>
      <c r="BU13" s="6"/>
      <c r="BV13" s="358"/>
      <c r="BW13" s="11"/>
      <c r="BX13" s="11"/>
      <c r="BY13" s="11"/>
      <c r="BZ13" s="11"/>
      <c r="CA13" s="11"/>
      <c r="CB13" s="11"/>
      <c r="CC13" s="11"/>
      <c r="CD13" s="11"/>
      <c r="CE13" s="11"/>
      <c r="CF13" s="11"/>
      <c r="CG13" s="11"/>
      <c r="CH13" s="11"/>
      <c r="CI13" s="11"/>
      <c r="CJ13" s="11"/>
      <c r="CK13" s="11"/>
      <c r="CL13" s="11"/>
      <c r="CM13" s="11"/>
      <c r="CN13" s="11"/>
    </row>
    <row r="14" ht="15.75" customHeight="1">
      <c r="A14" s="377"/>
      <c r="B14" s="6"/>
      <c r="C14" s="6"/>
      <c r="D14" s="14"/>
      <c r="E14" s="6"/>
      <c r="F14" s="6"/>
      <c r="G14" s="6"/>
      <c r="H14" s="6"/>
      <c r="I14" s="6"/>
      <c r="J14" s="6"/>
      <c r="K14" s="6"/>
      <c r="L14" s="6"/>
      <c r="M14" s="6"/>
      <c r="N14" s="6"/>
      <c r="O14" s="6"/>
      <c r="P14" s="6"/>
      <c r="Q14" s="6"/>
      <c r="R14" s="6"/>
      <c r="S14" s="6"/>
      <c r="T14" s="6"/>
      <c r="U14" s="6"/>
      <c r="V14" s="6"/>
      <c r="W14" s="6"/>
      <c r="X14" s="6"/>
      <c r="Y14" s="6"/>
      <c r="Z14" s="6"/>
      <c r="AA14" s="6"/>
      <c r="AB14" s="6"/>
      <c r="AC14" s="6"/>
      <c r="AD14" s="6"/>
      <c r="AE14" s="375" t="s">
        <v>554</v>
      </c>
      <c r="AF14" s="6"/>
      <c r="AG14" s="6"/>
      <c r="AH14" s="6"/>
      <c r="AI14" s="6"/>
      <c r="AJ14" s="6"/>
      <c r="AK14" s="6"/>
      <c r="AL14" s="6"/>
      <c r="AM14" s="6"/>
      <c r="AN14" s="6"/>
      <c r="AO14" s="6"/>
      <c r="AP14" s="6"/>
      <c r="AQ14" s="6"/>
      <c r="AR14" s="6"/>
      <c r="AS14" s="6"/>
      <c r="AT14" s="6"/>
      <c r="AU14" s="6"/>
      <c r="AV14" s="6"/>
      <c r="AW14" s="14">
        <f>IF('Barrier Grid'!AP13&gt;=3,1,0)</f>
        <v>0</v>
      </c>
      <c r="AX14" s="6"/>
      <c r="AY14" s="6"/>
      <c r="AZ14" s="214" t="s">
        <v>555</v>
      </c>
      <c r="BA14" s="6"/>
      <c r="BB14" s="6"/>
      <c r="BC14" s="6"/>
      <c r="BD14" s="6"/>
      <c r="BE14" s="6"/>
      <c r="BF14" s="6"/>
      <c r="BG14" s="6"/>
      <c r="BH14" s="6"/>
      <c r="BI14" s="6"/>
      <c r="BJ14" s="6"/>
      <c r="BK14" s="6"/>
      <c r="BL14" s="6"/>
      <c r="BM14" s="6"/>
      <c r="BN14" s="288">
        <f>'Transition Grid'!AF13</f>
        <v>5</v>
      </c>
      <c r="BO14" s="378">
        <f t="shared" si="1"/>
        <v>1</v>
      </c>
      <c r="BP14" s="379">
        <f t="shared" si="2"/>
        <v>1</v>
      </c>
      <c r="BQ14" s="379">
        <f t="shared" si="3"/>
        <v>1</v>
      </c>
      <c r="BR14" s="379">
        <f t="shared" si="4"/>
        <v>1</v>
      </c>
      <c r="BS14" s="380">
        <f t="shared" si="5"/>
        <v>1</v>
      </c>
      <c r="BT14" s="6"/>
      <c r="BU14" s="6"/>
      <c r="BV14" s="358"/>
      <c r="BW14" s="11"/>
      <c r="BX14" s="11"/>
      <c r="BY14" s="11"/>
      <c r="BZ14" s="11"/>
      <c r="CA14" s="11"/>
      <c r="CB14" s="11"/>
      <c r="CC14" s="11"/>
      <c r="CD14" s="11"/>
      <c r="CE14" s="11"/>
      <c r="CF14" s="11"/>
      <c r="CG14" s="11"/>
      <c r="CH14" s="11"/>
      <c r="CI14" s="11"/>
      <c r="CJ14" s="11"/>
      <c r="CK14" s="11"/>
      <c r="CL14" s="11"/>
      <c r="CM14" s="11"/>
      <c r="CN14" s="11"/>
    </row>
    <row r="15" ht="15.75" customHeight="1">
      <c r="A15" s="58"/>
      <c r="B15" s="6"/>
      <c r="C15" s="6"/>
      <c r="D15" s="14"/>
      <c r="E15" s="263" t="s">
        <v>556</v>
      </c>
      <c r="L15" s="374" t="str">
        <f>IF('Milestones Grid'!BQ15=65,"Complete",IF('Milestones Grid'!BQ15=0,"--",'Milestones Grid'!BQ15&amp;" out of 65"))</f>
        <v>--</v>
      </c>
      <c r="T15" s="6"/>
      <c r="U15" s="6"/>
      <c r="V15" s="6"/>
      <c r="W15" s="6"/>
      <c r="X15" s="6"/>
      <c r="Y15" s="6"/>
      <c r="Z15" s="6"/>
      <c r="AA15" s="6"/>
      <c r="AB15" s="6"/>
      <c r="AC15" s="6"/>
      <c r="AD15" s="6"/>
      <c r="AE15" s="375" t="s">
        <v>557</v>
      </c>
      <c r="AF15" s="6"/>
      <c r="AG15" s="6"/>
      <c r="AH15" s="6"/>
      <c r="AI15" s="6"/>
      <c r="AJ15" s="6"/>
      <c r="AK15" s="6"/>
      <c r="AL15" s="6"/>
      <c r="AM15" s="6"/>
      <c r="AN15" s="6"/>
      <c r="AO15" s="6"/>
      <c r="AP15" s="6"/>
      <c r="AQ15" s="6"/>
      <c r="AR15" s="6"/>
      <c r="AS15" s="6"/>
      <c r="AT15" s="6"/>
      <c r="AU15" s="6"/>
      <c r="AV15" s="6"/>
      <c r="AW15" s="14">
        <f>IF('Barrier Grid'!AZ13&gt;=3,1,0)</f>
        <v>0</v>
      </c>
      <c r="AX15" s="6"/>
      <c r="AY15" s="6"/>
      <c r="AZ15" s="214" t="s">
        <v>558</v>
      </c>
      <c r="BA15" s="6"/>
      <c r="BB15" s="6"/>
      <c r="BC15" s="6"/>
      <c r="BD15" s="6"/>
      <c r="BE15" s="6"/>
      <c r="BF15" s="6"/>
      <c r="BG15" s="6"/>
      <c r="BH15" s="6"/>
      <c r="BI15" s="6"/>
      <c r="BJ15" s="6"/>
      <c r="BK15" s="6"/>
      <c r="BL15" s="6"/>
      <c r="BM15" s="6"/>
      <c r="BN15" s="288">
        <f>'Transition Grid'!AP13</f>
        <v>0</v>
      </c>
      <c r="BO15" s="378" t="str">
        <f t="shared" si="1"/>
        <v/>
      </c>
      <c r="BP15" s="379" t="str">
        <f t="shared" si="2"/>
        <v/>
      </c>
      <c r="BQ15" s="379" t="str">
        <f t="shared" si="3"/>
        <v/>
      </c>
      <c r="BR15" s="379" t="str">
        <f t="shared" si="4"/>
        <v/>
      </c>
      <c r="BS15" s="380" t="str">
        <f t="shared" si="5"/>
        <v/>
      </c>
      <c r="BT15" s="6"/>
      <c r="BU15" s="6"/>
      <c r="BV15" s="358"/>
      <c r="BW15" s="11"/>
      <c r="BX15" s="11"/>
      <c r="BY15" s="11"/>
      <c r="BZ15" s="11"/>
      <c r="CA15" s="11"/>
      <c r="CB15" s="11"/>
      <c r="CC15" s="11"/>
      <c r="CD15" s="11"/>
      <c r="CE15" s="11"/>
      <c r="CF15" s="11"/>
      <c r="CG15" s="11"/>
      <c r="CH15" s="11"/>
      <c r="CI15" s="11"/>
      <c r="CJ15" s="11"/>
      <c r="CK15" s="11"/>
      <c r="CL15" s="11"/>
      <c r="CM15" s="11"/>
      <c r="CN15" s="11"/>
    </row>
    <row r="16" ht="15.75" customHeight="1">
      <c r="A16" s="58"/>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375" t="s">
        <v>559</v>
      </c>
      <c r="AF16" s="6"/>
      <c r="AG16" s="6"/>
      <c r="AH16" s="6"/>
      <c r="AI16" s="6"/>
      <c r="AJ16" s="6"/>
      <c r="AK16" s="6"/>
      <c r="AL16" s="6"/>
      <c r="AM16" s="6"/>
      <c r="AN16" s="6"/>
      <c r="AO16" s="6"/>
      <c r="AP16" s="6"/>
      <c r="AQ16" s="6"/>
      <c r="AR16" s="6"/>
      <c r="AS16" s="6"/>
      <c r="AT16" s="6"/>
      <c r="AU16" s="6"/>
      <c r="AV16" s="6"/>
      <c r="AW16" s="14">
        <f>IF('Barrier Grid'!BJ13&gt;=3,1,0)</f>
        <v>0</v>
      </c>
      <c r="AX16" s="6"/>
      <c r="AY16" s="6"/>
      <c r="AZ16" s="214" t="s">
        <v>560</v>
      </c>
      <c r="BA16" s="6"/>
      <c r="BB16" s="6"/>
      <c r="BC16" s="6"/>
      <c r="BD16" s="6"/>
      <c r="BE16" s="6"/>
      <c r="BF16" s="6"/>
      <c r="BG16" s="6"/>
      <c r="BH16" s="6"/>
      <c r="BI16" s="6"/>
      <c r="BJ16" s="6"/>
      <c r="BK16" s="6"/>
      <c r="BL16" s="6"/>
      <c r="BM16" s="6"/>
      <c r="BN16" s="288">
        <f>'Transition Grid'!AZ13</f>
        <v>1</v>
      </c>
      <c r="BO16" s="378">
        <f t="shared" si="1"/>
        <v>1</v>
      </c>
      <c r="BP16" s="379" t="str">
        <f t="shared" si="2"/>
        <v/>
      </c>
      <c r="BQ16" s="379" t="str">
        <f t="shared" si="3"/>
        <v/>
      </c>
      <c r="BR16" s="379" t="str">
        <f t="shared" si="4"/>
        <v/>
      </c>
      <c r="BS16" s="380" t="str">
        <f t="shared" si="5"/>
        <v/>
      </c>
      <c r="BT16" s="6"/>
      <c r="BU16" s="6"/>
      <c r="BV16" s="358"/>
      <c r="BW16" s="11"/>
      <c r="BX16" s="11"/>
      <c r="BY16" s="11"/>
      <c r="BZ16" s="11"/>
      <c r="CA16" s="11"/>
      <c r="CB16" s="11"/>
      <c r="CC16" s="11"/>
      <c r="CD16" s="11"/>
      <c r="CE16" s="11"/>
      <c r="CF16" s="11"/>
      <c r="CG16" s="11"/>
      <c r="CH16" s="11"/>
      <c r="CI16" s="11"/>
      <c r="CJ16" s="11"/>
      <c r="CK16" s="11"/>
      <c r="CL16" s="11"/>
      <c r="CM16" s="11"/>
      <c r="CN16" s="11"/>
    </row>
    <row r="17" ht="15.75" customHeight="1">
      <c r="A17" s="381"/>
      <c r="B17" s="382"/>
      <c r="C17" s="382"/>
      <c r="D17" s="382"/>
      <c r="E17" s="382"/>
      <c r="F17" s="382"/>
      <c r="G17" s="382"/>
      <c r="H17" s="382"/>
      <c r="I17" s="382"/>
      <c r="J17" s="382"/>
      <c r="K17" s="382"/>
      <c r="L17" s="382"/>
      <c r="M17" s="382"/>
      <c r="N17" s="382"/>
      <c r="O17" s="382"/>
      <c r="P17" s="382"/>
      <c r="Q17" s="382"/>
      <c r="R17" s="382"/>
      <c r="S17" s="382"/>
      <c r="T17" s="382"/>
      <c r="U17" s="382"/>
      <c r="V17" s="382"/>
      <c r="W17" s="382"/>
      <c r="X17" s="382"/>
      <c r="Y17" s="382"/>
      <c r="Z17" s="382"/>
      <c r="AA17" s="382"/>
      <c r="AB17" s="382"/>
      <c r="AC17" s="6"/>
      <c r="AD17" s="6"/>
      <c r="AE17" s="375" t="s">
        <v>561</v>
      </c>
      <c r="AF17" s="6"/>
      <c r="AG17" s="6"/>
      <c r="AH17" s="6"/>
      <c r="AI17" s="6"/>
      <c r="AJ17" s="6"/>
      <c r="AK17" s="6"/>
      <c r="AL17" s="6"/>
      <c r="AM17" s="6"/>
      <c r="AN17" s="6"/>
      <c r="AO17" s="6"/>
      <c r="AP17" s="6"/>
      <c r="AQ17" s="6"/>
      <c r="AR17" s="6"/>
      <c r="AS17" s="6"/>
      <c r="AT17" s="6"/>
      <c r="AU17" s="6"/>
      <c r="AV17" s="6"/>
      <c r="AW17" s="14">
        <f>IF('Barrier Grid'!L28&gt;=3,1,0)</f>
        <v>0</v>
      </c>
      <c r="AX17" s="6"/>
      <c r="AY17" s="6"/>
      <c r="AZ17" s="214" t="s">
        <v>562</v>
      </c>
      <c r="BA17" s="6"/>
      <c r="BB17" s="6"/>
      <c r="BC17" s="6"/>
      <c r="BD17" s="6"/>
      <c r="BE17" s="6"/>
      <c r="BF17" s="6"/>
      <c r="BG17" s="6"/>
      <c r="BH17" s="6"/>
      <c r="BI17" s="6"/>
      <c r="BJ17" s="6"/>
      <c r="BK17" s="6"/>
      <c r="BL17" s="6"/>
      <c r="BM17" s="6"/>
      <c r="BN17" s="288">
        <f>'Transition Grid'!BJ13</f>
        <v>0</v>
      </c>
      <c r="BO17" s="378" t="str">
        <f t="shared" si="1"/>
        <v/>
      </c>
      <c r="BP17" s="379" t="str">
        <f t="shared" si="2"/>
        <v/>
      </c>
      <c r="BQ17" s="379" t="str">
        <f t="shared" si="3"/>
        <v/>
      </c>
      <c r="BR17" s="379" t="str">
        <f t="shared" si="4"/>
        <v/>
      </c>
      <c r="BS17" s="380" t="str">
        <f t="shared" si="5"/>
        <v/>
      </c>
      <c r="BT17" s="6"/>
      <c r="BU17" s="6"/>
      <c r="BV17" s="358"/>
      <c r="BW17" s="11"/>
      <c r="BX17" s="11"/>
      <c r="BY17" s="11"/>
      <c r="BZ17" s="11"/>
      <c r="CA17" s="11"/>
      <c r="CB17" s="11"/>
      <c r="CC17" s="11"/>
      <c r="CD17" s="11"/>
      <c r="CE17" s="11"/>
      <c r="CF17" s="11"/>
      <c r="CG17" s="11"/>
      <c r="CH17" s="11"/>
      <c r="CI17" s="11"/>
      <c r="CJ17" s="11"/>
      <c r="CK17" s="11"/>
      <c r="CL17" s="11"/>
      <c r="CM17" s="11"/>
      <c r="CN17" s="11"/>
    </row>
    <row r="18" ht="3.75" customHeight="1">
      <c r="A18" s="381"/>
      <c r="B18" s="382"/>
      <c r="C18" s="382"/>
      <c r="D18" s="382"/>
      <c r="E18" s="382"/>
      <c r="F18" s="382"/>
      <c r="G18" s="382"/>
      <c r="H18" s="382"/>
      <c r="I18" s="382"/>
      <c r="J18" s="382"/>
      <c r="K18" s="382"/>
      <c r="L18" s="382"/>
      <c r="M18" s="382"/>
      <c r="N18" s="382"/>
      <c r="O18" s="382"/>
      <c r="P18" s="382"/>
      <c r="Q18" s="382"/>
      <c r="R18" s="382"/>
      <c r="S18" s="382"/>
      <c r="T18" s="382"/>
      <c r="U18" s="382"/>
      <c r="V18" s="382"/>
      <c r="W18" s="382"/>
      <c r="X18" s="382"/>
      <c r="Y18" s="382"/>
      <c r="Z18" s="382"/>
      <c r="AA18" s="382"/>
      <c r="AB18" s="382"/>
      <c r="AC18" s="6"/>
      <c r="AD18" s="6"/>
      <c r="AE18" s="375" t="s">
        <v>563</v>
      </c>
      <c r="AO18" s="6"/>
      <c r="AP18" s="6"/>
      <c r="AQ18" s="6"/>
      <c r="AR18" s="6"/>
      <c r="AS18" s="6"/>
      <c r="AT18" s="6"/>
      <c r="AU18" s="6"/>
      <c r="AV18" s="6"/>
      <c r="AW18" s="14"/>
      <c r="AX18" s="6"/>
      <c r="AY18" s="6"/>
      <c r="AZ18" s="214"/>
      <c r="BA18" s="6"/>
      <c r="BB18" s="6"/>
      <c r="BC18" s="6"/>
      <c r="BD18" s="6"/>
      <c r="BE18" s="6"/>
      <c r="BF18" s="6"/>
      <c r="BG18" s="6"/>
      <c r="BH18" s="6"/>
      <c r="BI18" s="6"/>
      <c r="BJ18" s="6"/>
      <c r="BK18" s="6"/>
      <c r="BL18" s="6"/>
      <c r="BM18" s="6"/>
      <c r="BN18" s="288"/>
      <c r="BO18" s="6"/>
      <c r="BP18" s="6"/>
      <c r="BQ18" s="6"/>
      <c r="BR18" s="6"/>
      <c r="BS18" s="6"/>
      <c r="BT18" s="6"/>
      <c r="BU18" s="6"/>
      <c r="BV18" s="358"/>
      <c r="BW18" s="11"/>
      <c r="BX18" s="11"/>
      <c r="BY18" s="11"/>
      <c r="BZ18" s="11"/>
      <c r="CA18" s="11"/>
      <c r="CB18" s="11"/>
      <c r="CC18" s="11"/>
      <c r="CD18" s="11"/>
      <c r="CE18" s="11"/>
      <c r="CF18" s="11"/>
      <c r="CG18" s="11"/>
      <c r="CH18" s="11"/>
      <c r="CI18" s="11"/>
      <c r="CJ18" s="11"/>
      <c r="CK18" s="11"/>
      <c r="CL18" s="11"/>
      <c r="CM18" s="11"/>
      <c r="CN18" s="11"/>
    </row>
    <row r="19" ht="12.0" customHeight="1">
      <c r="A19" s="58"/>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O19" s="6"/>
      <c r="AP19" s="6"/>
      <c r="AQ19" s="6"/>
      <c r="AR19" s="6"/>
      <c r="AS19" s="6"/>
      <c r="AT19" s="6"/>
      <c r="AU19" s="6"/>
      <c r="AV19" s="6"/>
      <c r="AW19" s="14">
        <f>IF('Barrier Grid'!V28&gt;=3,1,0)</f>
        <v>0</v>
      </c>
      <c r="AX19" s="6"/>
      <c r="AY19" s="6"/>
      <c r="AZ19" s="6"/>
      <c r="BA19" s="6"/>
      <c r="BB19" s="6"/>
      <c r="BC19" s="6"/>
      <c r="BD19" s="6"/>
      <c r="BE19" s="6"/>
      <c r="BF19" s="6"/>
      <c r="BG19" s="6"/>
      <c r="BH19" s="6"/>
      <c r="BI19" s="383" t="str">
        <f>IF(BM19="@","","Total:")</f>
        <v>Total:</v>
      </c>
      <c r="BM19" s="384" t="str">
        <f>IF(SUM(BN12:BN17)=0,"@",SUM(BN12:BN17)&amp;" out of 30")</f>
        <v>11 out of 30</v>
      </c>
      <c r="BT19" s="6"/>
      <c r="BU19" s="6"/>
      <c r="BV19" s="358"/>
      <c r="BW19" s="11"/>
      <c r="BX19" s="11"/>
      <c r="BY19" s="11"/>
      <c r="BZ19" s="11"/>
      <c r="CA19" s="11"/>
      <c r="CB19" s="11"/>
      <c r="CC19" s="11"/>
      <c r="CD19" s="11"/>
      <c r="CE19" s="11"/>
      <c r="CF19" s="11"/>
      <c r="CG19" s="11"/>
      <c r="CH19" s="11"/>
      <c r="CI19" s="11"/>
      <c r="CJ19" s="11"/>
      <c r="CK19" s="11"/>
      <c r="CL19" s="11"/>
      <c r="CM19" s="11"/>
      <c r="CN19" s="11"/>
    </row>
    <row r="20" ht="15.75" customHeight="1">
      <c r="A20" s="58"/>
      <c r="B20" s="6"/>
      <c r="C20" s="6"/>
      <c r="D20" s="6"/>
      <c r="E20" s="6"/>
      <c r="F20" s="371" t="s">
        <v>545</v>
      </c>
      <c r="N20" s="372" t="str">
        <f>IF(AND(Q22="",Q24="",Q26="",Q28="",Q30="",Q32="",Q34="",Q36=""),"--",SUM(Q22,Q24,Q26,Q28,Q30,Q32,Q34,Q36)&amp;" out of 80")</f>
        <v>--</v>
      </c>
      <c r="V20" s="6"/>
      <c r="W20" s="6"/>
      <c r="X20" s="6"/>
      <c r="Y20" s="6"/>
      <c r="Z20" s="6"/>
      <c r="AA20" s="6"/>
      <c r="AB20" s="6"/>
      <c r="AC20" s="6"/>
      <c r="AD20" s="6"/>
      <c r="AE20" s="375" t="s">
        <v>564</v>
      </c>
      <c r="AF20" s="6"/>
      <c r="AG20" s="6"/>
      <c r="AH20" s="6"/>
      <c r="AI20" s="6"/>
      <c r="AJ20" s="6"/>
      <c r="AK20" s="6"/>
      <c r="AL20" s="6"/>
      <c r="AM20" s="6"/>
      <c r="AN20" s="6"/>
      <c r="AO20" s="6"/>
      <c r="AP20" s="6"/>
      <c r="AQ20" s="6"/>
      <c r="AR20" s="6"/>
      <c r="AS20" s="6"/>
      <c r="AT20" s="6"/>
      <c r="AU20" s="6"/>
      <c r="AV20" s="6"/>
      <c r="AW20" s="14">
        <f>IF('Barrier Grid'!AF28&gt;=3,1,0)</f>
        <v>0</v>
      </c>
      <c r="AX20" s="6"/>
      <c r="AY20" s="6"/>
      <c r="AZ20" s="6"/>
      <c r="BA20" s="6"/>
      <c r="BB20" s="6"/>
      <c r="BC20" s="6"/>
      <c r="BD20" s="6"/>
      <c r="BE20" s="6"/>
      <c r="BF20" s="6"/>
      <c r="BG20" s="6"/>
      <c r="BH20" s="6"/>
      <c r="BI20" s="6"/>
      <c r="BJ20" s="6"/>
      <c r="BK20" s="6"/>
      <c r="BL20" s="6"/>
      <c r="BM20" s="6"/>
      <c r="BN20" s="288"/>
      <c r="BO20" s="6"/>
      <c r="BP20" s="6"/>
      <c r="BQ20" s="6"/>
      <c r="BR20" s="6"/>
      <c r="BS20" s="6"/>
      <c r="BT20" s="6"/>
      <c r="BU20" s="6"/>
      <c r="BV20" s="358"/>
      <c r="BW20" s="11"/>
      <c r="BX20" s="11"/>
      <c r="BY20" s="11"/>
      <c r="BZ20" s="11"/>
      <c r="CA20" s="11"/>
      <c r="CB20" s="11"/>
      <c r="CC20" s="11"/>
      <c r="CD20" s="11"/>
      <c r="CE20" s="11"/>
      <c r="CF20" s="11"/>
      <c r="CG20" s="11"/>
      <c r="CH20" s="11"/>
      <c r="CI20" s="11"/>
      <c r="CJ20" s="11"/>
      <c r="CK20" s="11"/>
      <c r="CL20" s="11"/>
      <c r="CM20" s="11"/>
      <c r="CN20" s="11"/>
    </row>
    <row r="21" ht="15.75" customHeight="1">
      <c r="A21" s="385"/>
      <c r="B21" s="214"/>
      <c r="C21" s="214"/>
      <c r="D21" s="214"/>
      <c r="E21" s="214"/>
      <c r="F21" s="6"/>
      <c r="G21" s="6"/>
      <c r="H21" s="6"/>
      <c r="I21" s="6"/>
      <c r="J21" s="6"/>
      <c r="K21" s="6"/>
      <c r="L21" s="6"/>
      <c r="M21" s="6"/>
      <c r="N21" s="6"/>
      <c r="O21" s="6"/>
      <c r="P21" s="6"/>
      <c r="Q21" s="6"/>
      <c r="R21" s="6"/>
      <c r="S21" s="6"/>
      <c r="T21" s="6"/>
      <c r="U21" s="6"/>
      <c r="V21" s="6"/>
      <c r="W21" s="6"/>
      <c r="X21" s="6"/>
      <c r="Y21" s="6"/>
      <c r="Z21" s="6"/>
      <c r="AA21" s="6"/>
      <c r="AB21" s="6"/>
      <c r="AC21" s="6"/>
      <c r="AD21" s="6"/>
      <c r="AE21" s="375" t="s">
        <v>565</v>
      </c>
      <c r="AF21" s="6"/>
      <c r="AG21" s="6"/>
      <c r="AH21" s="6"/>
      <c r="AI21" s="6"/>
      <c r="AJ21" s="6"/>
      <c r="AK21" s="6"/>
      <c r="AL21" s="6"/>
      <c r="AM21" s="6"/>
      <c r="AN21" s="6"/>
      <c r="AO21" s="6"/>
      <c r="AP21" s="6"/>
      <c r="AQ21" s="6"/>
      <c r="AR21" s="6"/>
      <c r="AS21" s="6"/>
      <c r="AT21" s="6"/>
      <c r="AU21" s="6"/>
      <c r="AV21" s="6"/>
      <c r="AW21" s="14">
        <f>IF('Barrier Grid'!AP28&gt;=3,1,0)</f>
        <v>0</v>
      </c>
      <c r="AX21" s="6"/>
      <c r="AY21" s="6"/>
      <c r="AZ21" s="376" t="s">
        <v>566</v>
      </c>
      <c r="BA21" s="6"/>
      <c r="BB21" s="6"/>
      <c r="BC21" s="6"/>
      <c r="BD21" s="6"/>
      <c r="BE21" s="6"/>
      <c r="BF21" s="6"/>
      <c r="BG21" s="6"/>
      <c r="BH21" s="6"/>
      <c r="BI21" s="6"/>
      <c r="BJ21" s="6"/>
      <c r="BK21" s="6"/>
      <c r="BL21" s="6"/>
      <c r="BM21" s="6"/>
      <c r="BN21" s="288"/>
      <c r="BO21" s="6"/>
      <c r="BP21" s="6"/>
      <c r="BQ21" s="6"/>
      <c r="BR21" s="6"/>
      <c r="BS21" s="6"/>
      <c r="BT21" s="6"/>
      <c r="BU21" s="6"/>
      <c r="BV21" s="358"/>
      <c r="BW21" s="11"/>
      <c r="BX21" s="11"/>
      <c r="BY21" s="11"/>
      <c r="BZ21" s="11"/>
      <c r="CA21" s="11"/>
      <c r="CB21" s="11"/>
      <c r="CC21" s="11"/>
      <c r="CD21" s="11"/>
      <c r="CE21" s="11"/>
      <c r="CF21" s="11"/>
      <c r="CG21" s="11"/>
      <c r="CH21" s="11"/>
      <c r="CI21" s="11"/>
      <c r="CJ21" s="11"/>
      <c r="CK21" s="11"/>
      <c r="CL21" s="11"/>
      <c r="CM21" s="11"/>
      <c r="CN21" s="11"/>
    </row>
    <row r="22" ht="15.75" customHeight="1">
      <c r="A22" s="386" t="s">
        <v>567</v>
      </c>
      <c r="Q22" s="387" t="str">
        <f>IF('Intraverbal 6.0'!BO27="@","",'Intraverbal 6.0'!BO27)</f>
        <v/>
      </c>
      <c r="R22" s="388" t="str">
        <f>IF(OR('Intraverbal 6.0'!$BO$27=1,'Intraverbal 6.0'!$BO$27=2,'Intraverbal 6.0'!$BO$27=3,'Intraverbal 6.0'!$BO$27=4,'Intraverbal 6.0'!$BO$27=5,'Intraverbal 6.0'!$BO$27=6,'Intraverbal 6.0'!$BO$27=7,'Intraverbal 6.0'!$BO$27=8,'Intraverbal 6.0'!$BO$27=9,'Intraverbal 6.0'!$BO$27=10),1,"")</f>
        <v/>
      </c>
      <c r="S22" s="389" t="str">
        <f>IF(OR('Intraverbal 6.0'!$BO$27=2,'Intraverbal 6.0'!$BO$27=3,'Intraverbal 6.0'!$BO$27=4,'Intraverbal 6.0'!$BO$27=5,'Intraverbal 6.0'!$BO$27=6,'Intraverbal 6.0'!$BO$27=7,'Intraverbal 6.0'!$BO$27=8,'Intraverbal 6.0'!$BO$27=9,'Intraverbal 6.0'!$BO$27=10),1,"")</f>
        <v/>
      </c>
      <c r="T22" s="389" t="str">
        <f>IF(OR('Intraverbal 6.0'!$BO$27=3,'Intraverbal 6.0'!$BO$27=4,'Intraverbal 6.0'!$BO$27=5,'Intraverbal 6.0'!$BO$27=6,'Intraverbal 6.0'!$BO$27=7,'Intraverbal 6.0'!$BO$27=8,'Intraverbal 6.0'!$BO$27=9,'Intraverbal 6.0'!$BO$27=10),1,"")</f>
        <v/>
      </c>
      <c r="U22" s="389" t="str">
        <f>IF(OR('Intraverbal 6.0'!$BO$27=4,'Intraverbal 6.0'!$BO$27=5,'Intraverbal 6.0'!$BO$27=6,'Intraverbal 6.0'!$BO$27=7,'Intraverbal 6.0'!$BO$27=8,'Intraverbal 6.0'!$BO$27=9,'Intraverbal 6.0'!$BO$27=10),1,"")</f>
        <v/>
      </c>
      <c r="V22" s="389" t="str">
        <f>IF(OR('Intraverbal 6.0'!$BO$27=5,'Intraverbal 6.0'!$BO$27=6,'Intraverbal 6.0'!$BO$27=7,'Intraverbal 6.0'!$BO$27=8,'Intraverbal 6.0'!$BO$27=9,'Intraverbal 6.0'!$BO$27=10),1,"")</f>
        <v/>
      </c>
      <c r="W22" s="389" t="str">
        <f>IF(OR('Intraverbal 6.0'!$BO$27=6,'Intraverbal 6.0'!$BO$27=7,'Intraverbal 6.0'!$BO$27=8,'Intraverbal 6.0'!$BO$27=9,'Intraverbal 6.0'!$BO$27=10),1,"")</f>
        <v/>
      </c>
      <c r="X22" s="389" t="str">
        <f>IF(OR('Intraverbal 6.0'!$BO$27=7,'Intraverbal 6.0'!$BO$27=8,'Intraverbal 6.0'!$BO$27=9,'Intraverbal 6.0'!$BO$27=10),1,"")</f>
        <v/>
      </c>
      <c r="Y22" s="389" t="str">
        <f>IF(OR('Intraverbal 6.0'!$BO$27=8,'Intraverbal 6.0'!$BO$27=9,'Intraverbal 6.0'!$BO$27=10),1,"")</f>
        <v/>
      </c>
      <c r="Z22" s="389" t="str">
        <f>IF(OR('Intraverbal 6.0'!$BO$27=9,'Intraverbal 6.0'!$BO$27=10),1,"")</f>
        <v/>
      </c>
      <c r="AA22" s="390" t="str">
        <f>IF('Intraverbal 6.0'!$BO$27=10,1,"")</f>
        <v/>
      </c>
      <c r="AB22" s="391"/>
      <c r="AC22" s="6"/>
      <c r="AD22" s="6"/>
      <c r="AE22" s="375" t="s">
        <v>568</v>
      </c>
      <c r="AF22" s="6"/>
      <c r="AG22" s="6"/>
      <c r="AH22" s="6"/>
      <c r="AI22" s="6"/>
      <c r="AJ22" s="6"/>
      <c r="AK22" s="6"/>
      <c r="AL22" s="6"/>
      <c r="AM22" s="6"/>
      <c r="AN22" s="6"/>
      <c r="AO22" s="6"/>
      <c r="AP22" s="6"/>
      <c r="AQ22" s="6"/>
      <c r="AR22" s="6"/>
      <c r="AS22" s="6"/>
      <c r="AT22" s="6"/>
      <c r="AU22" s="6"/>
      <c r="AV22" s="6"/>
      <c r="AW22" s="14">
        <f>IF('Barrier Grid'!AZ28&gt;=3,1,0)</f>
        <v>0</v>
      </c>
      <c r="AX22" s="6"/>
      <c r="AY22" s="6"/>
      <c r="AZ22" s="214" t="s">
        <v>569</v>
      </c>
      <c r="BA22" s="6"/>
      <c r="BB22" s="6"/>
      <c r="BC22" s="6"/>
      <c r="BD22" s="6"/>
      <c r="BE22" s="6"/>
      <c r="BF22" s="6"/>
      <c r="BG22" s="6"/>
      <c r="BH22" s="6"/>
      <c r="BI22" s="6"/>
      <c r="BJ22" s="6"/>
      <c r="BK22" s="6"/>
      <c r="BL22" s="6"/>
      <c r="BM22" s="6"/>
      <c r="BN22" s="288">
        <f>'Transition Grid'!L29</f>
        <v>0</v>
      </c>
      <c r="BO22" s="378" t="str">
        <f t="shared" ref="BO22:BO27" si="6">IF(OR(BN22=5,BN22=4,BN22=3,BN22=2,BN22=1),1,"")</f>
        <v/>
      </c>
      <c r="BP22" s="379" t="str">
        <f t="shared" ref="BP22:BP27" si="7">IF(OR(BN22=5,BN22=4,BN22=3,BN22=2),1,"")</f>
        <v/>
      </c>
      <c r="BQ22" s="379" t="str">
        <f t="shared" ref="BQ22:BQ27" si="8">IF(OR(BN22=5,BN22=4,BN22=3),1,"")</f>
        <v/>
      </c>
      <c r="BR22" s="379" t="str">
        <f t="shared" ref="BR22:BR27" si="9">IF(OR(BN22=5,BN22=4),1,"")</f>
        <v/>
      </c>
      <c r="BS22" s="380" t="str">
        <f t="shared" ref="BS22:BS27" si="10">IF(BN22=5,1,"")</f>
        <v/>
      </c>
      <c r="BT22" s="6"/>
      <c r="BU22" s="6"/>
      <c r="BV22" s="358"/>
      <c r="BW22" s="11"/>
      <c r="BX22" s="11"/>
      <c r="BY22" s="11"/>
      <c r="BZ22" s="11"/>
      <c r="CA22" s="11"/>
      <c r="CB22" s="11"/>
      <c r="CC22" s="11"/>
      <c r="CD22" s="11"/>
      <c r="CE22" s="11"/>
      <c r="CF22" s="11"/>
      <c r="CG22" s="11"/>
      <c r="CH22" s="11"/>
      <c r="CI22" s="11"/>
      <c r="CJ22" s="11"/>
      <c r="CK22" s="11"/>
      <c r="CL22" s="11"/>
      <c r="CM22" s="11"/>
      <c r="CN22" s="11"/>
    </row>
    <row r="23" ht="15.75" customHeight="1">
      <c r="A23" s="392"/>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375" t="s">
        <v>570</v>
      </c>
      <c r="AF23" s="6"/>
      <c r="AG23" s="6"/>
      <c r="AH23" s="6"/>
      <c r="AI23" s="6"/>
      <c r="AJ23" s="6"/>
      <c r="AK23" s="6"/>
      <c r="AL23" s="6"/>
      <c r="AM23" s="6"/>
      <c r="AN23" s="6"/>
      <c r="AO23" s="6"/>
      <c r="AP23" s="6"/>
      <c r="AQ23" s="6"/>
      <c r="AR23" s="6"/>
      <c r="AS23" s="6"/>
      <c r="AT23" s="6"/>
      <c r="AU23" s="6"/>
      <c r="AV23" s="6"/>
      <c r="AW23" s="14">
        <f>IF('Barrier Grid'!BJ28&gt;=3,1,0)</f>
        <v>0</v>
      </c>
      <c r="AX23" s="6"/>
      <c r="AY23" s="6"/>
      <c r="AZ23" s="214" t="s">
        <v>571</v>
      </c>
      <c r="BA23" s="6"/>
      <c r="BB23" s="6"/>
      <c r="BC23" s="6"/>
      <c r="BD23" s="6"/>
      <c r="BE23" s="6"/>
      <c r="BF23" s="6"/>
      <c r="BG23" s="6"/>
      <c r="BH23" s="6"/>
      <c r="BI23" s="6"/>
      <c r="BJ23" s="6"/>
      <c r="BK23" s="6"/>
      <c r="BL23" s="6"/>
      <c r="BM23" s="6"/>
      <c r="BN23" s="288">
        <f>'Transition Grid'!V29</f>
        <v>0</v>
      </c>
      <c r="BO23" s="378" t="str">
        <f t="shared" si="6"/>
        <v/>
      </c>
      <c r="BP23" s="379" t="str">
        <f t="shared" si="7"/>
        <v/>
      </c>
      <c r="BQ23" s="379" t="str">
        <f t="shared" si="8"/>
        <v/>
      </c>
      <c r="BR23" s="379" t="str">
        <f t="shared" si="9"/>
        <v/>
      </c>
      <c r="BS23" s="380" t="str">
        <f t="shared" si="10"/>
        <v/>
      </c>
      <c r="BT23" s="6"/>
      <c r="BU23" s="6"/>
      <c r="BV23" s="358"/>
      <c r="BW23" s="11"/>
      <c r="BX23" s="11"/>
      <c r="BY23" s="11"/>
      <c r="BZ23" s="11"/>
      <c r="CA23" s="11"/>
      <c r="CB23" s="11"/>
      <c r="CC23" s="11"/>
      <c r="CD23" s="11"/>
      <c r="CE23" s="11"/>
      <c r="CF23" s="11"/>
      <c r="CG23" s="11"/>
      <c r="CH23" s="11"/>
      <c r="CI23" s="11"/>
      <c r="CJ23" s="11"/>
      <c r="CK23" s="11"/>
      <c r="CL23" s="11"/>
      <c r="CM23" s="11"/>
      <c r="CN23" s="11"/>
    </row>
    <row r="24" ht="15.75" customHeight="1">
      <c r="A24" s="386" t="s">
        <v>572</v>
      </c>
      <c r="Q24" s="387" t="str">
        <f>IF('Intraverbal 6.0'!BO42="@","",'Intraverbal 6.0'!BO42)</f>
        <v/>
      </c>
      <c r="R24" s="388" t="str">
        <f>IF(OR('Intraverbal 6.0'!$BO$42=1,'Intraverbal 6.0'!$BO$42=2,'Intraverbal 6.0'!$BO$42=3,'Intraverbal 6.0'!$BO$42=4,'Intraverbal 6.0'!$BO$42=5,'Intraverbal 6.0'!$BO$42=6,'Intraverbal 6.0'!$BO$42=7,'Intraverbal 6.0'!$BO$42=8,'Intraverbal 6.0'!$BO$42=9,'Intraverbal 6.0'!$BO$42=10),1,"")</f>
        <v/>
      </c>
      <c r="S24" s="389" t="str">
        <f>IF(OR('Intraverbal 6.0'!$BO$42=2,'Intraverbal 6.0'!$BO$42=3,'Intraverbal 6.0'!$BO$42=4,'Intraverbal 6.0'!$BO$42=5,'Intraverbal 6.0'!$BO$42=6,'Intraverbal 6.0'!$BO$42=7,'Intraverbal 6.0'!$BO$42=8,'Intraverbal 6.0'!$BO$42=9,'Intraverbal 6.0'!$BO$42=10),1,"")</f>
        <v/>
      </c>
      <c r="T24" s="389" t="str">
        <f>IF(OR('Intraverbal 6.0'!$BO$42=3,'Intraverbal 6.0'!$BO$42=4,'Intraverbal 6.0'!$BO$42=5,'Intraverbal 6.0'!$BO$42=6,'Intraverbal 6.0'!$BO$42=7,'Intraverbal 6.0'!$BO$42=8,'Intraverbal 6.0'!$BO$42=9,'Intraverbal 6.0'!$BO$42=10),1,"")</f>
        <v/>
      </c>
      <c r="U24" s="389" t="str">
        <f>IF(OR('Intraverbal 6.0'!$BO$42=4,'Intraverbal 6.0'!$BO$42=5,'Intraverbal 6.0'!$BO$42=6,'Intraverbal 6.0'!$BO$42=7,'Intraverbal 6.0'!$BO$42=8,'Intraverbal 6.0'!$BO$42=9,'Intraverbal 6.0'!$BO$42=10),1,"")</f>
        <v/>
      </c>
      <c r="V24" s="389" t="str">
        <f>IF(OR('Intraverbal 6.0'!$BO$42=5,'Intraverbal 6.0'!$BO$42=6,'Intraverbal 6.0'!$BO$42=7,'Intraverbal 6.0'!$BO$42=8,'Intraverbal 6.0'!$BO$42=9,'Intraverbal 6.0'!$BO$42=10),1,"")</f>
        <v/>
      </c>
      <c r="W24" s="389" t="str">
        <f>IF(OR('Intraverbal 6.0'!$BO$42=6,'Intraverbal 6.0'!$BO$42=7,'Intraverbal 6.0'!$BO$42=8,'Intraverbal 6.0'!$BO$42=9,'Intraverbal 6.0'!$BO$42=10),1,"")</f>
        <v/>
      </c>
      <c r="X24" s="389" t="str">
        <f>IF(OR('Intraverbal 6.0'!$BO$42=7,'Intraverbal 6.0'!$BO$42=8,'Intraverbal 6.0'!$BO$42=9,'Intraverbal 6.0'!$BO$42=10),1,"")</f>
        <v/>
      </c>
      <c r="Y24" s="389" t="str">
        <f>IF(OR('Intraverbal 6.0'!$BO$42=8,'Intraverbal 6.0'!$BO$42=9,'Intraverbal 6.0'!$BO$42=10),1,"")</f>
        <v/>
      </c>
      <c r="Z24" s="389" t="str">
        <f>IF(OR('Intraverbal 6.0'!$BO$42=9,'Intraverbal 6.0'!$BO$42=10),1,"")</f>
        <v/>
      </c>
      <c r="AA24" s="390" t="str">
        <f>IF('Intraverbal 6.0'!$BO$42=10,1,"")</f>
        <v/>
      </c>
      <c r="AB24" s="391"/>
      <c r="AC24" s="6"/>
      <c r="AD24" s="6"/>
      <c r="AE24" s="375" t="s">
        <v>573</v>
      </c>
      <c r="AF24" s="6"/>
      <c r="AG24" s="6"/>
      <c r="AH24" s="6"/>
      <c r="AI24" s="6"/>
      <c r="AJ24" s="6"/>
      <c r="AK24" s="6"/>
      <c r="AL24" s="6"/>
      <c r="AM24" s="6"/>
      <c r="AN24" s="6"/>
      <c r="AO24" s="6"/>
      <c r="AP24" s="6"/>
      <c r="AQ24" s="6"/>
      <c r="AR24" s="6"/>
      <c r="AS24" s="6"/>
      <c r="AT24" s="6"/>
      <c r="AU24" s="6"/>
      <c r="AV24" s="6"/>
      <c r="AW24" s="14">
        <f>IF('Barrier Grid'!L43&gt;=3,1,0)</f>
        <v>0</v>
      </c>
      <c r="AX24" s="6"/>
      <c r="AY24" s="6"/>
      <c r="AZ24" s="214" t="s">
        <v>574</v>
      </c>
      <c r="BA24" s="6"/>
      <c r="BB24" s="6"/>
      <c r="BC24" s="6"/>
      <c r="BD24" s="6"/>
      <c r="BE24" s="6"/>
      <c r="BF24" s="6"/>
      <c r="BG24" s="6"/>
      <c r="BH24" s="6"/>
      <c r="BI24" s="6"/>
      <c r="BJ24" s="6"/>
      <c r="BK24" s="6"/>
      <c r="BL24" s="6"/>
      <c r="BM24" s="6"/>
      <c r="BN24" s="288">
        <f>'Transition Grid'!AF29</f>
        <v>0</v>
      </c>
      <c r="BO24" s="378" t="str">
        <f t="shared" si="6"/>
        <v/>
      </c>
      <c r="BP24" s="379" t="str">
        <f t="shared" si="7"/>
        <v/>
      </c>
      <c r="BQ24" s="379" t="str">
        <f t="shared" si="8"/>
        <v/>
      </c>
      <c r="BR24" s="379" t="str">
        <f t="shared" si="9"/>
        <v/>
      </c>
      <c r="BS24" s="380" t="str">
        <f t="shared" si="10"/>
        <v/>
      </c>
      <c r="BT24" s="6"/>
      <c r="BU24" s="6"/>
      <c r="BV24" s="358"/>
      <c r="BW24" s="11"/>
      <c r="BX24" s="11"/>
      <c r="BY24" s="11"/>
      <c r="BZ24" s="11"/>
      <c r="CA24" s="11"/>
      <c r="CB24" s="11"/>
      <c r="CC24" s="11"/>
      <c r="CD24" s="11"/>
      <c r="CE24" s="11"/>
      <c r="CF24" s="11"/>
      <c r="CG24" s="11"/>
      <c r="CH24" s="11"/>
      <c r="CI24" s="11"/>
      <c r="CJ24" s="11"/>
      <c r="CK24" s="11"/>
      <c r="CL24" s="11"/>
      <c r="CM24" s="11"/>
      <c r="CN24" s="11"/>
    </row>
    <row r="25" ht="15.75" customHeight="1">
      <c r="A25" s="392"/>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375" t="s">
        <v>575</v>
      </c>
      <c r="AF25" s="6"/>
      <c r="AG25" s="6"/>
      <c r="AH25" s="6"/>
      <c r="AI25" s="6"/>
      <c r="AJ25" s="6"/>
      <c r="AK25" s="6"/>
      <c r="AL25" s="6"/>
      <c r="AM25" s="6"/>
      <c r="AN25" s="6"/>
      <c r="AO25" s="6"/>
      <c r="AP25" s="6"/>
      <c r="AQ25" s="6"/>
      <c r="AR25" s="6"/>
      <c r="AS25" s="6"/>
      <c r="AT25" s="6"/>
      <c r="AU25" s="6"/>
      <c r="AV25" s="6"/>
      <c r="AW25" s="14">
        <f>IF('Barrier Grid'!V43&gt;=3,1,0)</f>
        <v>0</v>
      </c>
      <c r="AX25" s="6"/>
      <c r="AY25" s="6"/>
      <c r="AZ25" s="214" t="s">
        <v>576</v>
      </c>
      <c r="BA25" s="6"/>
      <c r="BB25" s="6"/>
      <c r="BC25" s="6"/>
      <c r="BD25" s="6"/>
      <c r="BE25" s="6"/>
      <c r="BF25" s="6"/>
      <c r="BG25" s="6"/>
      <c r="BH25" s="6"/>
      <c r="BI25" s="6"/>
      <c r="BJ25" s="6"/>
      <c r="BK25" s="6"/>
      <c r="BL25" s="6"/>
      <c r="BM25" s="6"/>
      <c r="BN25" s="288">
        <f>'Transition Grid'!AP29</f>
        <v>0</v>
      </c>
      <c r="BO25" s="378" t="str">
        <f t="shared" si="6"/>
        <v/>
      </c>
      <c r="BP25" s="379" t="str">
        <f t="shared" si="7"/>
        <v/>
      </c>
      <c r="BQ25" s="379" t="str">
        <f t="shared" si="8"/>
        <v/>
      </c>
      <c r="BR25" s="379" t="str">
        <f t="shared" si="9"/>
        <v/>
      </c>
      <c r="BS25" s="380" t="str">
        <f t="shared" si="10"/>
        <v/>
      </c>
      <c r="BT25" s="6"/>
      <c r="BU25" s="6"/>
      <c r="BV25" s="358"/>
      <c r="BW25" s="11"/>
      <c r="BX25" s="11"/>
      <c r="BY25" s="11"/>
      <c r="BZ25" s="11"/>
      <c r="CA25" s="11"/>
      <c r="CB25" s="11"/>
      <c r="CC25" s="11"/>
      <c r="CD25" s="11"/>
      <c r="CE25" s="11"/>
      <c r="CF25" s="11"/>
      <c r="CG25" s="11"/>
      <c r="CH25" s="11"/>
      <c r="CI25" s="11"/>
      <c r="CJ25" s="11"/>
      <c r="CK25" s="11"/>
      <c r="CL25" s="11"/>
      <c r="CM25" s="11"/>
      <c r="CN25" s="11"/>
    </row>
    <row r="26" ht="15.75" customHeight="1">
      <c r="A26" s="386" t="s">
        <v>577</v>
      </c>
      <c r="Q26" s="387" t="str">
        <f>IF('Intraverbal 6.0'!BO55="@","",'Intraverbal 6.0'!BO55)</f>
        <v/>
      </c>
      <c r="R26" s="388" t="str">
        <f>IF(OR('Intraverbal 6.0'!$BO$55=1,'Intraverbal 6.0'!$BO$55=2,'Intraverbal 6.0'!$BO$55=3,'Intraverbal 6.0'!$BO$55=4,'Intraverbal 6.0'!$BO$55=5,'Intraverbal 6.0'!$BO$55=6,'Intraverbal 6.0'!$BO$55=7,'Intraverbal 6.0'!$BO$55=8,'Intraverbal 6.0'!$BO$55=9,'Intraverbal 6.0'!$BO$55=10),1,"")</f>
        <v/>
      </c>
      <c r="S26" s="389" t="str">
        <f>IF(OR('Intraverbal 6.0'!$BO$55=2,'Intraverbal 6.0'!$BO$55=3,'Intraverbal 6.0'!$BO$55=4,'Intraverbal 6.0'!$BO$55=5,'Intraverbal 6.0'!$BO$55=6,'Intraverbal 6.0'!$BO$55=7,'Intraverbal 6.0'!$BO$55=8,'Intraverbal 6.0'!$BO$55=9,'Intraverbal 6.0'!$BO$55=10),1,"")</f>
        <v/>
      </c>
      <c r="T26" s="389" t="str">
        <f>IF(OR('Intraverbal 6.0'!$BO$55=3,'Intraverbal 6.0'!$BO$55=4,'Intraverbal 6.0'!$BO$55=5,'Intraverbal 6.0'!$BO$55=6,'Intraverbal 6.0'!$BO$55=7,'Intraverbal 6.0'!$BO$55=8,'Intraverbal 6.0'!$BO$55=9,'Intraverbal 6.0'!$BO$55=10),1,"")</f>
        <v/>
      </c>
      <c r="U26" s="389" t="str">
        <f>IF(OR('Intraverbal 6.0'!$BO$55=4,'Intraverbal 6.0'!$BO$55=5,'Intraverbal 6.0'!$BO$55=6,'Intraverbal 6.0'!$BO$55=7,'Intraverbal 6.0'!$BO$55=8,'Intraverbal 6.0'!$BO$55=9,'Intraverbal 6.0'!$BO$55=10),1,"")</f>
        <v/>
      </c>
      <c r="V26" s="389" t="str">
        <f>IF(OR('Intraverbal 6.0'!$BO$55=5,'Intraverbal 6.0'!$BO$55=6,'Intraverbal 6.0'!$BO$55=7,'Intraverbal 6.0'!$BO$55=8,'Intraverbal 6.0'!$BO$55=9,'Intraverbal 6.0'!$BO$55=10),1,"")</f>
        <v/>
      </c>
      <c r="W26" s="389" t="str">
        <f>IF(OR('Intraverbal 6.0'!$BO$55=6,'Intraverbal 6.0'!$BO$55=7,'Intraverbal 6.0'!$BO$55=8,'Intraverbal 6.0'!$BO$55=9,'Intraverbal 6.0'!$BO$55=10),1,"")</f>
        <v/>
      </c>
      <c r="X26" s="389" t="str">
        <f>IF(OR('Intraverbal 6.0'!$BO$55=7,'Intraverbal 6.0'!$BO$55=8,'Intraverbal 6.0'!$BO$55=9,'Intraverbal 6.0'!$BO$55=10),1,"")</f>
        <v/>
      </c>
      <c r="Y26" s="389" t="str">
        <f>IF(OR('Intraverbal 6.0'!$BO$55=8,'Intraverbal 6.0'!$BO$55=9,'Intraverbal 6.0'!$BO$55=10),1,"")</f>
        <v/>
      </c>
      <c r="Z26" s="389" t="str">
        <f>IF(OR('Intraverbal 6.0'!$BO$55=9,'Intraverbal 6.0'!$BO$55=10),1,"")</f>
        <v/>
      </c>
      <c r="AA26" s="390" t="str">
        <f>IF('Intraverbal 6.0'!$BO$55=10,1,"")</f>
        <v/>
      </c>
      <c r="AB26" s="391"/>
      <c r="AC26" s="6"/>
      <c r="AD26" s="6"/>
      <c r="AE26" s="375" t="s">
        <v>578</v>
      </c>
      <c r="AF26" s="6"/>
      <c r="AG26" s="6"/>
      <c r="AH26" s="6"/>
      <c r="AI26" s="6"/>
      <c r="AJ26" s="6"/>
      <c r="AK26" s="6"/>
      <c r="AL26" s="6"/>
      <c r="AM26" s="6"/>
      <c r="AN26" s="6"/>
      <c r="AO26" s="6"/>
      <c r="AP26" s="6"/>
      <c r="AQ26" s="6"/>
      <c r="AR26" s="6"/>
      <c r="AS26" s="6"/>
      <c r="AT26" s="6"/>
      <c r="AU26" s="6"/>
      <c r="AV26" s="6"/>
      <c r="AW26" s="14">
        <f>IF('Barrier Grid'!AF43&gt;=3,1,0)</f>
        <v>0</v>
      </c>
      <c r="AX26" s="6"/>
      <c r="AY26" s="6"/>
      <c r="AZ26" s="214" t="s">
        <v>579</v>
      </c>
      <c r="BA26" s="6"/>
      <c r="BB26" s="6"/>
      <c r="BC26" s="6"/>
      <c r="BD26" s="6"/>
      <c r="BE26" s="6"/>
      <c r="BF26" s="6"/>
      <c r="BG26" s="6"/>
      <c r="BH26" s="6"/>
      <c r="BI26" s="6"/>
      <c r="BJ26" s="6"/>
      <c r="BK26" s="6"/>
      <c r="BL26" s="6"/>
      <c r="BM26" s="6"/>
      <c r="BN26" s="288">
        <f>'Transition Grid'!AZ29</f>
        <v>0</v>
      </c>
      <c r="BO26" s="378" t="str">
        <f t="shared" si="6"/>
        <v/>
      </c>
      <c r="BP26" s="379" t="str">
        <f t="shared" si="7"/>
        <v/>
      </c>
      <c r="BQ26" s="379" t="str">
        <f t="shared" si="8"/>
        <v/>
      </c>
      <c r="BR26" s="379" t="str">
        <f t="shared" si="9"/>
        <v/>
      </c>
      <c r="BS26" s="380" t="str">
        <f t="shared" si="10"/>
        <v/>
      </c>
      <c r="BT26" s="6"/>
      <c r="BU26" s="6"/>
      <c r="BV26" s="358"/>
      <c r="BW26" s="11"/>
      <c r="BX26" s="11"/>
      <c r="BY26" s="11"/>
      <c r="BZ26" s="11"/>
      <c r="CA26" s="11"/>
      <c r="CB26" s="11"/>
      <c r="CC26" s="11"/>
      <c r="CD26" s="11"/>
      <c r="CE26" s="11"/>
      <c r="CF26" s="11"/>
      <c r="CG26" s="11"/>
      <c r="CH26" s="11"/>
      <c r="CI26" s="11"/>
      <c r="CJ26" s="11"/>
      <c r="CK26" s="11"/>
      <c r="CL26" s="11"/>
      <c r="CM26" s="11"/>
      <c r="CN26" s="11"/>
    </row>
    <row r="27" ht="15.75" customHeight="1">
      <c r="A27" s="392"/>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375" t="s">
        <v>580</v>
      </c>
      <c r="AF27" s="6"/>
      <c r="AG27" s="6"/>
      <c r="AH27" s="6"/>
      <c r="AI27" s="6"/>
      <c r="AJ27" s="6"/>
      <c r="AK27" s="6"/>
      <c r="AL27" s="6"/>
      <c r="AM27" s="6"/>
      <c r="AN27" s="6"/>
      <c r="AO27" s="6"/>
      <c r="AP27" s="6"/>
      <c r="AQ27" s="6"/>
      <c r="AR27" s="6"/>
      <c r="AS27" s="6"/>
      <c r="AT27" s="6"/>
      <c r="AU27" s="6"/>
      <c r="AV27" s="6"/>
      <c r="AW27" s="14">
        <f>IF('Barrier Grid'!AP43&gt;=3,1,0)</f>
        <v>0</v>
      </c>
      <c r="AX27" s="6"/>
      <c r="AY27" s="6"/>
      <c r="AZ27" s="214" t="s">
        <v>581</v>
      </c>
      <c r="BA27" s="6"/>
      <c r="BB27" s="6"/>
      <c r="BC27" s="6"/>
      <c r="BD27" s="6"/>
      <c r="BE27" s="6"/>
      <c r="BF27" s="6"/>
      <c r="BG27" s="6"/>
      <c r="BH27" s="6"/>
      <c r="BI27" s="6"/>
      <c r="BJ27" s="6"/>
      <c r="BK27" s="6"/>
      <c r="BL27" s="6"/>
      <c r="BM27" s="6"/>
      <c r="BN27" s="288">
        <f>'Transition Grid'!BJ29</f>
        <v>0</v>
      </c>
      <c r="BO27" s="378" t="str">
        <f t="shared" si="6"/>
        <v/>
      </c>
      <c r="BP27" s="379" t="str">
        <f t="shared" si="7"/>
        <v/>
      </c>
      <c r="BQ27" s="379" t="str">
        <f t="shared" si="8"/>
        <v/>
      </c>
      <c r="BR27" s="379" t="str">
        <f t="shared" si="9"/>
        <v/>
      </c>
      <c r="BS27" s="380" t="str">
        <f t="shared" si="10"/>
        <v/>
      </c>
      <c r="BT27" s="6"/>
      <c r="BU27" s="6"/>
      <c r="BV27" s="358"/>
      <c r="BW27" s="11"/>
      <c r="BX27" s="11"/>
      <c r="BY27" s="11"/>
      <c r="BZ27" s="11"/>
      <c r="CA27" s="11"/>
      <c r="CB27" s="11"/>
      <c r="CC27" s="11"/>
      <c r="CD27" s="11"/>
      <c r="CE27" s="11"/>
      <c r="CF27" s="11"/>
      <c r="CG27" s="11"/>
      <c r="CH27" s="11"/>
      <c r="CI27" s="11"/>
      <c r="CJ27" s="11"/>
      <c r="CK27" s="11"/>
      <c r="CL27" s="11"/>
      <c r="CM27" s="11"/>
      <c r="CN27" s="11"/>
    </row>
    <row r="28" ht="15.75" customHeight="1">
      <c r="A28" s="386" t="s">
        <v>582</v>
      </c>
      <c r="Q28" s="387" t="str">
        <f>IF('Intraverbal 6.0'!BO68="@","",'Intraverbal 6.0'!BO68)</f>
        <v/>
      </c>
      <c r="R28" s="388" t="str">
        <f>IF(OR('Intraverbal 6.0'!$BO$68=1,'Intraverbal 6.0'!$BO$68=2,'Intraverbal 6.0'!$BO$68=3,'Intraverbal 6.0'!$BO$68=4,'Intraverbal 6.0'!$BO$68=5,'Intraverbal 6.0'!$BO$68=6,'Intraverbal 6.0'!$BO$68=7,'Intraverbal 6.0'!$BO$68=8,'Intraverbal 6.0'!$BO$68=9,'Intraverbal 6.0'!$BO$68=10),1,"")</f>
        <v/>
      </c>
      <c r="S28" s="389" t="str">
        <f>IF(OR('Intraverbal 6.0'!$BO$68=2,'Intraverbal 6.0'!$BO$68=3,'Intraverbal 6.0'!$BO$68=4,'Intraverbal 6.0'!$BO$68=5,'Intraverbal 6.0'!$BO$68=6,'Intraverbal 6.0'!$BO$68=7,'Intraverbal 6.0'!$BO$68=8,'Intraverbal 6.0'!$BO$68=9,'Intraverbal 6.0'!$BO$68=10),1,"")</f>
        <v/>
      </c>
      <c r="T28" s="389" t="str">
        <f>IF(OR('Intraverbal 6.0'!$BO$68=3,'Intraverbal 6.0'!$BO$68=4,'Intraverbal 6.0'!$BO$68=5,'Intraverbal 6.0'!$BO$68=6,'Intraverbal 6.0'!$BO$68=7,'Intraverbal 6.0'!$BO$68=8,'Intraverbal 6.0'!$BO$68=9,'Intraverbal 6.0'!$BO$68=10),1,"")</f>
        <v/>
      </c>
      <c r="U28" s="389" t="str">
        <f>IF(OR('Intraverbal 6.0'!$BO$68=4,'Intraverbal 6.0'!$BO$68=5,'Intraverbal 6.0'!$BO$68=6,'Intraverbal 6.0'!$BO$68=7,'Intraverbal 6.0'!$BO$68=8,'Intraverbal 6.0'!$BO$68=9,'Intraverbal 6.0'!$BO$68=10),1,"")</f>
        <v/>
      </c>
      <c r="V28" s="389" t="str">
        <f>IF(OR('Intraverbal 6.0'!$BO$68=5,'Intraverbal 6.0'!$BO$68=6,'Intraverbal 6.0'!$BO$68=7,'Intraverbal 6.0'!$BO$68=8,'Intraverbal 6.0'!$BO$68=9,'Intraverbal 6.0'!$BO$68=10),1,"")</f>
        <v/>
      </c>
      <c r="W28" s="389" t="str">
        <f>IF(OR('Intraverbal 6.0'!$BO$68=6,'Intraverbal 6.0'!$BO$68=7,'Intraverbal 6.0'!$BO$68=8,'Intraverbal 6.0'!$BO$68=9,'Intraverbal 6.0'!$BO$68=10),1,"")</f>
        <v/>
      </c>
      <c r="X28" s="389" t="str">
        <f>IF(OR('Intraverbal 6.0'!$BO$68=7,'Intraverbal 6.0'!$BO$68=8,'Intraverbal 6.0'!$BO$68=9,'Intraverbal 6.0'!$BO$68=10),1,"")</f>
        <v/>
      </c>
      <c r="Y28" s="389" t="str">
        <f>IF(OR('Intraverbal 6.0'!$BO$68=8,'Intraverbal 6.0'!$BO$68=9,'Intraverbal 6.0'!$BO$68=10),1,"")</f>
        <v/>
      </c>
      <c r="Z28" s="389" t="str">
        <f>IF(OR('Intraverbal 6.0'!$BO$68=9,'Intraverbal 6.0'!$BO$68=10),1,"")</f>
        <v/>
      </c>
      <c r="AA28" s="390" t="str">
        <f>IF('Intraverbal 6.0'!$BO$68=10,1,"")</f>
        <v/>
      </c>
      <c r="AB28" s="391"/>
      <c r="AC28" s="6"/>
      <c r="AD28" s="6"/>
      <c r="AE28" s="375" t="s">
        <v>583</v>
      </c>
      <c r="AF28" s="6"/>
      <c r="AG28" s="6"/>
      <c r="AH28" s="6"/>
      <c r="AI28" s="6"/>
      <c r="AJ28" s="6"/>
      <c r="AK28" s="6"/>
      <c r="AL28" s="6"/>
      <c r="AM28" s="6"/>
      <c r="AN28" s="6"/>
      <c r="AO28" s="6"/>
      <c r="AP28" s="6"/>
      <c r="AQ28" s="6"/>
      <c r="AR28" s="6"/>
      <c r="AS28" s="6"/>
      <c r="AT28" s="6"/>
      <c r="AU28" s="6"/>
      <c r="AV28" s="6"/>
      <c r="AW28" s="14">
        <f>IF('Barrier Grid'!AZ43&gt;=3,1,0)</f>
        <v>0</v>
      </c>
      <c r="AX28" s="6"/>
      <c r="AY28" s="6"/>
      <c r="AZ28" s="6"/>
      <c r="BA28" s="6"/>
      <c r="BB28" s="6"/>
      <c r="BC28" s="6"/>
      <c r="BD28" s="6"/>
      <c r="BE28" s="6"/>
      <c r="BF28" s="6"/>
      <c r="BG28" s="6"/>
      <c r="BH28" s="6"/>
      <c r="BI28" s="383" t="str">
        <f>IF(BM28="@","","Total:")</f>
        <v/>
      </c>
      <c r="BM28" s="384" t="str">
        <f>IF(SUM(BN22:BN27)=0,"@",SUM(BN22:BN27)&amp;" out of 30")</f>
        <v>@</v>
      </c>
      <c r="BT28" s="6"/>
      <c r="BU28" s="6"/>
      <c r="BV28" s="358"/>
      <c r="BW28" s="11"/>
      <c r="BX28" s="11"/>
      <c r="BY28" s="11"/>
      <c r="BZ28" s="11"/>
      <c r="CA28" s="11"/>
      <c r="CB28" s="11"/>
      <c r="CC28" s="11"/>
      <c r="CD28" s="11"/>
      <c r="CE28" s="11"/>
      <c r="CF28" s="11"/>
      <c r="CG28" s="11"/>
      <c r="CH28" s="11"/>
      <c r="CI28" s="11"/>
      <c r="CJ28" s="11"/>
      <c r="CK28" s="11"/>
      <c r="CL28" s="11"/>
      <c r="CM28" s="11"/>
      <c r="CN28" s="11"/>
    </row>
    <row r="29" ht="15.75" customHeight="1">
      <c r="A29" s="392"/>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375" t="s">
        <v>584</v>
      </c>
      <c r="AF29" s="6"/>
      <c r="AG29" s="6"/>
      <c r="AH29" s="6"/>
      <c r="AI29" s="6"/>
      <c r="AJ29" s="6"/>
      <c r="AK29" s="6"/>
      <c r="AL29" s="6"/>
      <c r="AM29" s="6"/>
      <c r="AN29" s="6"/>
      <c r="AO29" s="6"/>
      <c r="AP29" s="6"/>
      <c r="AQ29" s="6"/>
      <c r="AR29" s="6"/>
      <c r="AS29" s="6"/>
      <c r="AT29" s="6"/>
      <c r="AU29" s="6"/>
      <c r="AV29" s="6"/>
      <c r="AW29" s="14">
        <f>IF('Barrier Grid'!BJ43&gt;=3,1,0)</f>
        <v>0</v>
      </c>
      <c r="AX29" s="6"/>
      <c r="AY29" s="6"/>
      <c r="AZ29" s="6"/>
      <c r="BA29" s="6"/>
      <c r="BB29" s="6"/>
      <c r="BC29" s="6"/>
      <c r="BD29" s="6"/>
      <c r="BE29" s="6"/>
      <c r="BF29" s="6"/>
      <c r="BG29" s="6"/>
      <c r="BH29" s="6"/>
      <c r="BI29" s="6"/>
      <c r="BJ29" s="6"/>
      <c r="BK29" s="6"/>
      <c r="BL29" s="6"/>
      <c r="BM29" s="6"/>
      <c r="BN29" s="288"/>
      <c r="BO29" s="6"/>
      <c r="BP29" s="6"/>
      <c r="BQ29" s="6"/>
      <c r="BR29" s="6"/>
      <c r="BS29" s="6"/>
      <c r="BT29" s="6"/>
      <c r="BU29" s="6"/>
      <c r="BV29" s="358"/>
      <c r="BW29" s="11"/>
      <c r="BX29" s="11"/>
      <c r="BY29" s="11"/>
      <c r="BZ29" s="11"/>
      <c r="CA29" s="11"/>
      <c r="CB29" s="11"/>
      <c r="CC29" s="11"/>
      <c r="CD29" s="11"/>
      <c r="CE29" s="11"/>
      <c r="CF29" s="11"/>
      <c r="CG29" s="11"/>
      <c r="CH29" s="11"/>
      <c r="CI29" s="11"/>
      <c r="CJ29" s="11"/>
      <c r="CK29" s="11"/>
      <c r="CL29" s="11"/>
      <c r="CM29" s="11"/>
      <c r="CN29" s="11"/>
    </row>
    <row r="30" ht="15.75" customHeight="1">
      <c r="A30" s="386" t="s">
        <v>585</v>
      </c>
      <c r="Q30" s="387" t="str">
        <f>IF('Intraverbal 6.0'!BO81="@","",'Intraverbal 6.0'!BO81)</f>
        <v/>
      </c>
      <c r="R30" s="388" t="str">
        <f>IF(OR('Intraverbal 6.0'!$BO$81=1,'Intraverbal 6.0'!$BO$81=2,'Intraverbal 6.0'!$BO$81=3,'Intraverbal 6.0'!$BO$81=4,'Intraverbal 6.0'!$BO$81=5,'Intraverbal 6.0'!$BO$81=6,'Intraverbal 6.0'!$BO$81=7,'Intraverbal 6.0'!$BO$81=8,'Intraverbal 6.0'!$BO$81=9,'Intraverbal 6.0'!$BO$81=10),1,"")</f>
        <v/>
      </c>
      <c r="S30" s="389" t="str">
        <f>IF(OR('Intraverbal 6.0'!$BO$81=2,'Intraverbal 6.0'!$BO$81=3,'Intraverbal 6.0'!$BO$81=4,'Intraverbal 6.0'!$BO$81=5,'Intraverbal 6.0'!$BO$81=6,'Intraverbal 6.0'!$BO$81=7,'Intraverbal 6.0'!$BO$81=8,'Intraverbal 6.0'!$BO$81=9,'Intraverbal 6.0'!$BO$81=10),1,"")</f>
        <v/>
      </c>
      <c r="T30" s="389" t="str">
        <f>IF(OR('Intraverbal 6.0'!$BO$81=3,'Intraverbal 6.0'!$BO$81=4,'Intraverbal 6.0'!$BO$81=5,'Intraverbal 6.0'!$BO$81=6,'Intraverbal 6.0'!$BO$81=7,'Intraverbal 6.0'!$BO$81=8,'Intraverbal 6.0'!$BO$81=9,'Intraverbal 6.0'!$BO$81=10),1,"")</f>
        <v/>
      </c>
      <c r="U30" s="389" t="str">
        <f>IF(OR('Intraverbal 6.0'!$BO$81=4,'Intraverbal 6.0'!$BO$81=5,'Intraverbal 6.0'!$BO$81=6,'Intraverbal 6.0'!$BO$81=7,'Intraverbal 6.0'!$BO$81=8,'Intraverbal 6.0'!$BO$81=9,'Intraverbal 6.0'!$BO$81=10),1,"")</f>
        <v/>
      </c>
      <c r="V30" s="389" t="str">
        <f>IF(OR('Intraverbal 6.0'!$BO$81=5,'Intraverbal 6.0'!$BO$81=6,'Intraverbal 6.0'!$BO$81=7,'Intraverbal 6.0'!$BO$81=8,'Intraverbal 6.0'!$BO$81=9,'Intraverbal 6.0'!$BO$81=10),1,"")</f>
        <v/>
      </c>
      <c r="W30" s="389" t="str">
        <f>IF(OR('Intraverbal 6.0'!$BO$81=6,'Intraverbal 6.0'!$BO$81=7,'Intraverbal 6.0'!$BO$81=8,'Intraverbal 6.0'!$BO$81=9,'Intraverbal 6.0'!$BO$81=10),1,"")</f>
        <v/>
      </c>
      <c r="X30" s="389" t="str">
        <f>IF(OR('Intraverbal 6.0'!$BO$81=7,'Intraverbal 6.0'!$BO$81=8,'Intraverbal 6.0'!$BO$81=9,'Intraverbal 6.0'!$BO$81=10),1,"")</f>
        <v/>
      </c>
      <c r="Y30" s="389" t="str">
        <f>IF(OR('Intraverbal 6.0'!$BO$81=8,'Intraverbal 6.0'!$BO$81=9,'Intraverbal 6.0'!$BO$81=10),1,"")</f>
        <v/>
      </c>
      <c r="Z30" s="389" t="str">
        <f>IF(OR('Intraverbal 6.0'!$BO$81=9,'Intraverbal 6.0'!$BO$81=10),1,"")</f>
        <v/>
      </c>
      <c r="AA30" s="390" t="str">
        <f>IF('Intraverbal 6.0'!$BO$81=10,1,"")</f>
        <v/>
      </c>
      <c r="AB30" s="391"/>
      <c r="AC30" s="6"/>
      <c r="AD30" s="6"/>
      <c r="AE30" s="375" t="s">
        <v>586</v>
      </c>
      <c r="AF30" s="6"/>
      <c r="AG30" s="6"/>
      <c r="AH30" s="6"/>
      <c r="AI30" s="6"/>
      <c r="AJ30" s="6"/>
      <c r="AK30" s="6"/>
      <c r="AL30" s="6"/>
      <c r="AM30" s="6"/>
      <c r="AN30" s="6"/>
      <c r="AO30" s="6"/>
      <c r="AP30" s="6"/>
      <c r="AQ30" s="6"/>
      <c r="AR30" s="6"/>
      <c r="AS30" s="6"/>
      <c r="AT30" s="6"/>
      <c r="AU30" s="6"/>
      <c r="AV30" s="6"/>
      <c r="AW30" s="14">
        <f>IF('Barrier Grid'!L58&gt;=3,1,0)</f>
        <v>0</v>
      </c>
      <c r="AX30" s="6"/>
      <c r="AY30" s="6"/>
      <c r="AZ30" s="376" t="s">
        <v>587</v>
      </c>
      <c r="BA30" s="6"/>
      <c r="BB30" s="6"/>
      <c r="BC30" s="6"/>
      <c r="BD30" s="6"/>
      <c r="BE30" s="6"/>
      <c r="BF30" s="6"/>
      <c r="BG30" s="6"/>
      <c r="BH30" s="6"/>
      <c r="BI30" s="6"/>
      <c r="BJ30" s="6"/>
      <c r="BK30" s="6"/>
      <c r="BL30" s="6"/>
      <c r="BM30" s="6"/>
      <c r="BN30" s="288"/>
      <c r="BO30" s="6"/>
      <c r="BP30" s="6"/>
      <c r="BQ30" s="6"/>
      <c r="BR30" s="6"/>
      <c r="BS30" s="6"/>
      <c r="BT30" s="6"/>
      <c r="BU30" s="6"/>
      <c r="BV30" s="358"/>
      <c r="BW30" s="11"/>
      <c r="BX30" s="11"/>
      <c r="BY30" s="11"/>
      <c r="BZ30" s="11"/>
      <c r="CA30" s="11"/>
      <c r="CB30" s="11"/>
      <c r="CC30" s="11"/>
      <c r="CD30" s="11"/>
      <c r="CE30" s="11"/>
      <c r="CF30" s="11"/>
      <c r="CG30" s="11"/>
      <c r="CH30" s="11"/>
      <c r="CI30" s="11"/>
      <c r="CJ30" s="11"/>
      <c r="CK30" s="11"/>
      <c r="CL30" s="11"/>
      <c r="CM30" s="11"/>
      <c r="CN30" s="11"/>
    </row>
    <row r="31" ht="15.75" customHeight="1">
      <c r="A31" s="392"/>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375" t="s">
        <v>588</v>
      </c>
      <c r="AF31" s="6"/>
      <c r="AG31" s="6"/>
      <c r="AH31" s="6"/>
      <c r="AI31" s="6"/>
      <c r="AJ31" s="6"/>
      <c r="AK31" s="6"/>
      <c r="AL31" s="6"/>
      <c r="AM31" s="6"/>
      <c r="AN31" s="6"/>
      <c r="AO31" s="6"/>
      <c r="AP31" s="6"/>
      <c r="AQ31" s="6"/>
      <c r="AR31" s="6"/>
      <c r="AS31" s="6"/>
      <c r="AT31" s="6"/>
      <c r="AU31" s="6"/>
      <c r="AV31" s="6"/>
      <c r="AW31" s="14">
        <f>IF('Barrier Grid'!V58&gt;=3,1,0)</f>
        <v>0</v>
      </c>
      <c r="AX31" s="6"/>
      <c r="AY31" s="6"/>
      <c r="AZ31" s="214" t="s">
        <v>589</v>
      </c>
      <c r="BA31" s="6"/>
      <c r="BB31" s="6"/>
      <c r="BC31" s="6"/>
      <c r="BD31" s="6"/>
      <c r="BE31" s="6"/>
      <c r="BF31" s="6"/>
      <c r="BG31" s="6"/>
      <c r="BH31" s="6"/>
      <c r="BI31" s="6"/>
      <c r="BJ31" s="6"/>
      <c r="BK31" s="6"/>
      <c r="BL31" s="6"/>
      <c r="BM31" s="6"/>
      <c r="BN31" s="288">
        <f>'Transition Grid'!L45</f>
        <v>0</v>
      </c>
      <c r="BO31" s="378" t="str">
        <f t="shared" ref="BO31:BO36" si="11">IF(OR(BN31=5,BN31=4,BN31=3,BN31=2,BN31=1),1,"")</f>
        <v/>
      </c>
      <c r="BP31" s="379" t="str">
        <f t="shared" ref="BP31:BP36" si="12">IF(OR(BN31=5,BN31=4,BN31=3,BN31=2),1,"")</f>
        <v/>
      </c>
      <c r="BQ31" s="379" t="str">
        <f t="shared" ref="BQ31:BQ36" si="13">IF(OR(BN31=5,BN31=4,BN31=3),1,"")</f>
        <v/>
      </c>
      <c r="BR31" s="379" t="str">
        <f t="shared" ref="BR31:BR36" si="14">IF(OR(BN31=5,BN31=4),1,"")</f>
        <v/>
      </c>
      <c r="BS31" s="380" t="str">
        <f t="shared" ref="BS31:BS36" si="15">IF(BN31=5,1,"")</f>
        <v/>
      </c>
      <c r="BT31" s="6"/>
      <c r="BU31" s="6"/>
      <c r="BV31" s="358"/>
      <c r="BW31" s="11"/>
      <c r="BX31" s="11"/>
      <c r="BY31" s="11"/>
      <c r="BZ31" s="11"/>
      <c r="CA31" s="11"/>
      <c r="CB31" s="11"/>
      <c r="CC31" s="11"/>
      <c r="CD31" s="11"/>
      <c r="CE31" s="11"/>
      <c r="CF31" s="11"/>
      <c r="CG31" s="11"/>
      <c r="CH31" s="11"/>
      <c r="CI31" s="11"/>
      <c r="CJ31" s="11"/>
      <c r="CK31" s="11"/>
      <c r="CL31" s="11"/>
      <c r="CM31" s="11"/>
      <c r="CN31" s="3"/>
    </row>
    <row r="32" ht="15.75" customHeight="1">
      <c r="A32" s="386" t="s">
        <v>590</v>
      </c>
      <c r="Q32" s="387" t="str">
        <f>IF('Intraverbal 6.0'!BO94="@","",'Intraverbal 6.0'!BO94)</f>
        <v/>
      </c>
      <c r="R32" s="388" t="str">
        <f>IF(OR('Intraverbal 6.0'!$BO$94=1,'Intraverbal 6.0'!$BO$94=2,'Intraverbal 6.0'!$BO$94=3,'Intraverbal 6.0'!$BO$94=4,'Intraverbal 6.0'!$BO$94=5,'Intraverbal 6.0'!$BO$94=6,'Intraverbal 6.0'!$BO$94=7,'Intraverbal 6.0'!$BO$94=8,'Intraverbal 6.0'!$BO$94=9,'Intraverbal 6.0'!$BO$94=10),1,"")</f>
        <v/>
      </c>
      <c r="S32" s="389" t="str">
        <f>IF(OR('Intraverbal 6.0'!$BO$94=2,'Intraverbal 6.0'!$BO$94=3,'Intraverbal 6.0'!$BO$94=4,'Intraverbal 6.0'!$BO$94=5,'Intraverbal 6.0'!$BO$94=6,'Intraverbal 6.0'!$BO$94=7,'Intraverbal 6.0'!$BO$94=8,'Intraverbal 6.0'!$BO$94=9,'Intraverbal 6.0'!$BO$94=10),1,"")</f>
        <v/>
      </c>
      <c r="T32" s="389" t="str">
        <f>IF(OR('Intraverbal 6.0'!$BO$94=3,'Intraverbal 6.0'!$BO$94=4,'Intraverbal 6.0'!$BO$94=5,'Intraverbal 6.0'!$BO$94=6,'Intraverbal 6.0'!$BO$94=7,'Intraverbal 6.0'!$BO$94=8,'Intraverbal 6.0'!$BO$94=9,'Intraverbal 6.0'!$BO$94=10),1,"")</f>
        <v/>
      </c>
      <c r="U32" s="389" t="str">
        <f>IF(OR('Intraverbal 6.0'!$BO$94=4,'Intraverbal 6.0'!$BO$94=5,'Intraverbal 6.0'!$BO$94=6,'Intraverbal 6.0'!$BO$94=7,'Intraverbal 6.0'!$BO$94=8,'Intraverbal 6.0'!$BO$94=9,'Intraverbal 6.0'!$BO$94=10),1,"")</f>
        <v/>
      </c>
      <c r="V32" s="389" t="str">
        <f>IF(OR('Intraverbal 6.0'!$BO$94=5,'Intraverbal 6.0'!$BO$94=6,'Intraverbal 6.0'!$BO$94=7,'Intraverbal 6.0'!$BO$94=8,'Intraverbal 6.0'!$BO$94=9,'Intraverbal 6.0'!$BO$94=10),1,"")</f>
        <v/>
      </c>
      <c r="W32" s="389" t="str">
        <f>IF(OR('Intraverbal 6.0'!$BO$94=6,'Intraverbal 6.0'!$BO$94=7,'Intraverbal 6.0'!$BO$94=8,'Intraverbal 6.0'!$BO$94=9,'Intraverbal 6.0'!$BO$94=10),1,"")</f>
        <v/>
      </c>
      <c r="X32" s="389" t="str">
        <f>IF(OR('Intraverbal 6.0'!$BO$94=7,'Intraverbal 6.0'!$BO$94=8,'Intraverbal 6.0'!$BO$94=9,'Intraverbal 6.0'!$BO$94=10),1,"")</f>
        <v/>
      </c>
      <c r="Y32" s="389" t="str">
        <f>IF(OR('Intraverbal 6.0'!$BO$94=8,'Intraverbal 6.0'!$BO$94=9,'Intraverbal 6.0'!$BO$94=10),1,"")</f>
        <v/>
      </c>
      <c r="Z32" s="389" t="str">
        <f>IF(OR('Intraverbal 6.0'!$BO$94=9,'Intraverbal 6.0'!$BO$94=10),1,"")</f>
        <v/>
      </c>
      <c r="AA32" s="390" t="str">
        <f>IF('Intraverbal 6.0'!$BO$94=10,1,"")</f>
        <v/>
      </c>
      <c r="AB32" s="391"/>
      <c r="AC32" s="6"/>
      <c r="AD32" s="6"/>
      <c r="AE32" s="375" t="s">
        <v>591</v>
      </c>
      <c r="AF32" s="6"/>
      <c r="AG32" s="6"/>
      <c r="AH32" s="6"/>
      <c r="AI32" s="6"/>
      <c r="AJ32" s="6"/>
      <c r="AK32" s="6"/>
      <c r="AL32" s="6"/>
      <c r="AM32" s="6"/>
      <c r="AN32" s="6"/>
      <c r="AO32" s="6"/>
      <c r="AP32" s="6"/>
      <c r="AQ32" s="6"/>
      <c r="AR32" s="6"/>
      <c r="AS32" s="6"/>
      <c r="AT32" s="6"/>
      <c r="AU32" s="6"/>
      <c r="AV32" s="6"/>
      <c r="AW32" s="14">
        <f>IF('Barrier Grid'!AF58&gt;=3,1,0)</f>
        <v>0</v>
      </c>
      <c r="AX32" s="6"/>
      <c r="AY32" s="6"/>
      <c r="AZ32" s="214" t="s">
        <v>592</v>
      </c>
      <c r="BA32" s="6"/>
      <c r="BB32" s="6"/>
      <c r="BC32" s="6"/>
      <c r="BD32" s="6"/>
      <c r="BE32" s="6"/>
      <c r="BF32" s="6"/>
      <c r="BG32" s="6"/>
      <c r="BH32" s="6"/>
      <c r="BI32" s="6"/>
      <c r="BJ32" s="6"/>
      <c r="BK32" s="6"/>
      <c r="BL32" s="6"/>
      <c r="BM32" s="6"/>
      <c r="BN32" s="288">
        <f>'Transition Grid'!V45</f>
        <v>0</v>
      </c>
      <c r="BO32" s="378" t="str">
        <f t="shared" si="11"/>
        <v/>
      </c>
      <c r="BP32" s="379" t="str">
        <f t="shared" si="12"/>
        <v/>
      </c>
      <c r="BQ32" s="379" t="str">
        <f t="shared" si="13"/>
        <v/>
      </c>
      <c r="BR32" s="379" t="str">
        <f t="shared" si="14"/>
        <v/>
      </c>
      <c r="BS32" s="380" t="str">
        <f t="shared" si="15"/>
        <v/>
      </c>
      <c r="BT32" s="6"/>
      <c r="BU32" s="6"/>
      <c r="BV32" s="358"/>
      <c r="BW32" s="11"/>
      <c r="BX32" s="11"/>
      <c r="BY32" s="11"/>
      <c r="BZ32" s="11"/>
      <c r="CA32" s="11"/>
      <c r="CB32" s="11"/>
      <c r="CC32" s="11"/>
      <c r="CD32" s="11"/>
      <c r="CE32" s="11"/>
      <c r="CF32" s="11"/>
      <c r="CG32" s="11"/>
      <c r="CH32" s="11"/>
      <c r="CI32" s="11"/>
      <c r="CJ32" s="11"/>
      <c r="CK32" s="11"/>
      <c r="CL32" s="11"/>
      <c r="CM32" s="11"/>
      <c r="CN32" s="3"/>
    </row>
    <row r="33" ht="15.75" customHeight="1">
      <c r="A33" s="392"/>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375" t="s">
        <v>593</v>
      </c>
      <c r="AF33" s="6"/>
      <c r="AG33" s="6"/>
      <c r="AH33" s="6"/>
      <c r="AI33" s="6"/>
      <c r="AJ33" s="6"/>
      <c r="AK33" s="6"/>
      <c r="AL33" s="6"/>
      <c r="AM33" s="6"/>
      <c r="AN33" s="6"/>
      <c r="AO33" s="6"/>
      <c r="AP33" s="6"/>
      <c r="AQ33" s="6"/>
      <c r="AR33" s="6"/>
      <c r="AS33" s="6"/>
      <c r="AT33" s="6"/>
      <c r="AU33" s="6"/>
      <c r="AV33" s="6"/>
      <c r="AW33" s="14">
        <f>IF('Barrier Grid'!AP58&gt;=3,1,0)</f>
        <v>0</v>
      </c>
      <c r="AX33" s="6"/>
      <c r="AY33" s="6"/>
      <c r="AZ33" s="214" t="s">
        <v>594</v>
      </c>
      <c r="BA33" s="6"/>
      <c r="BB33" s="6"/>
      <c r="BC33" s="6"/>
      <c r="BD33" s="6"/>
      <c r="BE33" s="6"/>
      <c r="BF33" s="6"/>
      <c r="BG33" s="6"/>
      <c r="BH33" s="6"/>
      <c r="BI33" s="6"/>
      <c r="BJ33" s="6"/>
      <c r="BK33" s="6"/>
      <c r="BL33" s="6"/>
      <c r="BM33" s="6"/>
      <c r="BN33" s="288">
        <f>'Transition Grid'!AF45</f>
        <v>0</v>
      </c>
      <c r="BO33" s="378" t="str">
        <f t="shared" si="11"/>
        <v/>
      </c>
      <c r="BP33" s="379" t="str">
        <f t="shared" si="12"/>
        <v/>
      </c>
      <c r="BQ33" s="379" t="str">
        <f t="shared" si="13"/>
        <v/>
      </c>
      <c r="BR33" s="379" t="str">
        <f t="shared" si="14"/>
        <v/>
      </c>
      <c r="BS33" s="380" t="str">
        <f t="shared" si="15"/>
        <v/>
      </c>
      <c r="BT33" s="6"/>
      <c r="BU33" s="6"/>
      <c r="BV33" s="358"/>
      <c r="BW33" s="11"/>
      <c r="BX33" s="11"/>
      <c r="BY33" s="11"/>
      <c r="BZ33" s="11"/>
      <c r="CA33" s="11"/>
      <c r="CB33" s="11"/>
      <c r="CC33" s="11"/>
      <c r="CD33" s="11"/>
      <c r="CE33" s="11"/>
      <c r="CF33" s="11"/>
      <c r="CG33" s="11"/>
      <c r="CH33" s="11"/>
      <c r="CI33" s="11"/>
      <c r="CJ33" s="11"/>
      <c r="CK33" s="11"/>
      <c r="CL33" s="11"/>
      <c r="CM33" s="11"/>
      <c r="CN33" s="3"/>
    </row>
    <row r="34" ht="15.75" customHeight="1">
      <c r="A34" s="386" t="s">
        <v>595</v>
      </c>
      <c r="Q34" s="387" t="str">
        <f>IF('Intraverbal 6.0'!BO107="@","",'Intraverbal 6.0'!BO107)</f>
        <v/>
      </c>
      <c r="R34" s="388" t="str">
        <f>IF(OR('Intraverbal 6.0'!$BO$107=1,'Intraverbal 6.0'!$BO$107=2,'Intraverbal 6.0'!$BO$107=3,'Intraverbal 6.0'!$BO$107=4,'Intraverbal 6.0'!$BO$107=5,'Intraverbal 6.0'!$BO$107=6,'Intraverbal 6.0'!$BO$107=7,'Intraverbal 6.0'!$BO$107=8,'Intraverbal 6.0'!$BO$107=9,'Intraverbal 6.0'!$BO$107=10),1,"")</f>
        <v/>
      </c>
      <c r="S34" s="389" t="str">
        <f>IF(OR('Intraverbal 6.0'!$BO$107=2,'Intraverbal 6.0'!$BO$107=3,'Intraverbal 6.0'!$BO$107=4,'Intraverbal 6.0'!$BO$107=5,'Intraverbal 6.0'!$BO$107=6,'Intraverbal 6.0'!$BO$107=7,'Intraverbal 6.0'!$BO$107=8,'Intraverbal 6.0'!$BO$107=9,'Intraverbal 6.0'!$BO$107=10),1,"")</f>
        <v/>
      </c>
      <c r="T34" s="389" t="str">
        <f>IF(OR('Intraverbal 6.0'!$BO$107=3,'Intraverbal 6.0'!$BO$107=4,'Intraverbal 6.0'!$BO$107=5,'Intraverbal 6.0'!$BO$107=6,'Intraverbal 6.0'!$BO$107=7,'Intraverbal 6.0'!$BO$107=8,'Intraverbal 6.0'!$BO$107=9,'Intraverbal 6.0'!$BO$107=10),1,"")</f>
        <v/>
      </c>
      <c r="U34" s="389" t="str">
        <f>IF(OR('Intraverbal 6.0'!$BO$107=4,'Intraverbal 6.0'!$BO$107=5,'Intraverbal 6.0'!$BO$107=6,'Intraverbal 6.0'!$BO$107=7,'Intraverbal 6.0'!$BO$107=8,'Intraverbal 6.0'!$BO$107=9,'Intraverbal 6.0'!$BO$107=10),1,"")</f>
        <v/>
      </c>
      <c r="V34" s="389" t="str">
        <f>IF(OR('Intraverbal 6.0'!$BO$107=5,'Intraverbal 6.0'!$BO$107=6,'Intraverbal 6.0'!$BO$107=7,'Intraverbal 6.0'!$BO$107=8,'Intraverbal 6.0'!$BO$107=9,'Intraverbal 6.0'!$BO$107=10),1,"")</f>
        <v/>
      </c>
      <c r="W34" s="389" t="str">
        <f>IF(OR('Intraverbal 6.0'!$BO$107=6,'Intraverbal 6.0'!$BO$107=7,'Intraverbal 6.0'!$BO$107=8,'Intraverbal 6.0'!$BO$107=9,'Intraverbal 6.0'!$BO$107=10),1,"")</f>
        <v/>
      </c>
      <c r="X34" s="389" t="str">
        <f>IF(OR('Intraverbal 6.0'!$BO$107=7,'Intraverbal 6.0'!$BO$107=8,'Intraverbal 6.0'!$BO$107=9,'Intraverbal 6.0'!$BO$107=10),1,"")</f>
        <v/>
      </c>
      <c r="Y34" s="389" t="str">
        <f>IF(OR('Intraverbal 6.0'!$BO$107=8,'Intraverbal 6.0'!$BO$107=9,'Intraverbal 6.0'!$BO$107=10),1,"")</f>
        <v/>
      </c>
      <c r="Z34" s="389" t="str">
        <f>IF(OR('Intraverbal 6.0'!$BO$107=9,'Intraverbal 6.0'!$BO$107=10),1,"")</f>
        <v/>
      </c>
      <c r="AA34" s="390" t="str">
        <f>IF('Intraverbal 6.0'!$BO$107=10,1,"")</f>
        <v/>
      </c>
      <c r="AB34" s="391"/>
      <c r="AC34" s="6"/>
      <c r="AD34" s="6"/>
      <c r="AE34" s="375" t="s">
        <v>596</v>
      </c>
      <c r="AF34" s="6"/>
      <c r="AG34" s="6"/>
      <c r="AH34" s="6"/>
      <c r="AI34" s="6"/>
      <c r="AJ34" s="6"/>
      <c r="AK34" s="6"/>
      <c r="AL34" s="6"/>
      <c r="AM34" s="6"/>
      <c r="AN34" s="6"/>
      <c r="AO34" s="6"/>
      <c r="AP34" s="6"/>
      <c r="AQ34" s="6"/>
      <c r="AR34" s="6"/>
      <c r="AS34" s="6"/>
      <c r="AT34" s="6"/>
      <c r="AU34" s="6"/>
      <c r="AV34" s="6"/>
      <c r="AW34" s="14">
        <f>IF('Barrier Grid'!AZ58&gt;=3,1,0)</f>
        <v>0</v>
      </c>
      <c r="AX34" s="6"/>
      <c r="AY34" s="6"/>
      <c r="AZ34" s="214" t="s">
        <v>597</v>
      </c>
      <c r="BA34" s="6"/>
      <c r="BB34" s="6"/>
      <c r="BC34" s="6"/>
      <c r="BD34" s="6"/>
      <c r="BE34" s="6"/>
      <c r="BF34" s="6"/>
      <c r="BG34" s="6"/>
      <c r="BH34" s="6"/>
      <c r="BI34" s="6"/>
      <c r="BJ34" s="6"/>
      <c r="BK34" s="6"/>
      <c r="BL34" s="6"/>
      <c r="BM34" s="6"/>
      <c r="BN34" s="288">
        <f>'Transition Grid'!AP45</f>
        <v>0</v>
      </c>
      <c r="BO34" s="378" t="str">
        <f t="shared" si="11"/>
        <v/>
      </c>
      <c r="BP34" s="379" t="str">
        <f t="shared" si="12"/>
        <v/>
      </c>
      <c r="BQ34" s="379" t="str">
        <f t="shared" si="13"/>
        <v/>
      </c>
      <c r="BR34" s="379" t="str">
        <f t="shared" si="14"/>
        <v/>
      </c>
      <c r="BS34" s="380" t="str">
        <f t="shared" si="15"/>
        <v/>
      </c>
      <c r="BT34" s="6"/>
      <c r="BU34" s="6"/>
      <c r="BV34" s="358"/>
      <c r="BW34" s="11"/>
      <c r="BX34" s="11"/>
      <c r="BY34" s="11"/>
      <c r="BZ34" s="11"/>
      <c r="CA34" s="11"/>
      <c r="CB34" s="11"/>
      <c r="CC34" s="11"/>
      <c r="CD34" s="11"/>
      <c r="CE34" s="11"/>
      <c r="CF34" s="11"/>
      <c r="CG34" s="11"/>
      <c r="CH34" s="11"/>
      <c r="CI34" s="11"/>
      <c r="CJ34" s="11"/>
      <c r="CK34" s="11"/>
      <c r="CL34" s="11"/>
      <c r="CM34" s="11"/>
      <c r="CN34" s="3"/>
    </row>
    <row r="35" ht="15.75" customHeight="1">
      <c r="A35" s="392"/>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375" t="s">
        <v>598</v>
      </c>
      <c r="AF35" s="6"/>
      <c r="AG35" s="6"/>
      <c r="AH35" s="6"/>
      <c r="AI35" s="6"/>
      <c r="AJ35" s="6"/>
      <c r="AK35" s="6"/>
      <c r="AL35" s="6"/>
      <c r="AM35" s="6"/>
      <c r="AN35" s="6"/>
      <c r="AO35" s="6"/>
      <c r="AP35" s="6"/>
      <c r="AQ35" s="6"/>
      <c r="AR35" s="6"/>
      <c r="AS35" s="6"/>
      <c r="AT35" s="6"/>
      <c r="AU35" s="6"/>
      <c r="AV35" s="6"/>
      <c r="AW35" s="14">
        <f>IF('Barrier Grid'!BJ58&gt;=3,1,0)</f>
        <v>0</v>
      </c>
      <c r="AX35" s="6"/>
      <c r="AY35" s="6"/>
      <c r="AZ35" s="214" t="s">
        <v>599</v>
      </c>
      <c r="BA35" s="6"/>
      <c r="BB35" s="6"/>
      <c r="BC35" s="6"/>
      <c r="BD35" s="6"/>
      <c r="BE35" s="6"/>
      <c r="BF35" s="6"/>
      <c r="BG35" s="6"/>
      <c r="BH35" s="6"/>
      <c r="BI35" s="6"/>
      <c r="BJ35" s="6"/>
      <c r="BK35" s="6"/>
      <c r="BL35" s="6"/>
      <c r="BM35" s="6"/>
      <c r="BN35" s="288">
        <f>'Transition Grid'!AZ45</f>
        <v>0</v>
      </c>
      <c r="BO35" s="378" t="str">
        <f t="shared" si="11"/>
        <v/>
      </c>
      <c r="BP35" s="379" t="str">
        <f t="shared" si="12"/>
        <v/>
      </c>
      <c r="BQ35" s="379" t="str">
        <f t="shared" si="13"/>
        <v/>
      </c>
      <c r="BR35" s="379" t="str">
        <f t="shared" si="14"/>
        <v/>
      </c>
      <c r="BS35" s="380" t="str">
        <f t="shared" si="15"/>
        <v/>
      </c>
      <c r="BT35" s="6"/>
      <c r="BU35" s="6"/>
      <c r="BV35" s="358"/>
      <c r="BW35" s="11"/>
      <c r="BX35" s="11"/>
      <c r="BY35" s="11"/>
      <c r="BZ35" s="11"/>
      <c r="CA35" s="11"/>
      <c r="CB35" s="11"/>
      <c r="CC35" s="11"/>
      <c r="CD35" s="11"/>
      <c r="CE35" s="11"/>
      <c r="CF35" s="11"/>
      <c r="CG35" s="11"/>
      <c r="CH35" s="11"/>
      <c r="CI35" s="11"/>
      <c r="CJ35" s="11"/>
      <c r="CK35" s="11"/>
      <c r="CL35" s="11"/>
      <c r="CM35" s="11"/>
      <c r="CN35" s="3"/>
    </row>
    <row r="36" ht="15.75" customHeight="1">
      <c r="A36" s="386" t="s">
        <v>600</v>
      </c>
      <c r="Q36" s="387" t="str">
        <f>IF('Intraverbal 6.0'!BO120="@","",'Intraverbal 6.0'!BO120)</f>
        <v/>
      </c>
      <c r="R36" s="388" t="str">
        <f>IF(OR('Intraverbal 6.0'!$BO$120=1,'Intraverbal 6.0'!$BO$120=2,'Intraverbal 6.0'!$BO$120=3,'Intraverbal 6.0'!$BO$120=4,'Intraverbal 6.0'!$BO$120=5,'Intraverbal 6.0'!$BO$120=6,'Intraverbal 6.0'!$BO$120=7,'Intraverbal 6.0'!$BO$120=8,'Intraverbal 6.0'!$BO$120=9,'Intraverbal 6.0'!$BO$120=10),1,"")</f>
        <v/>
      </c>
      <c r="S36" s="389" t="str">
        <f>IF(OR('Intraverbal 6.0'!$BO$120=2,'Intraverbal 6.0'!$BO$120=3,'Intraverbal 6.0'!$BO$120=4,'Intraverbal 6.0'!$BO$120=5,'Intraverbal 6.0'!$BO$120=6,'Intraverbal 6.0'!$BO$120=7,'Intraverbal 6.0'!$BO$120=8,'Intraverbal 6.0'!$BO$120=9,'Intraverbal 6.0'!$BO$120=10),1,"")</f>
        <v/>
      </c>
      <c r="T36" s="389" t="str">
        <f>IF(OR('Intraverbal 6.0'!$BO$120=3,'Intraverbal 6.0'!$BO$120=4,'Intraverbal 6.0'!$BO$120=5,'Intraverbal 6.0'!$BO$120=6,'Intraverbal 6.0'!$BO$120=7,'Intraverbal 6.0'!$BO$120=8,'Intraverbal 6.0'!$BO$120=9,'Intraverbal 6.0'!$BO$120=10),1,"")</f>
        <v/>
      </c>
      <c r="U36" s="389" t="str">
        <f>IF(OR('Intraverbal 6.0'!$BO$120=4,'Intraverbal 6.0'!$BO$120=5,'Intraverbal 6.0'!$BO$120=6,'Intraverbal 6.0'!$BO$120=7,'Intraverbal 6.0'!$BO$120=8,'Intraverbal 6.0'!$BO$120=9,'Intraverbal 6.0'!$BO$120=10),1,"")</f>
        <v/>
      </c>
      <c r="V36" s="389" t="str">
        <f>IF(OR('Intraverbal 6.0'!$BO$120=5,'Intraverbal 6.0'!$BO$120=6,'Intraverbal 6.0'!$BO$120=7,'Intraverbal 6.0'!$BO$120=8,'Intraverbal 6.0'!$BO$120=9,'Intraverbal 6.0'!$BO$120=10),1,"")</f>
        <v/>
      </c>
      <c r="W36" s="389" t="str">
        <f>IF(OR('Intraverbal 6.0'!$BO$120=6,'Intraverbal 6.0'!$BO$120=7,'Intraverbal 6.0'!$BO$120=8,'Intraverbal 6.0'!$BO$120=9,'Intraverbal 6.0'!$BO$120=10),1,"")</f>
        <v/>
      </c>
      <c r="X36" s="389" t="str">
        <f>IF(OR('Intraverbal 6.0'!$BO$120=7,'Intraverbal 6.0'!$BO$120=8,'Intraverbal 6.0'!$BO$120=9,'Intraverbal 6.0'!$BO$120=10),1,"")</f>
        <v/>
      </c>
      <c r="Y36" s="389" t="str">
        <f>IF(OR('Intraverbal 6.0'!$BO$120=8,'Intraverbal 6.0'!$BO$120=9,'Intraverbal 6.0'!$BO$120=10),1,"")</f>
        <v/>
      </c>
      <c r="Z36" s="389" t="str">
        <f>IF(OR('Intraverbal 6.0'!$BO$120=9,'Intraverbal 6.0'!$BO$120=10),1,"")</f>
        <v/>
      </c>
      <c r="AA36" s="390" t="str">
        <f>IF('Intraverbal 6.0'!$BO$120=10,1,"")</f>
        <v/>
      </c>
      <c r="AB36" s="391"/>
      <c r="AC36" s="6"/>
      <c r="AD36" s="6"/>
      <c r="AE36" s="6"/>
      <c r="AF36" s="6"/>
      <c r="AG36" s="6"/>
      <c r="AH36" s="6"/>
      <c r="AI36" s="6"/>
      <c r="AJ36" s="6"/>
      <c r="AK36" s="6"/>
      <c r="AL36" s="6"/>
      <c r="AM36" s="6"/>
      <c r="AN36" s="6"/>
      <c r="AO36" s="6"/>
      <c r="AP36" s="6"/>
      <c r="AQ36" s="6"/>
      <c r="AR36" s="6"/>
      <c r="AS36" s="6"/>
      <c r="AT36" s="6"/>
      <c r="AU36" s="6"/>
      <c r="AV36" s="6"/>
      <c r="AW36" s="6"/>
      <c r="AX36" s="6"/>
      <c r="AY36" s="6"/>
      <c r="AZ36" s="214" t="s">
        <v>601</v>
      </c>
      <c r="BA36" s="6"/>
      <c r="BB36" s="6"/>
      <c r="BC36" s="6"/>
      <c r="BD36" s="6"/>
      <c r="BE36" s="6"/>
      <c r="BF36" s="6"/>
      <c r="BG36" s="6"/>
      <c r="BH36" s="6"/>
      <c r="BI36" s="6"/>
      <c r="BJ36" s="6"/>
      <c r="BK36" s="6"/>
      <c r="BL36" s="6"/>
      <c r="BM36" s="6"/>
      <c r="BN36" s="288">
        <f>'Transition Grid'!BJ45</f>
        <v>0</v>
      </c>
      <c r="BO36" s="378" t="str">
        <f t="shared" si="11"/>
        <v/>
      </c>
      <c r="BP36" s="379" t="str">
        <f t="shared" si="12"/>
        <v/>
      </c>
      <c r="BQ36" s="379" t="str">
        <f t="shared" si="13"/>
        <v/>
      </c>
      <c r="BR36" s="379" t="str">
        <f t="shared" si="14"/>
        <v/>
      </c>
      <c r="BS36" s="380" t="str">
        <f t="shared" si="15"/>
        <v/>
      </c>
      <c r="BT36" s="6"/>
      <c r="BU36" s="6"/>
      <c r="BV36" s="358"/>
      <c r="BW36" s="11"/>
      <c r="BX36" s="11"/>
      <c r="BY36" s="11"/>
      <c r="BZ36" s="11"/>
      <c r="CA36" s="11"/>
      <c r="CB36" s="11"/>
      <c r="CC36" s="11"/>
      <c r="CD36" s="11"/>
      <c r="CE36" s="11"/>
      <c r="CF36" s="11"/>
      <c r="CG36" s="11"/>
      <c r="CH36" s="11"/>
      <c r="CI36" s="11"/>
      <c r="CJ36" s="11"/>
      <c r="CK36" s="11"/>
      <c r="CL36" s="11"/>
      <c r="CM36" s="11"/>
      <c r="CN36" s="3"/>
    </row>
    <row r="37" ht="15.75" customHeight="1">
      <c r="A37" s="392"/>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383" t="str">
        <f>IF(BM37="@","","Total:")</f>
        <v/>
      </c>
      <c r="BM37" s="384" t="str">
        <f>IF(SUM(BN31:BN36)=0,"@",SUM(BN31:BN36)&amp;" out of 30")</f>
        <v>@</v>
      </c>
      <c r="BT37" s="6"/>
      <c r="BU37" s="6"/>
      <c r="BV37" s="358"/>
      <c r="BW37" s="11"/>
      <c r="BX37" s="11"/>
      <c r="BY37" s="11"/>
      <c r="BZ37" s="11"/>
      <c r="CA37" s="11"/>
      <c r="CB37" s="11"/>
      <c r="CC37" s="11"/>
      <c r="CD37" s="11"/>
      <c r="CE37" s="11"/>
      <c r="CF37" s="11"/>
      <c r="CG37" s="11"/>
      <c r="CH37" s="11"/>
      <c r="CI37" s="11"/>
      <c r="CJ37" s="11"/>
      <c r="CK37" s="11"/>
      <c r="CL37" s="11"/>
      <c r="CM37" s="11"/>
      <c r="CN37" s="3"/>
    </row>
    <row r="38" ht="15.75" customHeight="1">
      <c r="A38" s="402"/>
      <c r="B38" s="403"/>
      <c r="C38" s="403"/>
      <c r="D38" s="403"/>
      <c r="E38" s="403"/>
      <c r="F38" s="403"/>
      <c r="G38" s="403"/>
      <c r="H38" s="403"/>
      <c r="I38" s="403"/>
      <c r="J38" s="403"/>
      <c r="K38" s="403"/>
      <c r="L38" s="403"/>
      <c r="M38" s="403"/>
      <c r="N38" s="403"/>
      <c r="O38" s="403"/>
      <c r="P38" s="403"/>
      <c r="Q38" s="403"/>
      <c r="R38" s="403"/>
      <c r="S38" s="403"/>
      <c r="T38" s="403"/>
      <c r="U38" s="403"/>
      <c r="V38" s="403"/>
      <c r="W38" s="403"/>
      <c r="X38" s="403"/>
      <c r="Y38" s="403"/>
      <c r="Z38" s="403"/>
      <c r="AA38" s="403"/>
      <c r="AB38" s="403"/>
      <c r="AC38" s="403"/>
      <c r="AD38" s="403"/>
      <c r="AE38" s="403"/>
      <c r="AF38" s="403"/>
      <c r="AG38" s="403"/>
      <c r="AH38" s="403"/>
      <c r="AI38" s="403"/>
      <c r="AJ38" s="403"/>
      <c r="AK38" s="403"/>
      <c r="AL38" s="403"/>
      <c r="AM38" s="403"/>
      <c r="AN38" s="403"/>
      <c r="AO38" s="403"/>
      <c r="AP38" s="403"/>
      <c r="AQ38" s="403"/>
      <c r="AR38" s="403"/>
      <c r="AS38" s="403"/>
      <c r="AT38" s="403"/>
      <c r="AU38" s="403"/>
      <c r="AV38" s="403"/>
      <c r="AW38" s="403"/>
      <c r="AX38" s="403"/>
      <c r="AY38" s="403"/>
      <c r="AZ38" s="403"/>
      <c r="BA38" s="403"/>
      <c r="BB38" s="403"/>
      <c r="BC38" s="403"/>
      <c r="BD38" s="403"/>
      <c r="BE38" s="403"/>
      <c r="BF38" s="403"/>
      <c r="BG38" s="403"/>
      <c r="BH38" s="403"/>
      <c r="BI38" s="403"/>
      <c r="BJ38" s="403"/>
      <c r="BK38" s="403"/>
      <c r="BL38" s="403"/>
      <c r="BM38" s="403"/>
      <c r="BN38" s="403"/>
      <c r="BO38" s="403"/>
      <c r="BP38" s="403"/>
      <c r="BQ38" s="403"/>
      <c r="BR38" s="403"/>
      <c r="BS38" s="403"/>
      <c r="BT38" s="403"/>
      <c r="BU38" s="403"/>
      <c r="BV38" s="404"/>
      <c r="BW38" s="11"/>
      <c r="BX38" s="11"/>
      <c r="BY38" s="11"/>
      <c r="BZ38" s="11"/>
      <c r="CA38" s="11"/>
      <c r="CB38" s="11"/>
      <c r="CC38" s="11"/>
      <c r="CD38" s="11"/>
      <c r="CE38" s="11"/>
      <c r="CF38" s="11"/>
      <c r="CG38" s="11"/>
      <c r="CH38" s="11"/>
      <c r="CI38" s="11"/>
      <c r="CJ38" s="11"/>
      <c r="CK38" s="11"/>
      <c r="CL38" s="11"/>
      <c r="CM38" s="11"/>
      <c r="CN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11"/>
      <c r="BX39" s="11"/>
      <c r="BY39" s="11"/>
      <c r="BZ39" s="11"/>
      <c r="CA39" s="11"/>
      <c r="CB39" s="11"/>
      <c r="CC39" s="11"/>
      <c r="CD39" s="11"/>
      <c r="CE39" s="11"/>
      <c r="CF39" s="11"/>
      <c r="CG39" s="11"/>
      <c r="CH39" s="11"/>
      <c r="CI39" s="11"/>
      <c r="CJ39" s="11"/>
      <c r="CK39" s="11"/>
      <c r="CL39" s="11"/>
      <c r="CM39" s="11"/>
      <c r="CN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11"/>
      <c r="BX40" s="11"/>
      <c r="BY40" s="11"/>
      <c r="BZ40" s="11"/>
      <c r="CA40" s="11"/>
      <c r="CB40" s="11"/>
      <c r="CC40" s="11"/>
      <c r="CD40" s="11"/>
      <c r="CE40" s="11"/>
      <c r="CF40" s="11"/>
      <c r="CG40" s="11"/>
      <c r="CH40" s="11"/>
      <c r="CI40" s="11"/>
      <c r="CJ40" s="11"/>
      <c r="CK40" s="11"/>
      <c r="CL40" s="11"/>
      <c r="CM40" s="11"/>
      <c r="CN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11"/>
      <c r="BX41" s="11"/>
      <c r="BY41" s="11"/>
      <c r="BZ41" s="11"/>
      <c r="CA41" s="11"/>
      <c r="CB41" s="11"/>
      <c r="CC41" s="11"/>
      <c r="CD41" s="11"/>
      <c r="CE41" s="11"/>
      <c r="CF41" s="11"/>
      <c r="CG41" s="11"/>
      <c r="CH41" s="11"/>
      <c r="CI41" s="11"/>
      <c r="CJ41" s="11"/>
      <c r="CK41" s="11"/>
      <c r="CL41" s="11"/>
      <c r="CM41" s="11"/>
      <c r="CN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11"/>
      <c r="BX42" s="11"/>
      <c r="BY42" s="11"/>
      <c r="BZ42" s="11"/>
      <c r="CA42" s="11"/>
      <c r="CB42" s="11"/>
      <c r="CC42" s="11"/>
      <c r="CD42" s="11"/>
      <c r="CE42" s="11"/>
      <c r="CF42" s="11"/>
      <c r="CG42" s="11"/>
      <c r="CH42" s="11"/>
      <c r="CI42" s="11"/>
      <c r="CJ42" s="11"/>
      <c r="CK42" s="11"/>
      <c r="CL42" s="11"/>
      <c r="CM42" s="11"/>
      <c r="CN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11"/>
      <c r="BX43" s="11"/>
      <c r="BY43" s="11"/>
      <c r="BZ43" s="11"/>
      <c r="CA43" s="11"/>
      <c r="CB43" s="11"/>
      <c r="CC43" s="11"/>
      <c r="CD43" s="11"/>
      <c r="CE43" s="11"/>
      <c r="CF43" s="11"/>
      <c r="CG43" s="11"/>
      <c r="CH43" s="11"/>
      <c r="CI43" s="11"/>
      <c r="CJ43" s="11"/>
      <c r="CK43" s="11"/>
      <c r="CL43" s="11"/>
      <c r="CM43" s="11"/>
      <c r="CN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11"/>
      <c r="BX44" s="11"/>
      <c r="BY44" s="11"/>
      <c r="BZ44" s="11"/>
      <c r="CA44" s="11"/>
      <c r="CB44" s="11"/>
      <c r="CC44" s="11"/>
      <c r="CD44" s="11"/>
      <c r="CE44" s="11"/>
      <c r="CF44" s="11"/>
      <c r="CG44" s="11"/>
      <c r="CH44" s="11"/>
      <c r="CI44" s="11"/>
      <c r="CJ44" s="11"/>
      <c r="CK44" s="11"/>
      <c r="CL44" s="11"/>
      <c r="CM44" s="11"/>
      <c r="CN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11"/>
      <c r="BX45" s="11"/>
      <c r="BY45" s="11"/>
      <c r="BZ45" s="11"/>
      <c r="CA45" s="11"/>
      <c r="CB45" s="11"/>
      <c r="CC45" s="11"/>
      <c r="CD45" s="11"/>
      <c r="CE45" s="11"/>
      <c r="CF45" s="11"/>
      <c r="CG45" s="11"/>
      <c r="CH45" s="11"/>
      <c r="CI45" s="11"/>
      <c r="CJ45" s="11"/>
      <c r="CK45" s="11"/>
      <c r="CL45" s="11"/>
      <c r="CM45" s="11"/>
      <c r="CN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11"/>
      <c r="BX46" s="11"/>
      <c r="BY46" s="11"/>
      <c r="BZ46" s="11"/>
      <c r="CA46" s="11"/>
      <c r="CB46" s="11"/>
      <c r="CC46" s="11"/>
      <c r="CD46" s="11"/>
      <c r="CE46" s="11"/>
      <c r="CF46" s="11"/>
      <c r="CG46" s="11"/>
      <c r="CH46" s="11"/>
      <c r="CI46" s="11"/>
      <c r="CJ46" s="11"/>
      <c r="CK46" s="11"/>
      <c r="CL46" s="11"/>
      <c r="CM46" s="11"/>
      <c r="CN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11"/>
      <c r="BX47" s="11"/>
      <c r="BY47" s="11"/>
      <c r="BZ47" s="11"/>
      <c r="CA47" s="11"/>
      <c r="CB47" s="11"/>
      <c r="CC47" s="11"/>
      <c r="CD47" s="11"/>
      <c r="CE47" s="11"/>
      <c r="CF47" s="11"/>
      <c r="CG47" s="11"/>
      <c r="CH47" s="11"/>
      <c r="CI47" s="11"/>
      <c r="CJ47" s="11"/>
      <c r="CK47" s="11"/>
      <c r="CL47" s="11"/>
      <c r="CM47" s="11"/>
      <c r="CN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11"/>
      <c r="BX48" s="11"/>
      <c r="BY48" s="11"/>
      <c r="BZ48" s="11"/>
      <c r="CA48" s="11"/>
      <c r="CB48" s="11"/>
      <c r="CC48" s="11"/>
      <c r="CD48" s="11"/>
      <c r="CE48" s="11"/>
      <c r="CF48" s="11"/>
      <c r="CG48" s="11"/>
      <c r="CH48" s="11"/>
      <c r="CI48" s="11"/>
      <c r="CJ48" s="11"/>
      <c r="CK48" s="11"/>
      <c r="CL48" s="11"/>
      <c r="CM48" s="11"/>
      <c r="CN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11"/>
      <c r="BX49" s="11"/>
      <c r="BY49" s="11"/>
      <c r="BZ49" s="11"/>
      <c r="CA49" s="11"/>
      <c r="CB49" s="11"/>
      <c r="CC49" s="11"/>
      <c r="CD49" s="11"/>
      <c r="CE49" s="11"/>
      <c r="CF49" s="11"/>
      <c r="CG49" s="11"/>
      <c r="CH49" s="11"/>
      <c r="CI49" s="11"/>
      <c r="CJ49" s="11"/>
      <c r="CK49" s="11"/>
      <c r="CL49" s="11"/>
      <c r="CM49" s="11"/>
      <c r="CN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11"/>
      <c r="BX50" s="11"/>
      <c r="BY50" s="11"/>
      <c r="BZ50" s="11"/>
      <c r="CA50" s="11"/>
      <c r="CB50" s="11"/>
      <c r="CC50" s="11"/>
      <c r="CD50" s="11"/>
      <c r="CE50" s="11"/>
      <c r="CF50" s="11"/>
      <c r="CG50" s="11"/>
      <c r="CH50" s="11"/>
      <c r="CI50" s="11"/>
      <c r="CJ50" s="11"/>
      <c r="CK50" s="11"/>
      <c r="CL50" s="11"/>
      <c r="CM50" s="11"/>
      <c r="CN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11"/>
      <c r="BX51" s="11"/>
      <c r="BY51" s="11"/>
      <c r="BZ51" s="11"/>
      <c r="CA51" s="11"/>
      <c r="CB51" s="11"/>
      <c r="CC51" s="11"/>
      <c r="CD51" s="11"/>
      <c r="CE51" s="11"/>
      <c r="CF51" s="11"/>
      <c r="CG51" s="11"/>
      <c r="CH51" s="11"/>
      <c r="CI51" s="11"/>
      <c r="CJ51" s="11"/>
      <c r="CK51" s="11"/>
      <c r="CL51" s="11"/>
      <c r="CM51" s="11"/>
      <c r="CN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11"/>
      <c r="BX52" s="11"/>
      <c r="BY52" s="11"/>
      <c r="BZ52" s="11"/>
      <c r="CA52" s="11"/>
      <c r="CB52" s="11"/>
      <c r="CC52" s="11"/>
      <c r="CD52" s="11"/>
      <c r="CE52" s="11"/>
      <c r="CF52" s="11"/>
      <c r="CG52" s="11"/>
      <c r="CH52" s="11"/>
      <c r="CI52" s="11"/>
      <c r="CJ52" s="11"/>
      <c r="CK52" s="11"/>
      <c r="CL52" s="11"/>
      <c r="CM52" s="11"/>
      <c r="CN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11"/>
      <c r="BX53" s="11"/>
      <c r="BY53" s="11"/>
      <c r="BZ53" s="11"/>
      <c r="CA53" s="11"/>
      <c r="CB53" s="11"/>
      <c r="CC53" s="11"/>
      <c r="CD53" s="11"/>
      <c r="CE53" s="11"/>
      <c r="CF53" s="11"/>
      <c r="CG53" s="11"/>
      <c r="CH53" s="11"/>
      <c r="CI53" s="11"/>
      <c r="CJ53" s="11"/>
      <c r="CK53" s="11"/>
      <c r="CL53" s="11"/>
      <c r="CM53" s="11"/>
      <c r="CN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11"/>
      <c r="BX54" s="11"/>
      <c r="BY54" s="11"/>
      <c r="BZ54" s="11"/>
      <c r="CA54" s="11"/>
      <c r="CB54" s="11"/>
      <c r="CC54" s="11"/>
      <c r="CD54" s="11"/>
      <c r="CE54" s="11"/>
      <c r="CF54" s="11"/>
      <c r="CG54" s="11"/>
      <c r="CH54" s="11"/>
      <c r="CI54" s="11"/>
      <c r="CJ54" s="11"/>
      <c r="CK54" s="11"/>
      <c r="CL54" s="11"/>
      <c r="CM54" s="11"/>
      <c r="CN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11"/>
      <c r="BX55" s="11"/>
      <c r="BY55" s="11"/>
      <c r="BZ55" s="11"/>
      <c r="CA55" s="11"/>
      <c r="CB55" s="11"/>
      <c r="CC55" s="11"/>
      <c r="CD55" s="11"/>
      <c r="CE55" s="11"/>
      <c r="CF55" s="11"/>
      <c r="CG55" s="11"/>
      <c r="CH55" s="11"/>
      <c r="CI55" s="11"/>
      <c r="CJ55" s="11"/>
      <c r="CK55" s="11"/>
      <c r="CL55" s="11"/>
      <c r="CM55" s="11"/>
      <c r="CN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11"/>
      <c r="BX56" s="11"/>
      <c r="BY56" s="11"/>
      <c r="BZ56" s="11"/>
      <c r="CA56" s="11"/>
      <c r="CB56" s="11"/>
      <c r="CC56" s="11"/>
      <c r="CD56" s="11"/>
      <c r="CE56" s="11"/>
      <c r="CF56" s="11"/>
      <c r="CG56" s="11"/>
      <c r="CH56" s="11"/>
      <c r="CI56" s="11"/>
      <c r="CJ56" s="11"/>
      <c r="CK56" s="11"/>
      <c r="CL56" s="11"/>
      <c r="CM56" s="11"/>
      <c r="CN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11"/>
      <c r="BX57" s="11"/>
      <c r="BY57" s="11"/>
      <c r="BZ57" s="11"/>
      <c r="CA57" s="11"/>
      <c r="CB57" s="11"/>
      <c r="CC57" s="11"/>
      <c r="CD57" s="11"/>
      <c r="CE57" s="11"/>
      <c r="CF57" s="11"/>
      <c r="CG57" s="11"/>
      <c r="CH57" s="11"/>
      <c r="CI57" s="11"/>
      <c r="CJ57" s="11"/>
      <c r="CK57" s="11"/>
      <c r="CL57" s="11"/>
      <c r="CM57" s="11"/>
      <c r="CN57" s="3"/>
    </row>
    <row r="58"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11"/>
      <c r="BX58" s="11"/>
      <c r="BY58" s="11"/>
      <c r="BZ58" s="11"/>
      <c r="CA58" s="11"/>
      <c r="CB58" s="11"/>
      <c r="CC58" s="11"/>
      <c r="CD58" s="11"/>
      <c r="CE58" s="11"/>
      <c r="CF58" s="11"/>
      <c r="CG58" s="11"/>
      <c r="CH58" s="11"/>
      <c r="CI58" s="11"/>
      <c r="CJ58" s="11"/>
      <c r="CK58" s="11"/>
      <c r="CL58" s="11"/>
      <c r="CM58" s="11"/>
      <c r="CN58" s="11"/>
    </row>
    <row r="59"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11"/>
      <c r="BX59" s="11"/>
      <c r="BY59" s="11"/>
      <c r="BZ59" s="11"/>
      <c r="CA59" s="11"/>
      <c r="CB59" s="11"/>
      <c r="CC59" s="11"/>
      <c r="CD59" s="11"/>
      <c r="CE59" s="11"/>
      <c r="CF59" s="11"/>
      <c r="CG59" s="11"/>
      <c r="CH59" s="11"/>
      <c r="CI59" s="11"/>
      <c r="CJ59" s="11"/>
      <c r="CK59" s="11"/>
      <c r="CL59" s="11"/>
      <c r="CM59" s="11"/>
      <c r="CN59" s="11"/>
    </row>
    <row r="60"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11"/>
      <c r="BX60" s="11"/>
      <c r="BY60" s="11"/>
      <c r="BZ60" s="11"/>
      <c r="CA60" s="11"/>
      <c r="CB60" s="11"/>
      <c r="CC60" s="11"/>
      <c r="CD60" s="11"/>
      <c r="CE60" s="11"/>
      <c r="CF60" s="11"/>
      <c r="CG60" s="11"/>
      <c r="CH60" s="11"/>
      <c r="CI60" s="11"/>
      <c r="CJ60" s="11"/>
      <c r="CK60" s="11"/>
      <c r="CL60" s="11"/>
      <c r="CM60" s="11"/>
      <c r="CN60" s="11"/>
    </row>
    <row r="61"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11"/>
      <c r="BX61" s="11"/>
      <c r="BY61" s="11"/>
      <c r="BZ61" s="11"/>
      <c r="CA61" s="11"/>
      <c r="CB61" s="11"/>
      <c r="CC61" s="11"/>
      <c r="CD61" s="11"/>
      <c r="CE61" s="11"/>
      <c r="CF61" s="11"/>
      <c r="CG61" s="11"/>
      <c r="CH61" s="11"/>
      <c r="CI61" s="11"/>
      <c r="CJ61" s="11"/>
      <c r="CK61" s="11"/>
      <c r="CL61" s="11"/>
      <c r="CM61" s="11"/>
      <c r="CN61" s="11"/>
    </row>
    <row r="62"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11"/>
      <c r="BX62" s="11"/>
      <c r="BY62" s="11"/>
      <c r="BZ62" s="11"/>
      <c r="CA62" s="11"/>
      <c r="CB62" s="11"/>
      <c r="CC62" s="11"/>
      <c r="CD62" s="11"/>
      <c r="CE62" s="11"/>
      <c r="CF62" s="11"/>
      <c r="CG62" s="11"/>
      <c r="CH62" s="11"/>
      <c r="CI62" s="11"/>
      <c r="CJ62" s="11"/>
      <c r="CK62" s="11"/>
      <c r="CL62" s="11"/>
      <c r="CM62" s="11"/>
      <c r="CN62" s="11"/>
    </row>
    <row r="63"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11"/>
      <c r="BX63" s="11"/>
      <c r="BY63" s="11"/>
      <c r="BZ63" s="11"/>
      <c r="CA63" s="11"/>
      <c r="CB63" s="11"/>
      <c r="CC63" s="11"/>
      <c r="CD63" s="11"/>
      <c r="CE63" s="11"/>
      <c r="CF63" s="11"/>
      <c r="CG63" s="11"/>
      <c r="CH63" s="11"/>
      <c r="CI63" s="11"/>
      <c r="CJ63" s="11"/>
      <c r="CK63" s="11"/>
      <c r="CL63" s="11"/>
      <c r="CM63" s="11"/>
      <c r="CN63" s="11"/>
    </row>
    <row r="64"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11"/>
      <c r="BX64" s="11"/>
      <c r="BY64" s="11"/>
      <c r="BZ64" s="11"/>
      <c r="CA64" s="11"/>
      <c r="CB64" s="11"/>
      <c r="CC64" s="11"/>
      <c r="CD64" s="11"/>
      <c r="CE64" s="11"/>
      <c r="CF64" s="11"/>
      <c r="CG64" s="11"/>
      <c r="CH64" s="11"/>
      <c r="CI64" s="11"/>
      <c r="CJ64" s="11"/>
      <c r="CK64" s="11"/>
      <c r="CL64" s="11"/>
      <c r="CM64" s="11"/>
      <c r="CN64" s="11"/>
    </row>
    <row r="65"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11"/>
      <c r="BX65" s="11"/>
      <c r="BY65" s="11"/>
      <c r="BZ65" s="11"/>
      <c r="CA65" s="11"/>
      <c r="CB65" s="11"/>
      <c r="CC65" s="11"/>
      <c r="CD65" s="11"/>
      <c r="CE65" s="11"/>
      <c r="CF65" s="11"/>
      <c r="CG65" s="11"/>
      <c r="CH65" s="11"/>
      <c r="CI65" s="11"/>
      <c r="CJ65" s="11"/>
      <c r="CK65" s="11"/>
      <c r="CL65" s="11"/>
      <c r="CM65" s="11"/>
      <c r="CN65" s="11"/>
    </row>
    <row r="6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11"/>
      <c r="BX66" s="11"/>
      <c r="BY66" s="11"/>
      <c r="BZ66" s="11"/>
      <c r="CA66" s="11"/>
      <c r="CB66" s="11"/>
      <c r="CC66" s="11"/>
      <c r="CD66" s="11"/>
      <c r="CE66" s="11"/>
      <c r="CF66" s="11"/>
      <c r="CG66" s="11"/>
      <c r="CH66" s="11"/>
      <c r="CI66" s="11"/>
      <c r="CJ66" s="11"/>
      <c r="CK66" s="11"/>
      <c r="CL66" s="11"/>
      <c r="CM66" s="11"/>
      <c r="CN66" s="11"/>
    </row>
    <row r="67"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11"/>
      <c r="BX67" s="11"/>
      <c r="BY67" s="11"/>
      <c r="BZ67" s="11"/>
      <c r="CA67" s="11"/>
      <c r="CB67" s="11"/>
      <c r="CC67" s="11"/>
      <c r="CD67" s="11"/>
      <c r="CE67" s="11"/>
      <c r="CF67" s="11"/>
      <c r="CG67" s="11"/>
      <c r="CH67" s="11"/>
      <c r="CI67" s="11"/>
      <c r="CJ67" s="11"/>
      <c r="CK67" s="11"/>
      <c r="CL67" s="11"/>
      <c r="CM67" s="11"/>
      <c r="CN67" s="11"/>
    </row>
    <row r="68"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11"/>
      <c r="BX68" s="11"/>
      <c r="BY68" s="11"/>
      <c r="BZ68" s="11"/>
      <c r="CA68" s="11"/>
      <c r="CB68" s="11"/>
      <c r="CC68" s="11"/>
      <c r="CD68" s="11"/>
      <c r="CE68" s="11"/>
      <c r="CF68" s="11"/>
      <c r="CG68" s="11"/>
      <c r="CH68" s="11"/>
      <c r="CI68" s="11"/>
      <c r="CJ68" s="11"/>
      <c r="CK68" s="11"/>
      <c r="CL68" s="11"/>
      <c r="CM68" s="11"/>
      <c r="CN68" s="11"/>
    </row>
    <row r="69"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11"/>
      <c r="BX69" s="11"/>
      <c r="BY69" s="11"/>
      <c r="BZ69" s="11"/>
      <c r="CA69" s="11"/>
      <c r="CB69" s="11"/>
      <c r="CC69" s="11"/>
      <c r="CD69" s="11"/>
      <c r="CE69" s="11"/>
      <c r="CF69" s="11"/>
      <c r="CG69" s="11"/>
      <c r="CH69" s="11"/>
      <c r="CI69" s="11"/>
      <c r="CJ69" s="11"/>
      <c r="CK69" s="11"/>
      <c r="CL69" s="11"/>
      <c r="CM69" s="11"/>
      <c r="CN69" s="11"/>
    </row>
    <row r="70"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11"/>
      <c r="BX70" s="11"/>
      <c r="BY70" s="11"/>
      <c r="BZ70" s="11"/>
      <c r="CA70" s="11"/>
      <c r="CB70" s="11"/>
      <c r="CC70" s="11"/>
      <c r="CD70" s="11"/>
      <c r="CE70" s="11"/>
      <c r="CF70" s="11"/>
      <c r="CG70" s="11"/>
      <c r="CH70" s="11"/>
      <c r="CI70" s="11"/>
      <c r="CJ70" s="11"/>
      <c r="CK70" s="11"/>
      <c r="CL70" s="11"/>
      <c r="CM70" s="11"/>
      <c r="CN70" s="11"/>
    </row>
    <row r="71"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11"/>
      <c r="BX71" s="11"/>
      <c r="BY71" s="11"/>
      <c r="BZ71" s="11"/>
      <c r="CA71" s="11"/>
      <c r="CB71" s="11"/>
      <c r="CC71" s="11"/>
      <c r="CD71" s="11"/>
      <c r="CE71" s="11"/>
      <c r="CF71" s="11"/>
      <c r="CG71" s="11"/>
      <c r="CH71" s="11"/>
      <c r="CI71" s="11"/>
      <c r="CJ71" s="11"/>
      <c r="CK71" s="11"/>
      <c r="CL71" s="11"/>
      <c r="CM71" s="11"/>
      <c r="CN71" s="11"/>
    </row>
    <row r="72"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11"/>
      <c r="BX72" s="11"/>
      <c r="BY72" s="11"/>
      <c r="BZ72" s="11"/>
      <c r="CA72" s="11"/>
      <c r="CB72" s="11"/>
      <c r="CC72" s="11"/>
      <c r="CD72" s="11"/>
      <c r="CE72" s="11"/>
      <c r="CF72" s="11"/>
      <c r="CG72" s="11"/>
      <c r="CH72" s="11"/>
      <c r="CI72" s="11"/>
      <c r="CJ72" s="11"/>
      <c r="CK72" s="11"/>
      <c r="CL72" s="11"/>
      <c r="CM72" s="11"/>
      <c r="CN72" s="11"/>
    </row>
    <row r="73"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11"/>
      <c r="BX73" s="11"/>
      <c r="BY73" s="11"/>
      <c r="BZ73" s="11"/>
      <c r="CA73" s="11"/>
      <c r="CB73" s="11"/>
      <c r="CC73" s="11"/>
      <c r="CD73" s="11"/>
      <c r="CE73" s="11"/>
      <c r="CF73" s="11"/>
      <c r="CG73" s="11"/>
      <c r="CH73" s="11"/>
      <c r="CI73" s="11"/>
      <c r="CJ73" s="11"/>
      <c r="CK73" s="11"/>
      <c r="CL73" s="11"/>
      <c r="CM73" s="11"/>
      <c r="CN73" s="11"/>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11"/>
      <c r="BX74" s="11"/>
      <c r="BY74" s="11"/>
      <c r="BZ74" s="11"/>
      <c r="CA74" s="11"/>
      <c r="CB74" s="11"/>
      <c r="CC74" s="11"/>
      <c r="CD74" s="11"/>
      <c r="CE74" s="11"/>
      <c r="CF74" s="11"/>
      <c r="CG74" s="11"/>
      <c r="CH74" s="11"/>
      <c r="CI74" s="11"/>
      <c r="CJ74" s="11"/>
      <c r="CK74" s="11"/>
      <c r="CL74" s="11"/>
      <c r="CM74" s="11"/>
      <c r="CN74" s="11"/>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11"/>
      <c r="BX75" s="11"/>
      <c r="BY75" s="11"/>
      <c r="BZ75" s="11"/>
      <c r="CA75" s="11"/>
      <c r="CB75" s="11"/>
      <c r="CC75" s="11"/>
      <c r="CD75" s="11"/>
      <c r="CE75" s="11"/>
      <c r="CF75" s="11"/>
      <c r="CG75" s="11"/>
      <c r="CH75" s="11"/>
      <c r="CI75" s="11"/>
      <c r="CJ75" s="11"/>
      <c r="CK75" s="11"/>
      <c r="CL75" s="11"/>
      <c r="CM75" s="11"/>
      <c r="CN75" s="11"/>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11"/>
      <c r="BX76" s="11"/>
      <c r="BY76" s="11"/>
      <c r="BZ76" s="11"/>
      <c r="CA76" s="11"/>
      <c r="CB76" s="11"/>
      <c r="CC76" s="11"/>
      <c r="CD76" s="11"/>
      <c r="CE76" s="11"/>
      <c r="CF76" s="11"/>
      <c r="CG76" s="11"/>
      <c r="CH76" s="11"/>
      <c r="CI76" s="11"/>
      <c r="CJ76" s="11"/>
      <c r="CK76" s="11"/>
      <c r="CL76" s="11"/>
      <c r="CM76" s="11"/>
      <c r="CN76" s="11"/>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11"/>
      <c r="BX77" s="11"/>
      <c r="BY77" s="11"/>
      <c r="BZ77" s="11"/>
      <c r="CA77" s="11"/>
      <c r="CB77" s="11"/>
      <c r="CC77" s="11"/>
      <c r="CD77" s="11"/>
      <c r="CE77" s="11"/>
      <c r="CF77" s="11"/>
      <c r="CG77" s="11"/>
      <c r="CH77" s="11"/>
      <c r="CI77" s="11"/>
      <c r="CJ77" s="11"/>
      <c r="CK77" s="11"/>
      <c r="CL77" s="11"/>
      <c r="CM77" s="11"/>
      <c r="CN77" s="11"/>
    </row>
    <row r="78"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11"/>
      <c r="BX78" s="11"/>
      <c r="BY78" s="11"/>
      <c r="BZ78" s="11"/>
      <c r="CA78" s="11"/>
      <c r="CB78" s="11"/>
      <c r="CC78" s="11"/>
      <c r="CD78" s="11"/>
      <c r="CE78" s="11"/>
      <c r="CF78" s="11"/>
      <c r="CG78" s="11"/>
      <c r="CH78" s="11"/>
      <c r="CI78" s="11"/>
      <c r="CJ78" s="11"/>
      <c r="CK78" s="11"/>
      <c r="CL78" s="11"/>
      <c r="CM78" s="11"/>
      <c r="CN78" s="11"/>
    </row>
    <row r="79"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11"/>
      <c r="BX79" s="11"/>
      <c r="BY79" s="11"/>
      <c r="BZ79" s="11"/>
      <c r="CA79" s="11"/>
      <c r="CB79" s="11"/>
      <c r="CC79" s="11"/>
      <c r="CD79" s="11"/>
      <c r="CE79" s="11"/>
      <c r="CF79" s="11"/>
      <c r="CG79" s="11"/>
      <c r="CH79" s="11"/>
      <c r="CI79" s="11"/>
      <c r="CJ79" s="11"/>
      <c r="CK79" s="11"/>
      <c r="CL79" s="11"/>
      <c r="CM79" s="11"/>
      <c r="CN79" s="11"/>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11"/>
      <c r="BX80" s="11"/>
      <c r="BY80" s="11"/>
      <c r="BZ80" s="11"/>
      <c r="CA80" s="11"/>
      <c r="CB80" s="11"/>
      <c r="CC80" s="11"/>
      <c r="CD80" s="11"/>
      <c r="CE80" s="11"/>
      <c r="CF80" s="11"/>
      <c r="CG80" s="11"/>
      <c r="CH80" s="11"/>
      <c r="CI80" s="11"/>
      <c r="CJ80" s="11"/>
      <c r="CK80" s="11"/>
      <c r="CL80" s="11"/>
      <c r="CM80" s="11"/>
      <c r="CN80" s="11"/>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11"/>
      <c r="BX81" s="11"/>
      <c r="BY81" s="11"/>
      <c r="BZ81" s="11"/>
      <c r="CA81" s="11"/>
      <c r="CB81" s="11"/>
      <c r="CC81" s="11"/>
      <c r="CD81" s="11"/>
      <c r="CE81" s="11"/>
      <c r="CF81" s="11"/>
      <c r="CG81" s="11"/>
      <c r="CH81" s="11"/>
      <c r="CI81" s="11"/>
      <c r="CJ81" s="11"/>
      <c r="CK81" s="11"/>
      <c r="CL81" s="11"/>
      <c r="CM81" s="11"/>
      <c r="CN81" s="11"/>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11"/>
      <c r="BX82" s="11"/>
      <c r="BY82" s="11"/>
      <c r="BZ82" s="11"/>
      <c r="CA82" s="11"/>
      <c r="CB82" s="11"/>
      <c r="CC82" s="11"/>
      <c r="CD82" s="11"/>
      <c r="CE82" s="11"/>
      <c r="CF82" s="11"/>
      <c r="CG82" s="11"/>
      <c r="CH82" s="11"/>
      <c r="CI82" s="11"/>
      <c r="CJ82" s="11"/>
      <c r="CK82" s="11"/>
      <c r="CL82" s="11"/>
      <c r="CM82" s="11"/>
      <c r="CN82" s="11"/>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11"/>
      <c r="BX83" s="11"/>
      <c r="BY83" s="11"/>
      <c r="BZ83" s="11"/>
      <c r="CA83" s="11"/>
      <c r="CB83" s="11"/>
      <c r="CC83" s="11"/>
      <c r="CD83" s="11"/>
      <c r="CE83" s="11"/>
      <c r="CF83" s="11"/>
      <c r="CG83" s="11"/>
      <c r="CH83" s="11"/>
      <c r="CI83" s="11"/>
      <c r="CJ83" s="11"/>
      <c r="CK83" s="11"/>
      <c r="CL83" s="11"/>
      <c r="CM83" s="11"/>
      <c r="CN83" s="11"/>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11"/>
      <c r="BX84" s="11"/>
      <c r="BY84" s="11"/>
      <c r="BZ84" s="11"/>
      <c r="CA84" s="11"/>
      <c r="CB84" s="11"/>
      <c r="CC84" s="11"/>
      <c r="CD84" s="11"/>
      <c r="CE84" s="11"/>
      <c r="CF84" s="11"/>
      <c r="CG84" s="11"/>
      <c r="CH84" s="11"/>
      <c r="CI84" s="11"/>
      <c r="CJ84" s="11"/>
      <c r="CK84" s="11"/>
      <c r="CL84" s="11"/>
      <c r="CM84" s="11"/>
      <c r="CN84" s="11"/>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11"/>
      <c r="BX85" s="11"/>
      <c r="BY85" s="11"/>
      <c r="BZ85" s="11"/>
      <c r="CA85" s="11"/>
      <c r="CB85" s="11"/>
      <c r="CC85" s="11"/>
      <c r="CD85" s="11"/>
      <c r="CE85" s="11"/>
      <c r="CF85" s="11"/>
      <c r="CG85" s="11"/>
      <c r="CH85" s="11"/>
      <c r="CI85" s="11"/>
      <c r="CJ85" s="11"/>
      <c r="CK85" s="11"/>
      <c r="CL85" s="11"/>
      <c r="CM85" s="11"/>
      <c r="CN85" s="11"/>
    </row>
    <row r="8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11"/>
      <c r="BX86" s="11"/>
      <c r="BY86" s="11"/>
      <c r="BZ86" s="11"/>
      <c r="CA86" s="11"/>
      <c r="CB86" s="11"/>
      <c r="CC86" s="11"/>
      <c r="CD86" s="11"/>
      <c r="CE86" s="11"/>
      <c r="CF86" s="11"/>
      <c r="CG86" s="11"/>
      <c r="CH86" s="11"/>
      <c r="CI86" s="11"/>
      <c r="CJ86" s="11"/>
      <c r="CK86" s="11"/>
      <c r="CL86" s="11"/>
      <c r="CM86" s="11"/>
      <c r="CN86" s="11"/>
    </row>
    <row r="87"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11"/>
      <c r="BX87" s="11"/>
      <c r="BY87" s="11"/>
      <c r="BZ87" s="11"/>
      <c r="CA87" s="11"/>
      <c r="CB87" s="11"/>
      <c r="CC87" s="11"/>
      <c r="CD87" s="11"/>
      <c r="CE87" s="11"/>
      <c r="CF87" s="11"/>
      <c r="CG87" s="11"/>
      <c r="CH87" s="11"/>
      <c r="CI87" s="11"/>
      <c r="CJ87" s="11"/>
      <c r="CK87" s="11"/>
      <c r="CL87" s="11"/>
      <c r="CM87" s="11"/>
      <c r="CN87" s="11"/>
    </row>
    <row r="88"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11"/>
      <c r="BX88" s="11"/>
      <c r="BY88" s="11"/>
      <c r="BZ88" s="11"/>
      <c r="CA88" s="11"/>
      <c r="CB88" s="11"/>
      <c r="CC88" s="11"/>
      <c r="CD88" s="11"/>
      <c r="CE88" s="11"/>
      <c r="CF88" s="11"/>
      <c r="CG88" s="11"/>
      <c r="CH88" s="11"/>
      <c r="CI88" s="11"/>
      <c r="CJ88" s="11"/>
      <c r="CK88" s="11"/>
      <c r="CL88" s="11"/>
      <c r="CM88" s="11"/>
      <c r="CN88" s="11"/>
    </row>
    <row r="89"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11"/>
      <c r="BX89" s="11"/>
      <c r="BY89" s="11"/>
      <c r="BZ89" s="11"/>
      <c r="CA89" s="11"/>
      <c r="CB89" s="11"/>
      <c r="CC89" s="11"/>
      <c r="CD89" s="11"/>
      <c r="CE89" s="11"/>
      <c r="CF89" s="11"/>
      <c r="CG89" s="11"/>
      <c r="CH89" s="11"/>
      <c r="CI89" s="11"/>
      <c r="CJ89" s="11"/>
      <c r="CK89" s="11"/>
      <c r="CL89" s="11"/>
      <c r="CM89" s="11"/>
      <c r="CN89" s="11"/>
    </row>
    <row r="90"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11"/>
      <c r="BX90" s="11"/>
      <c r="BY90" s="11"/>
      <c r="BZ90" s="11"/>
      <c r="CA90" s="11"/>
      <c r="CB90" s="11"/>
      <c r="CC90" s="11"/>
      <c r="CD90" s="11"/>
      <c r="CE90" s="11"/>
      <c r="CF90" s="11"/>
      <c r="CG90" s="11"/>
      <c r="CH90" s="11"/>
      <c r="CI90" s="11"/>
      <c r="CJ90" s="11"/>
      <c r="CK90" s="11"/>
      <c r="CL90" s="11"/>
      <c r="CM90" s="11"/>
      <c r="CN90" s="11"/>
    </row>
    <row r="91"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11"/>
      <c r="BX91" s="11"/>
      <c r="BY91" s="11"/>
      <c r="BZ91" s="11"/>
      <c r="CA91" s="11"/>
      <c r="CB91" s="11"/>
      <c r="CC91" s="11"/>
      <c r="CD91" s="11"/>
      <c r="CE91" s="11"/>
      <c r="CF91" s="11"/>
      <c r="CG91" s="11"/>
      <c r="CH91" s="11"/>
      <c r="CI91" s="11"/>
      <c r="CJ91" s="11"/>
      <c r="CK91" s="11"/>
      <c r="CL91" s="11"/>
      <c r="CM91" s="11"/>
      <c r="CN91" s="11"/>
    </row>
    <row r="92"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11"/>
      <c r="BX92" s="11"/>
      <c r="BY92" s="11"/>
      <c r="BZ92" s="11"/>
      <c r="CA92" s="11"/>
      <c r="CB92" s="11"/>
      <c r="CC92" s="11"/>
      <c r="CD92" s="11"/>
      <c r="CE92" s="11"/>
      <c r="CF92" s="11"/>
      <c r="CG92" s="11"/>
      <c r="CH92" s="11"/>
      <c r="CI92" s="11"/>
      <c r="CJ92" s="11"/>
      <c r="CK92" s="11"/>
      <c r="CL92" s="11"/>
      <c r="CM92" s="11"/>
      <c r="CN92" s="11"/>
    </row>
    <row r="93"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11"/>
      <c r="BX93" s="11"/>
      <c r="BY93" s="11"/>
      <c r="BZ93" s="11"/>
      <c r="CA93" s="11"/>
      <c r="CB93" s="11"/>
      <c r="CC93" s="11"/>
      <c r="CD93" s="11"/>
      <c r="CE93" s="11"/>
      <c r="CF93" s="11"/>
      <c r="CG93" s="11"/>
      <c r="CH93" s="11"/>
      <c r="CI93" s="11"/>
      <c r="CJ93" s="11"/>
      <c r="CK93" s="11"/>
      <c r="CL93" s="11"/>
      <c r="CM93" s="11"/>
      <c r="CN93" s="11"/>
    </row>
    <row r="94"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11"/>
      <c r="BX94" s="11"/>
      <c r="BY94" s="11"/>
      <c r="BZ94" s="11"/>
      <c r="CA94" s="11"/>
      <c r="CB94" s="11"/>
      <c r="CC94" s="11"/>
      <c r="CD94" s="11"/>
      <c r="CE94" s="11"/>
      <c r="CF94" s="11"/>
      <c r="CG94" s="11"/>
      <c r="CH94" s="11"/>
      <c r="CI94" s="11"/>
      <c r="CJ94" s="11"/>
      <c r="CK94" s="11"/>
      <c r="CL94" s="11"/>
      <c r="CM94" s="11"/>
      <c r="CN94" s="11"/>
    </row>
    <row r="95"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11"/>
      <c r="BX95" s="11"/>
      <c r="BY95" s="11"/>
      <c r="BZ95" s="11"/>
      <c r="CA95" s="11"/>
      <c r="CB95" s="11"/>
      <c r="CC95" s="11"/>
      <c r="CD95" s="11"/>
      <c r="CE95" s="11"/>
      <c r="CF95" s="11"/>
      <c r="CG95" s="11"/>
      <c r="CH95" s="11"/>
      <c r="CI95" s="11"/>
      <c r="CJ95" s="11"/>
      <c r="CK95" s="11"/>
      <c r="CL95" s="11"/>
      <c r="CM95" s="11"/>
      <c r="CN95" s="11"/>
    </row>
    <row r="9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11"/>
      <c r="BX96" s="11"/>
      <c r="BY96" s="11"/>
      <c r="BZ96" s="11"/>
      <c r="CA96" s="11"/>
      <c r="CB96" s="11"/>
      <c r="CC96" s="11"/>
      <c r="CD96" s="11"/>
      <c r="CE96" s="11"/>
      <c r="CF96" s="11"/>
      <c r="CG96" s="11"/>
      <c r="CH96" s="11"/>
      <c r="CI96" s="11"/>
      <c r="CJ96" s="11"/>
      <c r="CK96" s="11"/>
      <c r="CL96" s="11"/>
      <c r="CM96" s="11"/>
      <c r="CN96" s="11"/>
    </row>
    <row r="97"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11"/>
      <c r="BX97" s="11"/>
      <c r="BY97" s="11"/>
      <c r="BZ97" s="11"/>
      <c r="CA97" s="11"/>
      <c r="CB97" s="11"/>
      <c r="CC97" s="11"/>
      <c r="CD97" s="11"/>
      <c r="CE97" s="11"/>
      <c r="CF97" s="11"/>
      <c r="CG97" s="11"/>
      <c r="CH97" s="11"/>
      <c r="CI97" s="11"/>
      <c r="CJ97" s="11"/>
      <c r="CK97" s="11"/>
      <c r="CL97" s="11"/>
      <c r="CM97" s="11"/>
      <c r="CN97" s="11"/>
    </row>
    <row r="98"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11"/>
      <c r="BX98" s="11"/>
      <c r="BY98" s="11"/>
      <c r="BZ98" s="11"/>
      <c r="CA98" s="11"/>
      <c r="CB98" s="11"/>
      <c r="CC98" s="11"/>
      <c r="CD98" s="11"/>
      <c r="CE98" s="11"/>
      <c r="CF98" s="11"/>
      <c r="CG98" s="11"/>
      <c r="CH98" s="11"/>
      <c r="CI98" s="11"/>
      <c r="CJ98" s="11"/>
      <c r="CK98" s="11"/>
      <c r="CL98" s="11"/>
      <c r="CM98" s="11"/>
      <c r="CN98" s="11"/>
    </row>
    <row r="99"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11"/>
      <c r="BX99" s="11"/>
      <c r="BY99" s="11"/>
      <c r="BZ99" s="11"/>
      <c r="CA99" s="11"/>
      <c r="CB99" s="11"/>
      <c r="CC99" s="11"/>
      <c r="CD99" s="11"/>
      <c r="CE99" s="11"/>
      <c r="CF99" s="11"/>
      <c r="CG99" s="11"/>
      <c r="CH99" s="11"/>
      <c r="CI99" s="11"/>
      <c r="CJ99" s="11"/>
      <c r="CK99" s="11"/>
      <c r="CL99" s="11"/>
      <c r="CM99" s="11"/>
      <c r="CN99" s="11"/>
    </row>
    <row r="100"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11"/>
      <c r="BX100" s="11"/>
      <c r="BY100" s="11"/>
      <c r="BZ100" s="11"/>
      <c r="CA100" s="11"/>
      <c r="CB100" s="11"/>
      <c r="CC100" s="11"/>
      <c r="CD100" s="11"/>
      <c r="CE100" s="11"/>
      <c r="CF100" s="11"/>
      <c r="CG100" s="11"/>
      <c r="CH100" s="11"/>
      <c r="CI100" s="11"/>
      <c r="CJ100" s="11"/>
      <c r="CK100" s="11"/>
      <c r="CL100" s="11"/>
      <c r="CM100" s="11"/>
      <c r="CN100" s="11"/>
    </row>
    <row r="101"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11"/>
      <c r="BX101" s="11"/>
      <c r="BY101" s="11"/>
      <c r="BZ101" s="11"/>
      <c r="CA101" s="11"/>
      <c r="CB101" s="11"/>
      <c r="CC101" s="11"/>
      <c r="CD101" s="11"/>
      <c r="CE101" s="11"/>
      <c r="CF101" s="11"/>
      <c r="CG101" s="11"/>
      <c r="CH101" s="11"/>
      <c r="CI101" s="11"/>
      <c r="CJ101" s="11"/>
      <c r="CK101" s="11"/>
      <c r="CL101" s="11"/>
      <c r="CM101" s="11"/>
      <c r="CN101" s="11"/>
    </row>
    <row r="102"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11"/>
      <c r="BX102" s="11"/>
      <c r="BY102" s="11"/>
      <c r="BZ102" s="11"/>
      <c r="CA102" s="11"/>
      <c r="CB102" s="11"/>
      <c r="CC102" s="11"/>
      <c r="CD102" s="11"/>
      <c r="CE102" s="11"/>
      <c r="CF102" s="11"/>
      <c r="CG102" s="11"/>
      <c r="CH102" s="11"/>
      <c r="CI102" s="11"/>
      <c r="CJ102" s="11"/>
      <c r="CK102" s="11"/>
      <c r="CL102" s="11"/>
      <c r="CM102" s="11"/>
      <c r="CN102" s="11"/>
    </row>
    <row r="103"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11"/>
      <c r="BX103" s="11"/>
      <c r="BY103" s="11"/>
      <c r="BZ103" s="11"/>
      <c r="CA103" s="11"/>
      <c r="CB103" s="11"/>
      <c r="CC103" s="11"/>
      <c r="CD103" s="11"/>
      <c r="CE103" s="11"/>
      <c r="CF103" s="11"/>
      <c r="CG103" s="11"/>
      <c r="CH103" s="11"/>
      <c r="CI103" s="11"/>
      <c r="CJ103" s="11"/>
      <c r="CK103" s="11"/>
      <c r="CL103" s="11"/>
      <c r="CM103" s="11"/>
      <c r="CN103" s="11"/>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11"/>
      <c r="BX104" s="11"/>
      <c r="BY104" s="11"/>
      <c r="BZ104" s="11"/>
      <c r="CA104" s="11"/>
      <c r="CB104" s="11"/>
      <c r="CC104" s="11"/>
      <c r="CD104" s="11"/>
      <c r="CE104" s="11"/>
      <c r="CF104" s="11"/>
      <c r="CG104" s="11"/>
      <c r="CH104" s="11"/>
      <c r="CI104" s="11"/>
      <c r="CJ104" s="11"/>
      <c r="CK104" s="11"/>
      <c r="CL104" s="11"/>
      <c r="CM104" s="11"/>
      <c r="CN104" s="11"/>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11"/>
      <c r="BX105" s="11"/>
      <c r="BY105" s="11"/>
      <c r="BZ105" s="11"/>
      <c r="CA105" s="11"/>
      <c r="CB105" s="11"/>
      <c r="CC105" s="11"/>
      <c r="CD105" s="11"/>
      <c r="CE105" s="11"/>
      <c r="CF105" s="11"/>
      <c r="CG105" s="11"/>
      <c r="CH105" s="11"/>
      <c r="CI105" s="11"/>
      <c r="CJ105" s="11"/>
      <c r="CK105" s="11"/>
      <c r="CL105" s="11"/>
      <c r="CM105" s="11"/>
      <c r="CN105" s="11"/>
    </row>
    <row r="10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11"/>
      <c r="BX106" s="11"/>
      <c r="BY106" s="11"/>
      <c r="BZ106" s="11"/>
      <c r="CA106" s="11"/>
      <c r="CB106" s="11"/>
      <c r="CC106" s="11"/>
      <c r="CD106" s="11"/>
      <c r="CE106" s="11"/>
      <c r="CF106" s="11"/>
      <c r="CG106" s="11"/>
      <c r="CH106" s="11"/>
      <c r="CI106" s="11"/>
      <c r="CJ106" s="11"/>
      <c r="CK106" s="11"/>
      <c r="CL106" s="11"/>
      <c r="CM106" s="11"/>
      <c r="CN106" s="11"/>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11"/>
      <c r="BX107" s="11"/>
      <c r="BY107" s="11"/>
      <c r="BZ107" s="11"/>
      <c r="CA107" s="11"/>
      <c r="CB107" s="11"/>
      <c r="CC107" s="11"/>
      <c r="CD107" s="11"/>
      <c r="CE107" s="11"/>
      <c r="CF107" s="11"/>
      <c r="CG107" s="11"/>
      <c r="CH107" s="11"/>
      <c r="CI107" s="11"/>
      <c r="CJ107" s="11"/>
      <c r="CK107" s="11"/>
      <c r="CL107" s="11"/>
      <c r="CM107" s="11"/>
      <c r="CN107" s="11"/>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11"/>
      <c r="BX108" s="11"/>
      <c r="BY108" s="11"/>
      <c r="BZ108" s="11"/>
      <c r="CA108" s="11"/>
      <c r="CB108" s="11"/>
      <c r="CC108" s="11"/>
      <c r="CD108" s="11"/>
      <c r="CE108" s="11"/>
      <c r="CF108" s="11"/>
      <c r="CG108" s="11"/>
      <c r="CH108" s="11"/>
      <c r="CI108" s="11"/>
      <c r="CJ108" s="11"/>
      <c r="CK108" s="11"/>
      <c r="CL108" s="11"/>
      <c r="CM108" s="11"/>
      <c r="CN108" s="11"/>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11"/>
      <c r="BX109" s="11"/>
      <c r="BY109" s="11"/>
      <c r="BZ109" s="11"/>
      <c r="CA109" s="11"/>
      <c r="CB109" s="11"/>
      <c r="CC109" s="11"/>
      <c r="CD109" s="11"/>
      <c r="CE109" s="11"/>
      <c r="CF109" s="11"/>
      <c r="CG109" s="11"/>
      <c r="CH109" s="11"/>
      <c r="CI109" s="11"/>
      <c r="CJ109" s="11"/>
      <c r="CK109" s="11"/>
      <c r="CL109" s="11"/>
      <c r="CM109" s="11"/>
      <c r="CN109" s="11"/>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11"/>
      <c r="BX110" s="11"/>
      <c r="BY110" s="11"/>
      <c r="BZ110" s="11"/>
      <c r="CA110" s="11"/>
      <c r="CB110" s="11"/>
      <c r="CC110" s="11"/>
      <c r="CD110" s="11"/>
      <c r="CE110" s="11"/>
      <c r="CF110" s="11"/>
      <c r="CG110" s="11"/>
      <c r="CH110" s="11"/>
      <c r="CI110" s="11"/>
      <c r="CJ110" s="11"/>
      <c r="CK110" s="11"/>
      <c r="CL110" s="11"/>
      <c r="CM110" s="11"/>
      <c r="CN110" s="11"/>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11"/>
      <c r="BX111" s="11"/>
      <c r="BY111" s="11"/>
      <c r="BZ111" s="11"/>
      <c r="CA111" s="11"/>
      <c r="CB111" s="11"/>
      <c r="CC111" s="11"/>
      <c r="CD111" s="11"/>
      <c r="CE111" s="11"/>
      <c r="CF111" s="11"/>
      <c r="CG111" s="11"/>
      <c r="CH111" s="11"/>
      <c r="CI111" s="11"/>
      <c r="CJ111" s="11"/>
      <c r="CK111" s="11"/>
      <c r="CL111" s="11"/>
      <c r="CM111" s="11"/>
      <c r="CN111" s="11"/>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11"/>
      <c r="BX112" s="11"/>
      <c r="BY112" s="11"/>
      <c r="BZ112" s="11"/>
      <c r="CA112" s="11"/>
      <c r="CB112" s="11"/>
      <c r="CC112" s="11"/>
      <c r="CD112" s="11"/>
      <c r="CE112" s="11"/>
      <c r="CF112" s="11"/>
      <c r="CG112" s="11"/>
      <c r="CH112" s="11"/>
      <c r="CI112" s="11"/>
      <c r="CJ112" s="11"/>
      <c r="CK112" s="11"/>
      <c r="CL112" s="11"/>
      <c r="CM112" s="11"/>
      <c r="CN112" s="11"/>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11"/>
      <c r="BX113" s="11"/>
      <c r="BY113" s="11"/>
      <c r="BZ113" s="11"/>
      <c r="CA113" s="11"/>
      <c r="CB113" s="11"/>
      <c r="CC113" s="11"/>
      <c r="CD113" s="11"/>
      <c r="CE113" s="11"/>
      <c r="CF113" s="11"/>
      <c r="CG113" s="11"/>
      <c r="CH113" s="11"/>
      <c r="CI113" s="11"/>
      <c r="CJ113" s="11"/>
      <c r="CK113" s="11"/>
      <c r="CL113" s="11"/>
      <c r="CM113" s="11"/>
      <c r="CN113" s="11"/>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11"/>
      <c r="BX114" s="11"/>
      <c r="BY114" s="11"/>
      <c r="BZ114" s="11"/>
      <c r="CA114" s="11"/>
      <c r="CB114" s="11"/>
      <c r="CC114" s="11"/>
      <c r="CD114" s="11"/>
      <c r="CE114" s="11"/>
      <c r="CF114" s="11"/>
      <c r="CG114" s="11"/>
      <c r="CH114" s="11"/>
      <c r="CI114" s="11"/>
      <c r="CJ114" s="11"/>
      <c r="CK114" s="11"/>
      <c r="CL114" s="11"/>
      <c r="CM114" s="11"/>
      <c r="CN114" s="11"/>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11"/>
      <c r="BX115" s="11"/>
      <c r="BY115" s="11"/>
      <c r="BZ115" s="11"/>
      <c r="CA115" s="11"/>
      <c r="CB115" s="11"/>
      <c r="CC115" s="11"/>
      <c r="CD115" s="11"/>
      <c r="CE115" s="11"/>
      <c r="CF115" s="11"/>
      <c r="CG115" s="11"/>
      <c r="CH115" s="11"/>
      <c r="CI115" s="11"/>
      <c r="CJ115" s="11"/>
      <c r="CK115" s="11"/>
      <c r="CL115" s="11"/>
      <c r="CM115" s="11"/>
      <c r="CN115" s="11"/>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11"/>
      <c r="BX116" s="11"/>
      <c r="BY116" s="11"/>
      <c r="BZ116" s="11"/>
      <c r="CA116" s="11"/>
      <c r="CB116" s="11"/>
      <c r="CC116" s="11"/>
      <c r="CD116" s="11"/>
      <c r="CE116" s="11"/>
      <c r="CF116" s="11"/>
      <c r="CG116" s="11"/>
      <c r="CH116" s="11"/>
      <c r="CI116" s="11"/>
      <c r="CJ116" s="11"/>
      <c r="CK116" s="11"/>
      <c r="CL116" s="11"/>
      <c r="CM116" s="11"/>
      <c r="CN116" s="11"/>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11"/>
      <c r="BX117" s="11"/>
      <c r="BY117" s="11"/>
      <c r="BZ117" s="11"/>
      <c r="CA117" s="11"/>
      <c r="CB117" s="11"/>
      <c r="CC117" s="11"/>
      <c r="CD117" s="11"/>
      <c r="CE117" s="11"/>
      <c r="CF117" s="11"/>
      <c r="CG117" s="11"/>
      <c r="CH117" s="11"/>
      <c r="CI117" s="11"/>
      <c r="CJ117" s="11"/>
      <c r="CK117" s="11"/>
      <c r="CL117" s="11"/>
      <c r="CM117" s="11"/>
      <c r="CN117" s="11"/>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11"/>
      <c r="BX118" s="11"/>
      <c r="BY118" s="11"/>
      <c r="BZ118" s="11"/>
      <c r="CA118" s="11"/>
      <c r="CB118" s="11"/>
      <c r="CC118" s="11"/>
      <c r="CD118" s="11"/>
      <c r="CE118" s="11"/>
      <c r="CF118" s="11"/>
      <c r="CG118" s="11"/>
      <c r="CH118" s="11"/>
      <c r="CI118" s="11"/>
      <c r="CJ118" s="11"/>
      <c r="CK118" s="11"/>
      <c r="CL118" s="11"/>
      <c r="CM118" s="11"/>
      <c r="CN118" s="11"/>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11"/>
      <c r="BX119" s="11"/>
      <c r="BY119" s="11"/>
      <c r="BZ119" s="11"/>
      <c r="CA119" s="11"/>
      <c r="CB119" s="11"/>
      <c r="CC119" s="11"/>
      <c r="CD119" s="11"/>
      <c r="CE119" s="11"/>
      <c r="CF119" s="11"/>
      <c r="CG119" s="11"/>
      <c r="CH119" s="11"/>
      <c r="CI119" s="11"/>
      <c r="CJ119" s="11"/>
      <c r="CK119" s="11"/>
      <c r="CL119" s="11"/>
      <c r="CM119" s="11"/>
      <c r="CN119" s="11"/>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11"/>
      <c r="BX120" s="11"/>
      <c r="BY120" s="11"/>
      <c r="BZ120" s="11"/>
      <c r="CA120" s="11"/>
      <c r="CB120" s="11"/>
      <c r="CC120" s="11"/>
      <c r="CD120" s="11"/>
      <c r="CE120" s="11"/>
      <c r="CF120" s="11"/>
      <c r="CG120" s="11"/>
      <c r="CH120" s="11"/>
      <c r="CI120" s="11"/>
      <c r="CJ120" s="11"/>
      <c r="CK120" s="11"/>
      <c r="CL120" s="11"/>
      <c r="CM120" s="11"/>
      <c r="CN120" s="11"/>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11"/>
      <c r="BX121" s="11"/>
      <c r="BY121" s="11"/>
      <c r="BZ121" s="11"/>
      <c r="CA121" s="11"/>
      <c r="CB121" s="11"/>
      <c r="CC121" s="11"/>
      <c r="CD121" s="11"/>
      <c r="CE121" s="11"/>
      <c r="CF121" s="11"/>
      <c r="CG121" s="11"/>
      <c r="CH121" s="11"/>
      <c r="CI121" s="11"/>
      <c r="CJ121" s="11"/>
      <c r="CK121" s="11"/>
      <c r="CL121" s="11"/>
      <c r="CM121" s="11"/>
      <c r="CN121" s="11"/>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11"/>
      <c r="BX122" s="11"/>
      <c r="BY122" s="11"/>
      <c r="BZ122" s="11"/>
      <c r="CA122" s="11"/>
      <c r="CB122" s="11"/>
      <c r="CC122" s="11"/>
      <c r="CD122" s="11"/>
      <c r="CE122" s="11"/>
      <c r="CF122" s="11"/>
      <c r="CG122" s="11"/>
      <c r="CH122" s="11"/>
      <c r="CI122" s="11"/>
      <c r="CJ122" s="11"/>
      <c r="CK122" s="11"/>
      <c r="CL122" s="11"/>
      <c r="CM122" s="11"/>
      <c r="CN122" s="11"/>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11"/>
      <c r="BX123" s="11"/>
      <c r="BY123" s="11"/>
      <c r="BZ123" s="11"/>
      <c r="CA123" s="11"/>
      <c r="CB123" s="11"/>
      <c r="CC123" s="11"/>
      <c r="CD123" s="11"/>
      <c r="CE123" s="11"/>
      <c r="CF123" s="11"/>
      <c r="CG123" s="11"/>
      <c r="CH123" s="11"/>
      <c r="CI123" s="11"/>
      <c r="CJ123" s="11"/>
      <c r="CK123" s="11"/>
      <c r="CL123" s="11"/>
      <c r="CM123" s="11"/>
      <c r="CN123" s="11"/>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11"/>
      <c r="BX124" s="11"/>
      <c r="BY124" s="11"/>
      <c r="BZ124" s="11"/>
      <c r="CA124" s="11"/>
      <c r="CB124" s="11"/>
      <c r="CC124" s="11"/>
      <c r="CD124" s="11"/>
      <c r="CE124" s="11"/>
      <c r="CF124" s="11"/>
      <c r="CG124" s="11"/>
      <c r="CH124" s="11"/>
      <c r="CI124" s="11"/>
      <c r="CJ124" s="11"/>
      <c r="CK124" s="11"/>
      <c r="CL124" s="11"/>
      <c r="CM124" s="11"/>
      <c r="CN124" s="11"/>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11"/>
      <c r="BX125" s="11"/>
      <c r="BY125" s="11"/>
      <c r="BZ125" s="11"/>
      <c r="CA125" s="11"/>
      <c r="CB125" s="11"/>
      <c r="CC125" s="11"/>
      <c r="CD125" s="11"/>
      <c r="CE125" s="11"/>
      <c r="CF125" s="11"/>
      <c r="CG125" s="11"/>
      <c r="CH125" s="11"/>
      <c r="CI125" s="11"/>
      <c r="CJ125" s="11"/>
      <c r="CK125" s="11"/>
      <c r="CL125" s="11"/>
      <c r="CM125" s="11"/>
      <c r="CN125" s="11"/>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11"/>
      <c r="BX126" s="11"/>
      <c r="BY126" s="11"/>
      <c r="BZ126" s="11"/>
      <c r="CA126" s="11"/>
      <c r="CB126" s="11"/>
      <c r="CC126" s="11"/>
      <c r="CD126" s="11"/>
      <c r="CE126" s="11"/>
      <c r="CF126" s="11"/>
      <c r="CG126" s="11"/>
      <c r="CH126" s="11"/>
      <c r="CI126" s="11"/>
      <c r="CJ126" s="11"/>
      <c r="CK126" s="11"/>
      <c r="CL126" s="11"/>
      <c r="CM126" s="11"/>
      <c r="CN126" s="11"/>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11"/>
      <c r="BX127" s="11"/>
      <c r="BY127" s="11"/>
      <c r="BZ127" s="11"/>
      <c r="CA127" s="11"/>
      <c r="CB127" s="11"/>
      <c r="CC127" s="11"/>
      <c r="CD127" s="11"/>
      <c r="CE127" s="11"/>
      <c r="CF127" s="11"/>
      <c r="CG127" s="11"/>
      <c r="CH127" s="11"/>
      <c r="CI127" s="11"/>
      <c r="CJ127" s="11"/>
      <c r="CK127" s="11"/>
      <c r="CL127" s="11"/>
      <c r="CM127" s="11"/>
      <c r="CN127" s="11"/>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11"/>
      <c r="BX128" s="11"/>
      <c r="BY128" s="11"/>
      <c r="BZ128" s="11"/>
      <c r="CA128" s="11"/>
      <c r="CB128" s="11"/>
      <c r="CC128" s="11"/>
      <c r="CD128" s="11"/>
      <c r="CE128" s="11"/>
      <c r="CF128" s="11"/>
      <c r="CG128" s="11"/>
      <c r="CH128" s="11"/>
      <c r="CI128" s="11"/>
      <c r="CJ128" s="11"/>
      <c r="CK128" s="11"/>
      <c r="CL128" s="11"/>
      <c r="CM128" s="11"/>
      <c r="CN128" s="11"/>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11"/>
      <c r="BX129" s="11"/>
      <c r="BY129" s="11"/>
      <c r="BZ129" s="11"/>
      <c r="CA129" s="11"/>
      <c r="CB129" s="11"/>
      <c r="CC129" s="11"/>
      <c r="CD129" s="11"/>
      <c r="CE129" s="11"/>
      <c r="CF129" s="11"/>
      <c r="CG129" s="11"/>
      <c r="CH129" s="11"/>
      <c r="CI129" s="11"/>
      <c r="CJ129" s="11"/>
      <c r="CK129" s="11"/>
      <c r="CL129" s="11"/>
      <c r="CM129" s="11"/>
      <c r="CN129" s="11"/>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11"/>
      <c r="BX130" s="11"/>
      <c r="BY130" s="11"/>
      <c r="BZ130" s="11"/>
      <c r="CA130" s="11"/>
      <c r="CB130" s="11"/>
      <c r="CC130" s="11"/>
      <c r="CD130" s="11"/>
      <c r="CE130" s="11"/>
      <c r="CF130" s="11"/>
      <c r="CG130" s="11"/>
      <c r="CH130" s="11"/>
      <c r="CI130" s="11"/>
      <c r="CJ130" s="11"/>
      <c r="CK130" s="11"/>
      <c r="CL130" s="11"/>
      <c r="CM130" s="11"/>
      <c r="CN130" s="11"/>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11"/>
      <c r="BX131" s="11"/>
      <c r="BY131" s="11"/>
      <c r="BZ131" s="11"/>
      <c r="CA131" s="11"/>
      <c r="CB131" s="11"/>
      <c r="CC131" s="11"/>
      <c r="CD131" s="11"/>
      <c r="CE131" s="11"/>
      <c r="CF131" s="11"/>
      <c r="CG131" s="11"/>
      <c r="CH131" s="11"/>
      <c r="CI131" s="11"/>
      <c r="CJ131" s="11"/>
      <c r="CK131" s="11"/>
      <c r="CL131" s="11"/>
      <c r="CM131" s="11"/>
      <c r="CN131" s="11"/>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11"/>
      <c r="BX132" s="11"/>
      <c r="BY132" s="11"/>
      <c r="BZ132" s="11"/>
      <c r="CA132" s="11"/>
      <c r="CB132" s="11"/>
      <c r="CC132" s="11"/>
      <c r="CD132" s="11"/>
      <c r="CE132" s="11"/>
      <c r="CF132" s="11"/>
      <c r="CG132" s="11"/>
      <c r="CH132" s="11"/>
      <c r="CI132" s="11"/>
      <c r="CJ132" s="11"/>
      <c r="CK132" s="11"/>
      <c r="CL132" s="11"/>
      <c r="CM132" s="11"/>
      <c r="CN132" s="11"/>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11"/>
      <c r="BX133" s="11"/>
      <c r="BY133" s="11"/>
      <c r="BZ133" s="11"/>
      <c r="CA133" s="11"/>
      <c r="CB133" s="11"/>
      <c r="CC133" s="11"/>
      <c r="CD133" s="11"/>
      <c r="CE133" s="11"/>
      <c r="CF133" s="11"/>
      <c r="CG133" s="11"/>
      <c r="CH133" s="11"/>
      <c r="CI133" s="11"/>
      <c r="CJ133" s="11"/>
      <c r="CK133" s="11"/>
      <c r="CL133" s="11"/>
      <c r="CM133" s="11"/>
      <c r="CN133" s="11"/>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11"/>
      <c r="BX134" s="11"/>
      <c r="BY134" s="11"/>
      <c r="BZ134" s="11"/>
      <c r="CA134" s="11"/>
      <c r="CB134" s="11"/>
      <c r="CC134" s="11"/>
      <c r="CD134" s="11"/>
      <c r="CE134" s="11"/>
      <c r="CF134" s="11"/>
      <c r="CG134" s="11"/>
      <c r="CH134" s="11"/>
      <c r="CI134" s="11"/>
      <c r="CJ134" s="11"/>
      <c r="CK134" s="11"/>
      <c r="CL134" s="11"/>
      <c r="CM134" s="11"/>
      <c r="CN134" s="11"/>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11"/>
      <c r="BX135" s="11"/>
      <c r="BY135" s="11"/>
      <c r="BZ135" s="11"/>
      <c r="CA135" s="11"/>
      <c r="CB135" s="11"/>
      <c r="CC135" s="11"/>
      <c r="CD135" s="11"/>
      <c r="CE135" s="11"/>
      <c r="CF135" s="11"/>
      <c r="CG135" s="11"/>
      <c r="CH135" s="11"/>
      <c r="CI135" s="11"/>
      <c r="CJ135" s="11"/>
      <c r="CK135" s="11"/>
      <c r="CL135" s="11"/>
      <c r="CM135" s="11"/>
      <c r="CN135" s="11"/>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11"/>
      <c r="BX136" s="11"/>
      <c r="BY136" s="11"/>
      <c r="BZ136" s="11"/>
      <c r="CA136" s="11"/>
      <c r="CB136" s="11"/>
      <c r="CC136" s="11"/>
      <c r="CD136" s="11"/>
      <c r="CE136" s="11"/>
      <c r="CF136" s="11"/>
      <c r="CG136" s="11"/>
      <c r="CH136" s="11"/>
      <c r="CI136" s="11"/>
      <c r="CJ136" s="11"/>
      <c r="CK136" s="11"/>
      <c r="CL136" s="11"/>
      <c r="CM136" s="11"/>
      <c r="CN136" s="11"/>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11"/>
      <c r="BX137" s="11"/>
      <c r="BY137" s="11"/>
      <c r="BZ137" s="11"/>
      <c r="CA137" s="11"/>
      <c r="CB137" s="11"/>
      <c r="CC137" s="11"/>
      <c r="CD137" s="11"/>
      <c r="CE137" s="11"/>
      <c r="CF137" s="11"/>
      <c r="CG137" s="11"/>
      <c r="CH137" s="11"/>
      <c r="CI137" s="11"/>
      <c r="CJ137" s="11"/>
      <c r="CK137" s="11"/>
      <c r="CL137" s="11"/>
      <c r="CM137" s="11"/>
      <c r="CN137" s="11"/>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11"/>
      <c r="BX138" s="11"/>
      <c r="BY138" s="11"/>
      <c r="BZ138" s="11"/>
      <c r="CA138" s="11"/>
      <c r="CB138" s="11"/>
      <c r="CC138" s="11"/>
      <c r="CD138" s="11"/>
      <c r="CE138" s="11"/>
      <c r="CF138" s="11"/>
      <c r="CG138" s="11"/>
      <c r="CH138" s="11"/>
      <c r="CI138" s="11"/>
      <c r="CJ138" s="11"/>
      <c r="CK138" s="11"/>
      <c r="CL138" s="11"/>
      <c r="CM138" s="11"/>
      <c r="CN138" s="11"/>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11"/>
      <c r="BX139" s="11"/>
      <c r="BY139" s="11"/>
      <c r="BZ139" s="11"/>
      <c r="CA139" s="11"/>
      <c r="CB139" s="11"/>
      <c r="CC139" s="11"/>
      <c r="CD139" s="11"/>
      <c r="CE139" s="11"/>
      <c r="CF139" s="11"/>
      <c r="CG139" s="11"/>
      <c r="CH139" s="11"/>
      <c r="CI139" s="11"/>
      <c r="CJ139" s="11"/>
      <c r="CK139" s="11"/>
      <c r="CL139" s="11"/>
      <c r="CM139" s="11"/>
      <c r="CN139" s="11"/>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11"/>
      <c r="BX140" s="11"/>
      <c r="BY140" s="11"/>
      <c r="BZ140" s="11"/>
      <c r="CA140" s="11"/>
      <c r="CB140" s="11"/>
      <c r="CC140" s="11"/>
      <c r="CD140" s="11"/>
      <c r="CE140" s="11"/>
      <c r="CF140" s="11"/>
      <c r="CG140" s="11"/>
      <c r="CH140" s="11"/>
      <c r="CI140" s="11"/>
      <c r="CJ140" s="11"/>
      <c r="CK140" s="11"/>
      <c r="CL140" s="11"/>
      <c r="CM140" s="11"/>
      <c r="CN140" s="11"/>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11"/>
      <c r="BX141" s="11"/>
      <c r="BY141" s="11"/>
      <c r="BZ141" s="11"/>
      <c r="CA141" s="11"/>
      <c r="CB141" s="11"/>
      <c r="CC141" s="11"/>
      <c r="CD141" s="11"/>
      <c r="CE141" s="11"/>
      <c r="CF141" s="11"/>
      <c r="CG141" s="11"/>
      <c r="CH141" s="11"/>
      <c r="CI141" s="11"/>
      <c r="CJ141" s="11"/>
      <c r="CK141" s="11"/>
      <c r="CL141" s="11"/>
      <c r="CM141" s="11"/>
      <c r="CN141" s="11"/>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11"/>
      <c r="BX142" s="11"/>
      <c r="BY142" s="11"/>
      <c r="BZ142" s="11"/>
      <c r="CA142" s="11"/>
      <c r="CB142" s="11"/>
      <c r="CC142" s="11"/>
      <c r="CD142" s="11"/>
      <c r="CE142" s="11"/>
      <c r="CF142" s="11"/>
      <c r="CG142" s="11"/>
      <c r="CH142" s="11"/>
      <c r="CI142" s="11"/>
      <c r="CJ142" s="11"/>
      <c r="CK142" s="11"/>
      <c r="CL142" s="11"/>
      <c r="CM142" s="11"/>
      <c r="CN142" s="11"/>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11"/>
      <c r="BX143" s="11"/>
      <c r="BY143" s="11"/>
      <c r="BZ143" s="11"/>
      <c r="CA143" s="11"/>
      <c r="CB143" s="11"/>
      <c r="CC143" s="11"/>
      <c r="CD143" s="11"/>
      <c r="CE143" s="11"/>
      <c r="CF143" s="11"/>
      <c r="CG143" s="11"/>
      <c r="CH143" s="11"/>
      <c r="CI143" s="11"/>
      <c r="CJ143" s="11"/>
      <c r="CK143" s="11"/>
      <c r="CL143" s="11"/>
      <c r="CM143" s="11"/>
      <c r="CN143" s="11"/>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11"/>
      <c r="BX144" s="11"/>
      <c r="BY144" s="11"/>
      <c r="BZ144" s="11"/>
      <c r="CA144" s="11"/>
      <c r="CB144" s="11"/>
      <c r="CC144" s="11"/>
      <c r="CD144" s="11"/>
      <c r="CE144" s="11"/>
      <c r="CF144" s="11"/>
      <c r="CG144" s="11"/>
      <c r="CH144" s="11"/>
      <c r="CI144" s="11"/>
      <c r="CJ144" s="11"/>
      <c r="CK144" s="11"/>
      <c r="CL144" s="11"/>
      <c r="CM144" s="11"/>
      <c r="CN144" s="11"/>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11"/>
      <c r="BX145" s="11"/>
      <c r="BY145" s="11"/>
      <c r="BZ145" s="11"/>
      <c r="CA145" s="11"/>
      <c r="CB145" s="11"/>
      <c r="CC145" s="11"/>
      <c r="CD145" s="11"/>
      <c r="CE145" s="11"/>
      <c r="CF145" s="11"/>
      <c r="CG145" s="11"/>
      <c r="CH145" s="11"/>
      <c r="CI145" s="11"/>
      <c r="CJ145" s="11"/>
      <c r="CK145" s="11"/>
      <c r="CL145" s="11"/>
      <c r="CM145" s="11"/>
      <c r="CN145" s="11"/>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11"/>
      <c r="BX146" s="11"/>
      <c r="BY146" s="11"/>
      <c r="BZ146" s="11"/>
      <c r="CA146" s="11"/>
      <c r="CB146" s="11"/>
      <c r="CC146" s="11"/>
      <c r="CD146" s="11"/>
      <c r="CE146" s="11"/>
      <c r="CF146" s="11"/>
      <c r="CG146" s="11"/>
      <c r="CH146" s="11"/>
      <c r="CI146" s="11"/>
      <c r="CJ146" s="11"/>
      <c r="CK146" s="11"/>
      <c r="CL146" s="11"/>
      <c r="CM146" s="11"/>
      <c r="CN146" s="11"/>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11"/>
      <c r="BX147" s="11"/>
      <c r="BY147" s="11"/>
      <c r="BZ147" s="11"/>
      <c r="CA147" s="11"/>
      <c r="CB147" s="11"/>
      <c r="CC147" s="11"/>
      <c r="CD147" s="11"/>
      <c r="CE147" s="11"/>
      <c r="CF147" s="11"/>
      <c r="CG147" s="11"/>
      <c r="CH147" s="11"/>
      <c r="CI147" s="11"/>
      <c r="CJ147" s="11"/>
      <c r="CK147" s="11"/>
      <c r="CL147" s="11"/>
      <c r="CM147" s="11"/>
      <c r="CN147" s="11"/>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11"/>
      <c r="BX148" s="11"/>
      <c r="BY148" s="11"/>
      <c r="BZ148" s="11"/>
      <c r="CA148" s="11"/>
      <c r="CB148" s="11"/>
      <c r="CC148" s="11"/>
      <c r="CD148" s="11"/>
      <c r="CE148" s="11"/>
      <c r="CF148" s="11"/>
      <c r="CG148" s="11"/>
      <c r="CH148" s="11"/>
      <c r="CI148" s="11"/>
      <c r="CJ148" s="11"/>
      <c r="CK148" s="11"/>
      <c r="CL148" s="11"/>
      <c r="CM148" s="11"/>
      <c r="CN148" s="11"/>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11"/>
      <c r="BX149" s="11"/>
      <c r="BY149" s="11"/>
      <c r="BZ149" s="11"/>
      <c r="CA149" s="11"/>
      <c r="CB149" s="11"/>
      <c r="CC149" s="11"/>
      <c r="CD149" s="11"/>
      <c r="CE149" s="11"/>
      <c r="CF149" s="11"/>
      <c r="CG149" s="11"/>
      <c r="CH149" s="11"/>
      <c r="CI149" s="11"/>
      <c r="CJ149" s="11"/>
      <c r="CK149" s="11"/>
      <c r="CL149" s="11"/>
      <c r="CM149" s="11"/>
      <c r="CN149" s="11"/>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11"/>
      <c r="BX150" s="11"/>
      <c r="BY150" s="11"/>
      <c r="BZ150" s="11"/>
      <c r="CA150" s="11"/>
      <c r="CB150" s="11"/>
      <c r="CC150" s="11"/>
      <c r="CD150" s="11"/>
      <c r="CE150" s="11"/>
      <c r="CF150" s="11"/>
      <c r="CG150" s="11"/>
      <c r="CH150" s="11"/>
      <c r="CI150" s="11"/>
      <c r="CJ150" s="11"/>
      <c r="CK150" s="11"/>
      <c r="CL150" s="11"/>
      <c r="CM150" s="11"/>
      <c r="CN150" s="11"/>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11"/>
      <c r="BX151" s="11"/>
      <c r="BY151" s="11"/>
      <c r="BZ151" s="11"/>
      <c r="CA151" s="11"/>
      <c r="CB151" s="11"/>
      <c r="CC151" s="11"/>
      <c r="CD151" s="11"/>
      <c r="CE151" s="11"/>
      <c r="CF151" s="11"/>
      <c r="CG151" s="11"/>
      <c r="CH151" s="11"/>
      <c r="CI151" s="11"/>
      <c r="CJ151" s="11"/>
      <c r="CK151" s="11"/>
      <c r="CL151" s="11"/>
      <c r="CM151" s="11"/>
      <c r="CN151" s="11"/>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11"/>
      <c r="BX152" s="11"/>
      <c r="BY152" s="11"/>
      <c r="BZ152" s="11"/>
      <c r="CA152" s="11"/>
      <c r="CB152" s="11"/>
      <c r="CC152" s="11"/>
      <c r="CD152" s="11"/>
      <c r="CE152" s="11"/>
      <c r="CF152" s="11"/>
      <c r="CG152" s="11"/>
      <c r="CH152" s="11"/>
      <c r="CI152" s="11"/>
      <c r="CJ152" s="11"/>
      <c r="CK152" s="11"/>
      <c r="CL152" s="11"/>
      <c r="CM152" s="11"/>
      <c r="CN152" s="11"/>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11"/>
      <c r="BX153" s="11"/>
      <c r="BY153" s="11"/>
      <c r="BZ153" s="11"/>
      <c r="CA153" s="11"/>
      <c r="CB153" s="11"/>
      <c r="CC153" s="11"/>
      <c r="CD153" s="11"/>
      <c r="CE153" s="11"/>
      <c r="CF153" s="11"/>
      <c r="CG153" s="11"/>
      <c r="CH153" s="11"/>
      <c r="CI153" s="11"/>
      <c r="CJ153" s="11"/>
      <c r="CK153" s="11"/>
      <c r="CL153" s="11"/>
      <c r="CM153" s="11"/>
      <c r="CN153" s="11"/>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11"/>
      <c r="BX154" s="11"/>
      <c r="BY154" s="11"/>
      <c r="BZ154" s="11"/>
      <c r="CA154" s="11"/>
      <c r="CB154" s="11"/>
      <c r="CC154" s="11"/>
      <c r="CD154" s="11"/>
      <c r="CE154" s="11"/>
      <c r="CF154" s="11"/>
      <c r="CG154" s="11"/>
      <c r="CH154" s="11"/>
      <c r="CI154" s="11"/>
      <c r="CJ154" s="11"/>
      <c r="CK154" s="11"/>
      <c r="CL154" s="11"/>
      <c r="CM154" s="11"/>
      <c r="CN154" s="11"/>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11"/>
      <c r="BX155" s="11"/>
      <c r="BY155" s="11"/>
      <c r="BZ155" s="11"/>
      <c r="CA155" s="11"/>
      <c r="CB155" s="11"/>
      <c r="CC155" s="11"/>
      <c r="CD155" s="11"/>
      <c r="CE155" s="11"/>
      <c r="CF155" s="11"/>
      <c r="CG155" s="11"/>
      <c r="CH155" s="11"/>
      <c r="CI155" s="11"/>
      <c r="CJ155" s="11"/>
      <c r="CK155" s="11"/>
      <c r="CL155" s="11"/>
      <c r="CM155" s="11"/>
      <c r="CN155" s="11"/>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11"/>
      <c r="BX156" s="11"/>
      <c r="BY156" s="11"/>
      <c r="BZ156" s="11"/>
      <c r="CA156" s="11"/>
      <c r="CB156" s="11"/>
      <c r="CC156" s="11"/>
      <c r="CD156" s="11"/>
      <c r="CE156" s="11"/>
      <c r="CF156" s="11"/>
      <c r="CG156" s="11"/>
      <c r="CH156" s="11"/>
      <c r="CI156" s="11"/>
      <c r="CJ156" s="11"/>
      <c r="CK156" s="11"/>
      <c r="CL156" s="11"/>
      <c r="CM156" s="11"/>
      <c r="CN156" s="11"/>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11"/>
      <c r="BX157" s="11"/>
      <c r="BY157" s="11"/>
      <c r="BZ157" s="11"/>
      <c r="CA157" s="11"/>
      <c r="CB157" s="11"/>
      <c r="CC157" s="11"/>
      <c r="CD157" s="11"/>
      <c r="CE157" s="11"/>
      <c r="CF157" s="11"/>
      <c r="CG157" s="11"/>
      <c r="CH157" s="11"/>
      <c r="CI157" s="11"/>
      <c r="CJ157" s="11"/>
      <c r="CK157" s="11"/>
      <c r="CL157" s="11"/>
      <c r="CM157" s="11"/>
      <c r="CN157" s="11"/>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11"/>
      <c r="BX158" s="11"/>
      <c r="BY158" s="11"/>
      <c r="BZ158" s="11"/>
      <c r="CA158" s="11"/>
      <c r="CB158" s="11"/>
      <c r="CC158" s="11"/>
      <c r="CD158" s="11"/>
      <c r="CE158" s="11"/>
      <c r="CF158" s="11"/>
      <c r="CG158" s="11"/>
      <c r="CH158" s="11"/>
      <c r="CI158" s="11"/>
      <c r="CJ158" s="11"/>
      <c r="CK158" s="11"/>
      <c r="CL158" s="11"/>
      <c r="CM158" s="11"/>
      <c r="CN158" s="11"/>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11"/>
      <c r="BX159" s="11"/>
      <c r="BY159" s="11"/>
      <c r="BZ159" s="11"/>
      <c r="CA159" s="11"/>
      <c r="CB159" s="11"/>
      <c r="CC159" s="11"/>
      <c r="CD159" s="11"/>
      <c r="CE159" s="11"/>
      <c r="CF159" s="11"/>
      <c r="CG159" s="11"/>
      <c r="CH159" s="11"/>
      <c r="CI159" s="11"/>
      <c r="CJ159" s="11"/>
      <c r="CK159" s="11"/>
      <c r="CL159" s="11"/>
      <c r="CM159" s="11"/>
      <c r="CN159" s="11"/>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11"/>
      <c r="BX160" s="11"/>
      <c r="BY160" s="11"/>
      <c r="BZ160" s="11"/>
      <c r="CA160" s="11"/>
      <c r="CB160" s="11"/>
      <c r="CC160" s="11"/>
      <c r="CD160" s="11"/>
      <c r="CE160" s="11"/>
      <c r="CF160" s="11"/>
      <c r="CG160" s="11"/>
      <c r="CH160" s="11"/>
      <c r="CI160" s="11"/>
      <c r="CJ160" s="11"/>
      <c r="CK160" s="11"/>
      <c r="CL160" s="11"/>
      <c r="CM160" s="11"/>
      <c r="CN160" s="11"/>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11"/>
      <c r="BX161" s="11"/>
      <c r="BY161" s="11"/>
      <c r="BZ161" s="11"/>
      <c r="CA161" s="11"/>
      <c r="CB161" s="11"/>
      <c r="CC161" s="11"/>
      <c r="CD161" s="11"/>
      <c r="CE161" s="11"/>
      <c r="CF161" s="11"/>
      <c r="CG161" s="11"/>
      <c r="CH161" s="11"/>
      <c r="CI161" s="11"/>
      <c r="CJ161" s="11"/>
      <c r="CK161" s="11"/>
      <c r="CL161" s="11"/>
      <c r="CM161" s="11"/>
      <c r="CN161" s="11"/>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11"/>
      <c r="BX162" s="11"/>
      <c r="BY162" s="11"/>
      <c r="BZ162" s="11"/>
      <c r="CA162" s="11"/>
      <c r="CB162" s="11"/>
      <c r="CC162" s="11"/>
      <c r="CD162" s="11"/>
      <c r="CE162" s="11"/>
      <c r="CF162" s="11"/>
      <c r="CG162" s="11"/>
      <c r="CH162" s="11"/>
      <c r="CI162" s="11"/>
      <c r="CJ162" s="11"/>
      <c r="CK162" s="11"/>
      <c r="CL162" s="11"/>
      <c r="CM162" s="11"/>
      <c r="CN162" s="11"/>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11"/>
      <c r="BX163" s="11"/>
      <c r="BY163" s="11"/>
      <c r="BZ163" s="11"/>
      <c r="CA163" s="11"/>
      <c r="CB163" s="11"/>
      <c r="CC163" s="11"/>
      <c r="CD163" s="11"/>
      <c r="CE163" s="11"/>
      <c r="CF163" s="11"/>
      <c r="CG163" s="11"/>
      <c r="CH163" s="11"/>
      <c r="CI163" s="11"/>
      <c r="CJ163" s="11"/>
      <c r="CK163" s="11"/>
      <c r="CL163" s="11"/>
      <c r="CM163" s="11"/>
      <c r="CN163" s="11"/>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11"/>
      <c r="BX164" s="11"/>
      <c r="BY164" s="11"/>
      <c r="BZ164" s="11"/>
      <c r="CA164" s="11"/>
      <c r="CB164" s="11"/>
      <c r="CC164" s="11"/>
      <c r="CD164" s="11"/>
      <c r="CE164" s="11"/>
      <c r="CF164" s="11"/>
      <c r="CG164" s="11"/>
      <c r="CH164" s="11"/>
      <c r="CI164" s="11"/>
      <c r="CJ164" s="11"/>
      <c r="CK164" s="11"/>
      <c r="CL164" s="11"/>
      <c r="CM164" s="11"/>
      <c r="CN164" s="11"/>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11"/>
      <c r="BX165" s="11"/>
      <c r="BY165" s="11"/>
      <c r="BZ165" s="11"/>
      <c r="CA165" s="11"/>
      <c r="CB165" s="11"/>
      <c r="CC165" s="11"/>
      <c r="CD165" s="11"/>
      <c r="CE165" s="11"/>
      <c r="CF165" s="11"/>
      <c r="CG165" s="11"/>
      <c r="CH165" s="11"/>
      <c r="CI165" s="11"/>
      <c r="CJ165" s="11"/>
      <c r="CK165" s="11"/>
      <c r="CL165" s="11"/>
      <c r="CM165" s="11"/>
      <c r="CN165" s="11"/>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11"/>
      <c r="BX166" s="11"/>
      <c r="BY166" s="11"/>
      <c r="BZ166" s="11"/>
      <c r="CA166" s="11"/>
      <c r="CB166" s="11"/>
      <c r="CC166" s="11"/>
      <c r="CD166" s="11"/>
      <c r="CE166" s="11"/>
      <c r="CF166" s="11"/>
      <c r="CG166" s="11"/>
      <c r="CH166" s="11"/>
      <c r="CI166" s="11"/>
      <c r="CJ166" s="11"/>
      <c r="CK166" s="11"/>
      <c r="CL166" s="11"/>
      <c r="CM166" s="11"/>
      <c r="CN166" s="11"/>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11"/>
      <c r="BX167" s="11"/>
      <c r="BY167" s="11"/>
      <c r="BZ167" s="11"/>
      <c r="CA167" s="11"/>
      <c r="CB167" s="11"/>
      <c r="CC167" s="11"/>
      <c r="CD167" s="11"/>
      <c r="CE167" s="11"/>
      <c r="CF167" s="11"/>
      <c r="CG167" s="11"/>
      <c r="CH167" s="11"/>
      <c r="CI167" s="11"/>
      <c r="CJ167" s="11"/>
      <c r="CK167" s="11"/>
      <c r="CL167" s="11"/>
      <c r="CM167" s="11"/>
      <c r="CN167" s="11"/>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11"/>
      <c r="BX168" s="11"/>
      <c r="BY168" s="11"/>
      <c r="BZ168" s="11"/>
      <c r="CA168" s="11"/>
      <c r="CB168" s="11"/>
      <c r="CC168" s="11"/>
      <c r="CD168" s="11"/>
      <c r="CE168" s="11"/>
      <c r="CF168" s="11"/>
      <c r="CG168" s="11"/>
      <c r="CH168" s="11"/>
      <c r="CI168" s="11"/>
      <c r="CJ168" s="11"/>
      <c r="CK168" s="11"/>
      <c r="CL168" s="11"/>
      <c r="CM168" s="11"/>
      <c r="CN168" s="11"/>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11"/>
      <c r="BX169" s="11"/>
      <c r="BY169" s="11"/>
      <c r="BZ169" s="11"/>
      <c r="CA169" s="11"/>
      <c r="CB169" s="11"/>
      <c r="CC169" s="11"/>
      <c r="CD169" s="11"/>
      <c r="CE169" s="11"/>
      <c r="CF169" s="11"/>
      <c r="CG169" s="11"/>
      <c r="CH169" s="11"/>
      <c r="CI169" s="11"/>
      <c r="CJ169" s="11"/>
      <c r="CK169" s="11"/>
      <c r="CL169" s="11"/>
      <c r="CM169" s="11"/>
      <c r="CN169" s="11"/>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11"/>
      <c r="BX170" s="11"/>
      <c r="BY170" s="11"/>
      <c r="BZ170" s="11"/>
      <c r="CA170" s="11"/>
      <c r="CB170" s="11"/>
      <c r="CC170" s="11"/>
      <c r="CD170" s="11"/>
      <c r="CE170" s="11"/>
      <c r="CF170" s="11"/>
      <c r="CG170" s="11"/>
      <c r="CH170" s="11"/>
      <c r="CI170" s="11"/>
      <c r="CJ170" s="11"/>
      <c r="CK170" s="11"/>
      <c r="CL170" s="11"/>
      <c r="CM170" s="11"/>
      <c r="CN170" s="11"/>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11"/>
      <c r="BX171" s="11"/>
      <c r="BY171" s="11"/>
      <c r="BZ171" s="11"/>
      <c r="CA171" s="11"/>
      <c r="CB171" s="11"/>
      <c r="CC171" s="11"/>
      <c r="CD171" s="11"/>
      <c r="CE171" s="11"/>
      <c r="CF171" s="11"/>
      <c r="CG171" s="11"/>
      <c r="CH171" s="11"/>
      <c r="CI171" s="11"/>
      <c r="CJ171" s="11"/>
      <c r="CK171" s="11"/>
      <c r="CL171" s="11"/>
      <c r="CM171" s="11"/>
      <c r="CN171" s="11"/>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11"/>
      <c r="BX172" s="11"/>
      <c r="BY172" s="11"/>
      <c r="BZ172" s="11"/>
      <c r="CA172" s="11"/>
      <c r="CB172" s="11"/>
      <c r="CC172" s="11"/>
      <c r="CD172" s="11"/>
      <c r="CE172" s="11"/>
      <c r="CF172" s="11"/>
      <c r="CG172" s="11"/>
      <c r="CH172" s="11"/>
      <c r="CI172" s="11"/>
      <c r="CJ172" s="11"/>
      <c r="CK172" s="11"/>
      <c r="CL172" s="11"/>
      <c r="CM172" s="11"/>
      <c r="CN172" s="11"/>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11"/>
      <c r="BX173" s="11"/>
      <c r="BY173" s="11"/>
      <c r="BZ173" s="11"/>
      <c r="CA173" s="11"/>
      <c r="CB173" s="11"/>
      <c r="CC173" s="11"/>
      <c r="CD173" s="11"/>
      <c r="CE173" s="11"/>
      <c r="CF173" s="11"/>
      <c r="CG173" s="11"/>
      <c r="CH173" s="11"/>
      <c r="CI173" s="11"/>
      <c r="CJ173" s="11"/>
      <c r="CK173" s="11"/>
      <c r="CL173" s="11"/>
      <c r="CM173" s="11"/>
      <c r="CN173" s="11"/>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11"/>
      <c r="BX174" s="11"/>
      <c r="BY174" s="11"/>
      <c r="BZ174" s="11"/>
      <c r="CA174" s="11"/>
      <c r="CB174" s="11"/>
      <c r="CC174" s="11"/>
      <c r="CD174" s="11"/>
      <c r="CE174" s="11"/>
      <c r="CF174" s="11"/>
      <c r="CG174" s="11"/>
      <c r="CH174" s="11"/>
      <c r="CI174" s="11"/>
      <c r="CJ174" s="11"/>
      <c r="CK174" s="11"/>
      <c r="CL174" s="11"/>
      <c r="CM174" s="11"/>
      <c r="CN174" s="11"/>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11"/>
      <c r="BX175" s="11"/>
      <c r="BY175" s="11"/>
      <c r="BZ175" s="11"/>
      <c r="CA175" s="11"/>
      <c r="CB175" s="11"/>
      <c r="CC175" s="11"/>
      <c r="CD175" s="11"/>
      <c r="CE175" s="11"/>
      <c r="CF175" s="11"/>
      <c r="CG175" s="11"/>
      <c r="CH175" s="11"/>
      <c r="CI175" s="11"/>
      <c r="CJ175" s="11"/>
      <c r="CK175" s="11"/>
      <c r="CL175" s="11"/>
      <c r="CM175" s="11"/>
      <c r="CN175" s="11"/>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11"/>
      <c r="BX176" s="11"/>
      <c r="BY176" s="11"/>
      <c r="BZ176" s="11"/>
      <c r="CA176" s="11"/>
      <c r="CB176" s="11"/>
      <c r="CC176" s="11"/>
      <c r="CD176" s="11"/>
      <c r="CE176" s="11"/>
      <c r="CF176" s="11"/>
      <c r="CG176" s="11"/>
      <c r="CH176" s="11"/>
      <c r="CI176" s="11"/>
      <c r="CJ176" s="11"/>
      <c r="CK176" s="11"/>
      <c r="CL176" s="11"/>
      <c r="CM176" s="11"/>
      <c r="CN176" s="11"/>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11"/>
      <c r="BX177" s="11"/>
      <c r="BY177" s="11"/>
      <c r="BZ177" s="11"/>
      <c r="CA177" s="11"/>
      <c r="CB177" s="11"/>
      <c r="CC177" s="11"/>
      <c r="CD177" s="11"/>
      <c r="CE177" s="11"/>
      <c r="CF177" s="11"/>
      <c r="CG177" s="11"/>
      <c r="CH177" s="11"/>
      <c r="CI177" s="11"/>
      <c r="CJ177" s="11"/>
      <c r="CK177" s="11"/>
      <c r="CL177" s="11"/>
      <c r="CM177" s="11"/>
      <c r="CN177" s="11"/>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11"/>
      <c r="BX178" s="11"/>
      <c r="BY178" s="11"/>
      <c r="BZ178" s="11"/>
      <c r="CA178" s="11"/>
      <c r="CB178" s="11"/>
      <c r="CC178" s="11"/>
      <c r="CD178" s="11"/>
      <c r="CE178" s="11"/>
      <c r="CF178" s="11"/>
      <c r="CG178" s="11"/>
      <c r="CH178" s="11"/>
      <c r="CI178" s="11"/>
      <c r="CJ178" s="11"/>
      <c r="CK178" s="11"/>
      <c r="CL178" s="11"/>
      <c r="CM178" s="11"/>
      <c r="CN178" s="11"/>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11"/>
      <c r="BX179" s="11"/>
      <c r="BY179" s="11"/>
      <c r="BZ179" s="11"/>
      <c r="CA179" s="11"/>
      <c r="CB179" s="11"/>
      <c r="CC179" s="11"/>
      <c r="CD179" s="11"/>
      <c r="CE179" s="11"/>
      <c r="CF179" s="11"/>
      <c r="CG179" s="11"/>
      <c r="CH179" s="11"/>
      <c r="CI179" s="11"/>
      <c r="CJ179" s="11"/>
      <c r="CK179" s="11"/>
      <c r="CL179" s="11"/>
      <c r="CM179" s="11"/>
      <c r="CN179" s="11"/>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11"/>
      <c r="BX180" s="11"/>
      <c r="BY180" s="11"/>
      <c r="BZ180" s="11"/>
      <c r="CA180" s="11"/>
      <c r="CB180" s="11"/>
      <c r="CC180" s="11"/>
      <c r="CD180" s="11"/>
      <c r="CE180" s="11"/>
      <c r="CF180" s="11"/>
      <c r="CG180" s="11"/>
      <c r="CH180" s="11"/>
      <c r="CI180" s="11"/>
      <c r="CJ180" s="11"/>
      <c r="CK180" s="11"/>
      <c r="CL180" s="11"/>
      <c r="CM180" s="11"/>
      <c r="CN180" s="11"/>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11"/>
      <c r="BX181" s="11"/>
      <c r="BY181" s="11"/>
      <c r="BZ181" s="11"/>
      <c r="CA181" s="11"/>
      <c r="CB181" s="11"/>
      <c r="CC181" s="11"/>
      <c r="CD181" s="11"/>
      <c r="CE181" s="11"/>
      <c r="CF181" s="11"/>
      <c r="CG181" s="11"/>
      <c r="CH181" s="11"/>
      <c r="CI181" s="11"/>
      <c r="CJ181" s="11"/>
      <c r="CK181" s="11"/>
      <c r="CL181" s="11"/>
      <c r="CM181" s="11"/>
      <c r="CN181" s="11"/>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11"/>
      <c r="BX182" s="11"/>
      <c r="BY182" s="11"/>
      <c r="BZ182" s="11"/>
      <c r="CA182" s="11"/>
      <c r="CB182" s="11"/>
      <c r="CC182" s="11"/>
      <c r="CD182" s="11"/>
      <c r="CE182" s="11"/>
      <c r="CF182" s="11"/>
      <c r="CG182" s="11"/>
      <c r="CH182" s="11"/>
      <c r="CI182" s="11"/>
      <c r="CJ182" s="11"/>
      <c r="CK182" s="11"/>
      <c r="CL182" s="11"/>
      <c r="CM182" s="11"/>
      <c r="CN182" s="11"/>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11"/>
      <c r="BX183" s="11"/>
      <c r="BY183" s="11"/>
      <c r="BZ183" s="11"/>
      <c r="CA183" s="11"/>
      <c r="CB183" s="11"/>
      <c r="CC183" s="11"/>
      <c r="CD183" s="11"/>
      <c r="CE183" s="11"/>
      <c r="CF183" s="11"/>
      <c r="CG183" s="11"/>
      <c r="CH183" s="11"/>
      <c r="CI183" s="11"/>
      <c r="CJ183" s="11"/>
      <c r="CK183" s="11"/>
      <c r="CL183" s="11"/>
      <c r="CM183" s="11"/>
      <c r="CN183" s="11"/>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11"/>
      <c r="BX184" s="11"/>
      <c r="BY184" s="11"/>
      <c r="BZ184" s="11"/>
      <c r="CA184" s="11"/>
      <c r="CB184" s="11"/>
      <c r="CC184" s="11"/>
      <c r="CD184" s="11"/>
      <c r="CE184" s="11"/>
      <c r="CF184" s="11"/>
      <c r="CG184" s="11"/>
      <c r="CH184" s="11"/>
      <c r="CI184" s="11"/>
      <c r="CJ184" s="11"/>
      <c r="CK184" s="11"/>
      <c r="CL184" s="11"/>
      <c r="CM184" s="11"/>
      <c r="CN184" s="11"/>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11"/>
      <c r="BX185" s="11"/>
      <c r="BY185" s="11"/>
      <c r="BZ185" s="11"/>
      <c r="CA185" s="11"/>
      <c r="CB185" s="11"/>
      <c r="CC185" s="11"/>
      <c r="CD185" s="11"/>
      <c r="CE185" s="11"/>
      <c r="CF185" s="11"/>
      <c r="CG185" s="11"/>
      <c r="CH185" s="11"/>
      <c r="CI185" s="11"/>
      <c r="CJ185" s="11"/>
      <c r="CK185" s="11"/>
      <c r="CL185" s="11"/>
      <c r="CM185" s="11"/>
      <c r="CN185" s="11"/>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11"/>
      <c r="BX186" s="11"/>
      <c r="BY186" s="11"/>
      <c r="BZ186" s="11"/>
      <c r="CA186" s="11"/>
      <c r="CB186" s="11"/>
      <c r="CC186" s="11"/>
      <c r="CD186" s="11"/>
      <c r="CE186" s="11"/>
      <c r="CF186" s="11"/>
      <c r="CG186" s="11"/>
      <c r="CH186" s="11"/>
      <c r="CI186" s="11"/>
      <c r="CJ186" s="11"/>
      <c r="CK186" s="11"/>
      <c r="CL186" s="11"/>
      <c r="CM186" s="11"/>
      <c r="CN186" s="11"/>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11"/>
      <c r="BX187" s="11"/>
      <c r="BY187" s="11"/>
      <c r="BZ187" s="11"/>
      <c r="CA187" s="11"/>
      <c r="CB187" s="11"/>
      <c r="CC187" s="11"/>
      <c r="CD187" s="11"/>
      <c r="CE187" s="11"/>
      <c r="CF187" s="11"/>
      <c r="CG187" s="11"/>
      <c r="CH187" s="11"/>
      <c r="CI187" s="11"/>
      <c r="CJ187" s="11"/>
      <c r="CK187" s="11"/>
      <c r="CL187" s="11"/>
      <c r="CM187" s="11"/>
      <c r="CN187" s="11"/>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11"/>
      <c r="BX188" s="11"/>
      <c r="BY188" s="11"/>
      <c r="BZ188" s="11"/>
      <c r="CA188" s="11"/>
      <c r="CB188" s="11"/>
      <c r="CC188" s="11"/>
      <c r="CD188" s="11"/>
      <c r="CE188" s="11"/>
      <c r="CF188" s="11"/>
      <c r="CG188" s="11"/>
      <c r="CH188" s="11"/>
      <c r="CI188" s="11"/>
      <c r="CJ188" s="11"/>
      <c r="CK188" s="11"/>
      <c r="CL188" s="11"/>
      <c r="CM188" s="11"/>
      <c r="CN188" s="11"/>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11"/>
      <c r="BX189" s="11"/>
      <c r="BY189" s="11"/>
      <c r="BZ189" s="11"/>
      <c r="CA189" s="11"/>
      <c r="CB189" s="11"/>
      <c r="CC189" s="11"/>
      <c r="CD189" s="11"/>
      <c r="CE189" s="11"/>
      <c r="CF189" s="11"/>
      <c r="CG189" s="11"/>
      <c r="CH189" s="11"/>
      <c r="CI189" s="11"/>
      <c r="CJ189" s="11"/>
      <c r="CK189" s="11"/>
      <c r="CL189" s="11"/>
      <c r="CM189" s="11"/>
      <c r="CN189" s="11"/>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11"/>
      <c r="BX190" s="11"/>
      <c r="BY190" s="11"/>
      <c r="BZ190" s="11"/>
      <c r="CA190" s="11"/>
      <c r="CB190" s="11"/>
      <c r="CC190" s="11"/>
      <c r="CD190" s="11"/>
      <c r="CE190" s="11"/>
      <c r="CF190" s="11"/>
      <c r="CG190" s="11"/>
      <c r="CH190" s="11"/>
      <c r="CI190" s="11"/>
      <c r="CJ190" s="11"/>
      <c r="CK190" s="11"/>
      <c r="CL190" s="11"/>
      <c r="CM190" s="11"/>
      <c r="CN190" s="11"/>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11"/>
      <c r="BX191" s="11"/>
      <c r="BY191" s="11"/>
      <c r="BZ191" s="11"/>
      <c r="CA191" s="11"/>
      <c r="CB191" s="11"/>
      <c r="CC191" s="11"/>
      <c r="CD191" s="11"/>
      <c r="CE191" s="11"/>
      <c r="CF191" s="11"/>
      <c r="CG191" s="11"/>
      <c r="CH191" s="11"/>
      <c r="CI191" s="11"/>
      <c r="CJ191" s="11"/>
      <c r="CK191" s="11"/>
      <c r="CL191" s="11"/>
      <c r="CM191" s="11"/>
      <c r="CN191" s="11"/>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11"/>
      <c r="BX192" s="11"/>
      <c r="BY192" s="11"/>
      <c r="BZ192" s="11"/>
      <c r="CA192" s="11"/>
      <c r="CB192" s="11"/>
      <c r="CC192" s="11"/>
      <c r="CD192" s="11"/>
      <c r="CE192" s="11"/>
      <c r="CF192" s="11"/>
      <c r="CG192" s="11"/>
      <c r="CH192" s="11"/>
      <c r="CI192" s="11"/>
      <c r="CJ192" s="11"/>
      <c r="CK192" s="11"/>
      <c r="CL192" s="11"/>
      <c r="CM192" s="11"/>
      <c r="CN192" s="11"/>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11"/>
      <c r="BX193" s="11"/>
      <c r="BY193" s="11"/>
      <c r="BZ193" s="11"/>
      <c r="CA193" s="11"/>
      <c r="CB193" s="11"/>
      <c r="CC193" s="11"/>
      <c r="CD193" s="11"/>
      <c r="CE193" s="11"/>
      <c r="CF193" s="11"/>
      <c r="CG193" s="11"/>
      <c r="CH193" s="11"/>
      <c r="CI193" s="11"/>
      <c r="CJ193" s="11"/>
      <c r="CK193" s="11"/>
      <c r="CL193" s="11"/>
      <c r="CM193" s="11"/>
      <c r="CN193" s="11"/>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11"/>
      <c r="BX194" s="11"/>
      <c r="BY194" s="11"/>
      <c r="BZ194" s="11"/>
      <c r="CA194" s="11"/>
      <c r="CB194" s="11"/>
      <c r="CC194" s="11"/>
      <c r="CD194" s="11"/>
      <c r="CE194" s="11"/>
      <c r="CF194" s="11"/>
      <c r="CG194" s="11"/>
      <c r="CH194" s="11"/>
      <c r="CI194" s="11"/>
      <c r="CJ194" s="11"/>
      <c r="CK194" s="11"/>
      <c r="CL194" s="11"/>
      <c r="CM194" s="11"/>
      <c r="CN194" s="11"/>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11"/>
      <c r="BX195" s="11"/>
      <c r="BY195" s="11"/>
      <c r="BZ195" s="11"/>
      <c r="CA195" s="11"/>
      <c r="CB195" s="11"/>
      <c r="CC195" s="11"/>
      <c r="CD195" s="11"/>
      <c r="CE195" s="11"/>
      <c r="CF195" s="11"/>
      <c r="CG195" s="11"/>
      <c r="CH195" s="11"/>
      <c r="CI195" s="11"/>
      <c r="CJ195" s="11"/>
      <c r="CK195" s="11"/>
      <c r="CL195" s="11"/>
      <c r="CM195" s="11"/>
      <c r="CN195" s="11"/>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11"/>
      <c r="BX196" s="11"/>
      <c r="BY196" s="11"/>
      <c r="BZ196" s="11"/>
      <c r="CA196" s="11"/>
      <c r="CB196" s="11"/>
      <c r="CC196" s="11"/>
      <c r="CD196" s="11"/>
      <c r="CE196" s="11"/>
      <c r="CF196" s="11"/>
      <c r="CG196" s="11"/>
      <c r="CH196" s="11"/>
      <c r="CI196" s="11"/>
      <c r="CJ196" s="11"/>
      <c r="CK196" s="11"/>
      <c r="CL196" s="11"/>
      <c r="CM196" s="11"/>
      <c r="CN196" s="11"/>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11"/>
      <c r="BX197" s="11"/>
      <c r="BY197" s="11"/>
      <c r="BZ197" s="11"/>
      <c r="CA197" s="11"/>
      <c r="CB197" s="11"/>
      <c r="CC197" s="11"/>
      <c r="CD197" s="11"/>
      <c r="CE197" s="11"/>
      <c r="CF197" s="11"/>
      <c r="CG197" s="11"/>
      <c r="CH197" s="11"/>
      <c r="CI197" s="11"/>
      <c r="CJ197" s="11"/>
      <c r="CK197" s="11"/>
      <c r="CL197" s="11"/>
      <c r="CM197" s="11"/>
      <c r="CN197" s="11"/>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11"/>
      <c r="BX198" s="11"/>
      <c r="BY198" s="11"/>
      <c r="BZ198" s="11"/>
      <c r="CA198" s="11"/>
      <c r="CB198" s="11"/>
      <c r="CC198" s="11"/>
      <c r="CD198" s="11"/>
      <c r="CE198" s="11"/>
      <c r="CF198" s="11"/>
      <c r="CG198" s="11"/>
      <c r="CH198" s="11"/>
      <c r="CI198" s="11"/>
      <c r="CJ198" s="11"/>
      <c r="CK198" s="11"/>
      <c r="CL198" s="11"/>
      <c r="CM198" s="11"/>
      <c r="CN198" s="11"/>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11"/>
      <c r="BX199" s="11"/>
      <c r="BY199" s="11"/>
      <c r="BZ199" s="11"/>
      <c r="CA199" s="11"/>
      <c r="CB199" s="11"/>
      <c r="CC199" s="11"/>
      <c r="CD199" s="11"/>
      <c r="CE199" s="11"/>
      <c r="CF199" s="11"/>
      <c r="CG199" s="11"/>
      <c r="CH199" s="11"/>
      <c r="CI199" s="11"/>
      <c r="CJ199" s="11"/>
      <c r="CK199" s="11"/>
      <c r="CL199" s="11"/>
      <c r="CM199" s="11"/>
      <c r="CN199" s="11"/>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11"/>
      <c r="BX200" s="11"/>
      <c r="BY200" s="11"/>
      <c r="BZ200" s="11"/>
      <c r="CA200" s="11"/>
      <c r="CB200" s="11"/>
      <c r="CC200" s="11"/>
      <c r="CD200" s="11"/>
      <c r="CE200" s="11"/>
      <c r="CF200" s="11"/>
      <c r="CG200" s="11"/>
      <c r="CH200" s="11"/>
      <c r="CI200" s="11"/>
      <c r="CJ200" s="11"/>
      <c r="CK200" s="11"/>
      <c r="CL200" s="11"/>
      <c r="CM200" s="11"/>
      <c r="CN200" s="11"/>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11"/>
      <c r="BX201" s="11"/>
      <c r="BY201" s="11"/>
      <c r="BZ201" s="11"/>
      <c r="CA201" s="11"/>
      <c r="CB201" s="11"/>
      <c r="CC201" s="11"/>
      <c r="CD201" s="11"/>
      <c r="CE201" s="11"/>
      <c r="CF201" s="11"/>
      <c r="CG201" s="11"/>
      <c r="CH201" s="11"/>
      <c r="CI201" s="11"/>
      <c r="CJ201" s="11"/>
      <c r="CK201" s="11"/>
      <c r="CL201" s="11"/>
      <c r="CM201" s="11"/>
      <c r="CN201" s="11"/>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11"/>
      <c r="BX202" s="11"/>
      <c r="BY202" s="11"/>
      <c r="BZ202" s="11"/>
      <c r="CA202" s="11"/>
      <c r="CB202" s="11"/>
      <c r="CC202" s="11"/>
      <c r="CD202" s="11"/>
      <c r="CE202" s="11"/>
      <c r="CF202" s="11"/>
      <c r="CG202" s="11"/>
      <c r="CH202" s="11"/>
      <c r="CI202" s="11"/>
      <c r="CJ202" s="11"/>
      <c r="CK202" s="11"/>
      <c r="CL202" s="11"/>
      <c r="CM202" s="11"/>
      <c r="CN202" s="11"/>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11"/>
      <c r="BX203" s="11"/>
      <c r="BY203" s="11"/>
      <c r="BZ203" s="11"/>
      <c r="CA203" s="11"/>
      <c r="CB203" s="11"/>
      <c r="CC203" s="11"/>
      <c r="CD203" s="11"/>
      <c r="CE203" s="11"/>
      <c r="CF203" s="11"/>
      <c r="CG203" s="11"/>
      <c r="CH203" s="11"/>
      <c r="CI203" s="11"/>
      <c r="CJ203" s="11"/>
      <c r="CK203" s="11"/>
      <c r="CL203" s="11"/>
      <c r="CM203" s="11"/>
      <c r="CN203" s="11"/>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11"/>
      <c r="BX204" s="11"/>
      <c r="BY204" s="11"/>
      <c r="BZ204" s="11"/>
      <c r="CA204" s="11"/>
      <c r="CB204" s="11"/>
      <c r="CC204" s="11"/>
      <c r="CD204" s="11"/>
      <c r="CE204" s="11"/>
      <c r="CF204" s="11"/>
      <c r="CG204" s="11"/>
      <c r="CH204" s="11"/>
      <c r="CI204" s="11"/>
      <c r="CJ204" s="11"/>
      <c r="CK204" s="11"/>
      <c r="CL204" s="11"/>
      <c r="CM204" s="11"/>
      <c r="CN204" s="11"/>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11"/>
      <c r="BX205" s="11"/>
      <c r="BY205" s="11"/>
      <c r="BZ205" s="11"/>
      <c r="CA205" s="11"/>
      <c r="CB205" s="11"/>
      <c r="CC205" s="11"/>
      <c r="CD205" s="11"/>
      <c r="CE205" s="11"/>
      <c r="CF205" s="11"/>
      <c r="CG205" s="11"/>
      <c r="CH205" s="11"/>
      <c r="CI205" s="11"/>
      <c r="CJ205" s="11"/>
      <c r="CK205" s="11"/>
      <c r="CL205" s="11"/>
      <c r="CM205" s="11"/>
      <c r="CN205" s="11"/>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11"/>
      <c r="BX206" s="11"/>
      <c r="BY206" s="11"/>
      <c r="BZ206" s="11"/>
      <c r="CA206" s="11"/>
      <c r="CB206" s="11"/>
      <c r="CC206" s="11"/>
      <c r="CD206" s="11"/>
      <c r="CE206" s="11"/>
      <c r="CF206" s="11"/>
      <c r="CG206" s="11"/>
      <c r="CH206" s="11"/>
      <c r="CI206" s="11"/>
      <c r="CJ206" s="11"/>
      <c r="CK206" s="11"/>
      <c r="CL206" s="11"/>
      <c r="CM206" s="11"/>
      <c r="CN206" s="11"/>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11"/>
      <c r="BX207" s="11"/>
      <c r="BY207" s="11"/>
      <c r="BZ207" s="11"/>
      <c r="CA207" s="11"/>
      <c r="CB207" s="11"/>
      <c r="CC207" s="11"/>
      <c r="CD207" s="11"/>
      <c r="CE207" s="11"/>
      <c r="CF207" s="11"/>
      <c r="CG207" s="11"/>
      <c r="CH207" s="11"/>
      <c r="CI207" s="11"/>
      <c r="CJ207" s="11"/>
      <c r="CK207" s="11"/>
      <c r="CL207" s="11"/>
      <c r="CM207" s="11"/>
      <c r="CN207" s="11"/>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11"/>
      <c r="BX208" s="11"/>
      <c r="BY208" s="11"/>
      <c r="BZ208" s="11"/>
      <c r="CA208" s="11"/>
      <c r="CB208" s="11"/>
      <c r="CC208" s="11"/>
      <c r="CD208" s="11"/>
      <c r="CE208" s="11"/>
      <c r="CF208" s="11"/>
      <c r="CG208" s="11"/>
      <c r="CH208" s="11"/>
      <c r="CI208" s="11"/>
      <c r="CJ208" s="11"/>
      <c r="CK208" s="11"/>
      <c r="CL208" s="11"/>
      <c r="CM208" s="11"/>
      <c r="CN208" s="11"/>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11"/>
      <c r="BX209" s="11"/>
      <c r="BY209" s="11"/>
      <c r="BZ209" s="11"/>
      <c r="CA209" s="11"/>
      <c r="CB209" s="11"/>
      <c r="CC209" s="11"/>
      <c r="CD209" s="11"/>
      <c r="CE209" s="11"/>
      <c r="CF209" s="11"/>
      <c r="CG209" s="11"/>
      <c r="CH209" s="11"/>
      <c r="CI209" s="11"/>
      <c r="CJ209" s="11"/>
      <c r="CK209" s="11"/>
      <c r="CL209" s="11"/>
      <c r="CM209" s="11"/>
      <c r="CN209" s="11"/>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11"/>
      <c r="BX210" s="11"/>
      <c r="BY210" s="11"/>
      <c r="BZ210" s="11"/>
      <c r="CA210" s="11"/>
      <c r="CB210" s="11"/>
      <c r="CC210" s="11"/>
      <c r="CD210" s="11"/>
      <c r="CE210" s="11"/>
      <c r="CF210" s="11"/>
      <c r="CG210" s="11"/>
      <c r="CH210" s="11"/>
      <c r="CI210" s="11"/>
      <c r="CJ210" s="11"/>
      <c r="CK210" s="11"/>
      <c r="CL210" s="11"/>
      <c r="CM210" s="11"/>
      <c r="CN210" s="11"/>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11"/>
      <c r="BX211" s="11"/>
      <c r="BY211" s="11"/>
      <c r="BZ211" s="11"/>
      <c r="CA211" s="11"/>
      <c r="CB211" s="11"/>
      <c r="CC211" s="11"/>
      <c r="CD211" s="11"/>
      <c r="CE211" s="11"/>
      <c r="CF211" s="11"/>
      <c r="CG211" s="11"/>
      <c r="CH211" s="11"/>
      <c r="CI211" s="11"/>
      <c r="CJ211" s="11"/>
      <c r="CK211" s="11"/>
      <c r="CL211" s="11"/>
      <c r="CM211" s="11"/>
      <c r="CN211" s="11"/>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11"/>
      <c r="BX212" s="11"/>
      <c r="BY212" s="11"/>
      <c r="BZ212" s="11"/>
      <c r="CA212" s="11"/>
      <c r="CB212" s="11"/>
      <c r="CC212" s="11"/>
      <c r="CD212" s="11"/>
      <c r="CE212" s="11"/>
      <c r="CF212" s="11"/>
      <c r="CG212" s="11"/>
      <c r="CH212" s="11"/>
      <c r="CI212" s="11"/>
      <c r="CJ212" s="11"/>
      <c r="CK212" s="11"/>
      <c r="CL212" s="11"/>
      <c r="CM212" s="11"/>
      <c r="CN212" s="11"/>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11"/>
      <c r="BX213" s="11"/>
      <c r="BY213" s="11"/>
      <c r="BZ213" s="11"/>
      <c r="CA213" s="11"/>
      <c r="CB213" s="11"/>
      <c r="CC213" s="11"/>
      <c r="CD213" s="11"/>
      <c r="CE213" s="11"/>
      <c r="CF213" s="11"/>
      <c r="CG213" s="11"/>
      <c r="CH213" s="11"/>
      <c r="CI213" s="11"/>
      <c r="CJ213" s="11"/>
      <c r="CK213" s="11"/>
      <c r="CL213" s="11"/>
      <c r="CM213" s="11"/>
      <c r="CN213" s="11"/>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11"/>
      <c r="BX214" s="11"/>
      <c r="BY214" s="11"/>
      <c r="BZ214" s="11"/>
      <c r="CA214" s="11"/>
      <c r="CB214" s="11"/>
      <c r="CC214" s="11"/>
      <c r="CD214" s="11"/>
      <c r="CE214" s="11"/>
      <c r="CF214" s="11"/>
      <c r="CG214" s="11"/>
      <c r="CH214" s="11"/>
      <c r="CI214" s="11"/>
      <c r="CJ214" s="11"/>
      <c r="CK214" s="11"/>
      <c r="CL214" s="11"/>
      <c r="CM214" s="11"/>
      <c r="CN214" s="11"/>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11"/>
      <c r="BX215" s="11"/>
      <c r="BY215" s="11"/>
      <c r="BZ215" s="11"/>
      <c r="CA215" s="11"/>
      <c r="CB215" s="11"/>
      <c r="CC215" s="11"/>
      <c r="CD215" s="11"/>
      <c r="CE215" s="11"/>
      <c r="CF215" s="11"/>
      <c r="CG215" s="11"/>
      <c r="CH215" s="11"/>
      <c r="CI215" s="11"/>
      <c r="CJ215" s="11"/>
      <c r="CK215" s="11"/>
      <c r="CL215" s="11"/>
      <c r="CM215" s="11"/>
      <c r="CN215" s="11"/>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11"/>
      <c r="BX216" s="11"/>
      <c r="BY216" s="11"/>
      <c r="BZ216" s="11"/>
      <c r="CA216" s="11"/>
      <c r="CB216" s="11"/>
      <c r="CC216" s="11"/>
      <c r="CD216" s="11"/>
      <c r="CE216" s="11"/>
      <c r="CF216" s="11"/>
      <c r="CG216" s="11"/>
      <c r="CH216" s="11"/>
      <c r="CI216" s="11"/>
      <c r="CJ216" s="11"/>
      <c r="CK216" s="11"/>
      <c r="CL216" s="11"/>
      <c r="CM216" s="11"/>
      <c r="CN216" s="11"/>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11"/>
      <c r="BX217" s="11"/>
      <c r="BY217" s="11"/>
      <c r="BZ217" s="11"/>
      <c r="CA217" s="11"/>
      <c r="CB217" s="11"/>
      <c r="CC217" s="11"/>
      <c r="CD217" s="11"/>
      <c r="CE217" s="11"/>
      <c r="CF217" s="11"/>
      <c r="CG217" s="11"/>
      <c r="CH217" s="11"/>
      <c r="CI217" s="11"/>
      <c r="CJ217" s="11"/>
      <c r="CK217" s="11"/>
      <c r="CL217" s="11"/>
      <c r="CM217" s="11"/>
      <c r="CN217" s="11"/>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11"/>
      <c r="BX218" s="11"/>
      <c r="BY218" s="11"/>
      <c r="BZ218" s="11"/>
      <c r="CA218" s="11"/>
      <c r="CB218" s="11"/>
      <c r="CC218" s="11"/>
      <c r="CD218" s="11"/>
      <c r="CE218" s="11"/>
      <c r="CF218" s="11"/>
      <c r="CG218" s="11"/>
      <c r="CH218" s="11"/>
      <c r="CI218" s="11"/>
      <c r="CJ218" s="11"/>
      <c r="CK218" s="11"/>
      <c r="CL218" s="11"/>
      <c r="CM218" s="11"/>
      <c r="CN218" s="11"/>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11"/>
      <c r="BX219" s="11"/>
      <c r="BY219" s="11"/>
      <c r="BZ219" s="11"/>
      <c r="CA219" s="11"/>
      <c r="CB219" s="11"/>
      <c r="CC219" s="11"/>
      <c r="CD219" s="11"/>
      <c r="CE219" s="11"/>
      <c r="CF219" s="11"/>
      <c r="CG219" s="11"/>
      <c r="CH219" s="11"/>
      <c r="CI219" s="11"/>
      <c r="CJ219" s="11"/>
      <c r="CK219" s="11"/>
      <c r="CL219" s="11"/>
      <c r="CM219" s="11"/>
      <c r="CN219" s="11"/>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11"/>
      <c r="BX220" s="11"/>
      <c r="BY220" s="11"/>
      <c r="BZ220" s="11"/>
      <c r="CA220" s="11"/>
      <c r="CB220" s="11"/>
      <c r="CC220" s="11"/>
      <c r="CD220" s="11"/>
      <c r="CE220" s="11"/>
      <c r="CF220" s="11"/>
      <c r="CG220" s="11"/>
      <c r="CH220" s="11"/>
      <c r="CI220" s="11"/>
      <c r="CJ220" s="11"/>
      <c r="CK220" s="11"/>
      <c r="CL220" s="11"/>
      <c r="CM220" s="11"/>
      <c r="CN220" s="11"/>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11"/>
      <c r="BX221" s="11"/>
      <c r="BY221" s="11"/>
      <c r="BZ221" s="11"/>
      <c r="CA221" s="11"/>
      <c r="CB221" s="11"/>
      <c r="CC221" s="11"/>
      <c r="CD221" s="11"/>
      <c r="CE221" s="11"/>
      <c r="CF221" s="11"/>
      <c r="CG221" s="11"/>
      <c r="CH221" s="11"/>
      <c r="CI221" s="11"/>
      <c r="CJ221" s="11"/>
      <c r="CK221" s="11"/>
      <c r="CL221" s="11"/>
      <c r="CM221" s="11"/>
      <c r="CN221" s="11"/>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11"/>
      <c r="BX222" s="11"/>
      <c r="BY222" s="11"/>
      <c r="BZ222" s="11"/>
      <c r="CA222" s="11"/>
      <c r="CB222" s="11"/>
      <c r="CC222" s="11"/>
      <c r="CD222" s="11"/>
      <c r="CE222" s="11"/>
      <c r="CF222" s="11"/>
      <c r="CG222" s="11"/>
      <c r="CH222" s="11"/>
      <c r="CI222" s="11"/>
      <c r="CJ222" s="11"/>
      <c r="CK222" s="11"/>
      <c r="CL222" s="11"/>
      <c r="CM222" s="11"/>
      <c r="CN222" s="11"/>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11"/>
      <c r="BX223" s="11"/>
      <c r="BY223" s="11"/>
      <c r="BZ223" s="11"/>
      <c r="CA223" s="11"/>
      <c r="CB223" s="11"/>
      <c r="CC223" s="11"/>
      <c r="CD223" s="11"/>
      <c r="CE223" s="11"/>
      <c r="CF223" s="11"/>
      <c r="CG223" s="11"/>
      <c r="CH223" s="11"/>
      <c r="CI223" s="11"/>
      <c r="CJ223" s="11"/>
      <c r="CK223" s="11"/>
      <c r="CL223" s="11"/>
      <c r="CM223" s="11"/>
      <c r="CN223" s="11"/>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11"/>
      <c r="BX224" s="11"/>
      <c r="BY224" s="11"/>
      <c r="BZ224" s="11"/>
      <c r="CA224" s="11"/>
      <c r="CB224" s="11"/>
      <c r="CC224" s="11"/>
      <c r="CD224" s="11"/>
      <c r="CE224" s="11"/>
      <c r="CF224" s="11"/>
      <c r="CG224" s="11"/>
      <c r="CH224" s="11"/>
      <c r="CI224" s="11"/>
      <c r="CJ224" s="11"/>
      <c r="CK224" s="11"/>
      <c r="CL224" s="11"/>
      <c r="CM224" s="11"/>
      <c r="CN224" s="11"/>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11"/>
      <c r="BX225" s="11"/>
      <c r="BY225" s="11"/>
      <c r="BZ225" s="11"/>
      <c r="CA225" s="11"/>
      <c r="CB225" s="11"/>
      <c r="CC225" s="11"/>
      <c r="CD225" s="11"/>
      <c r="CE225" s="11"/>
      <c r="CF225" s="11"/>
      <c r="CG225" s="11"/>
      <c r="CH225" s="11"/>
      <c r="CI225" s="11"/>
      <c r="CJ225" s="11"/>
      <c r="CK225" s="11"/>
      <c r="CL225" s="11"/>
      <c r="CM225" s="11"/>
      <c r="CN225" s="11"/>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11"/>
      <c r="BX226" s="11"/>
      <c r="BY226" s="11"/>
      <c r="BZ226" s="11"/>
      <c r="CA226" s="11"/>
      <c r="CB226" s="11"/>
      <c r="CC226" s="11"/>
      <c r="CD226" s="11"/>
      <c r="CE226" s="11"/>
      <c r="CF226" s="11"/>
      <c r="CG226" s="11"/>
      <c r="CH226" s="11"/>
      <c r="CI226" s="11"/>
      <c r="CJ226" s="11"/>
      <c r="CK226" s="11"/>
      <c r="CL226" s="11"/>
      <c r="CM226" s="11"/>
      <c r="CN226" s="11"/>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11"/>
      <c r="BX227" s="11"/>
      <c r="BY227" s="11"/>
      <c r="BZ227" s="11"/>
      <c r="CA227" s="11"/>
      <c r="CB227" s="11"/>
      <c r="CC227" s="11"/>
      <c r="CD227" s="11"/>
      <c r="CE227" s="11"/>
      <c r="CF227" s="11"/>
      <c r="CG227" s="11"/>
      <c r="CH227" s="11"/>
      <c r="CI227" s="11"/>
      <c r="CJ227" s="11"/>
      <c r="CK227" s="11"/>
      <c r="CL227" s="11"/>
      <c r="CM227" s="11"/>
      <c r="CN227" s="11"/>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11"/>
      <c r="BX228" s="11"/>
      <c r="BY228" s="11"/>
      <c r="BZ228" s="11"/>
      <c r="CA228" s="11"/>
      <c r="CB228" s="11"/>
      <c r="CC228" s="11"/>
      <c r="CD228" s="11"/>
      <c r="CE228" s="11"/>
      <c r="CF228" s="11"/>
      <c r="CG228" s="11"/>
      <c r="CH228" s="11"/>
      <c r="CI228" s="11"/>
      <c r="CJ228" s="11"/>
      <c r="CK228" s="11"/>
      <c r="CL228" s="11"/>
      <c r="CM228" s="11"/>
      <c r="CN228" s="11"/>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11"/>
      <c r="BX229" s="11"/>
      <c r="BY229" s="11"/>
      <c r="BZ229" s="11"/>
      <c r="CA229" s="11"/>
      <c r="CB229" s="11"/>
      <c r="CC229" s="11"/>
      <c r="CD229" s="11"/>
      <c r="CE229" s="11"/>
      <c r="CF229" s="11"/>
      <c r="CG229" s="11"/>
      <c r="CH229" s="11"/>
      <c r="CI229" s="11"/>
      <c r="CJ229" s="11"/>
      <c r="CK229" s="11"/>
      <c r="CL229" s="11"/>
      <c r="CM229" s="11"/>
      <c r="CN229" s="11"/>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c r="BH230" s="6"/>
      <c r="BI230" s="6"/>
      <c r="BJ230" s="6"/>
      <c r="BK230" s="6"/>
      <c r="BL230" s="6"/>
      <c r="BM230" s="6"/>
      <c r="BN230" s="6"/>
      <c r="BO230" s="6"/>
      <c r="BP230" s="6"/>
      <c r="BQ230" s="6"/>
      <c r="BR230" s="6"/>
      <c r="BS230" s="6"/>
      <c r="BT230" s="6"/>
      <c r="BU230" s="6"/>
      <c r="BV230" s="6"/>
      <c r="BW230" s="11"/>
      <c r="BX230" s="11"/>
      <c r="BY230" s="11"/>
      <c r="BZ230" s="11"/>
      <c r="CA230" s="11"/>
      <c r="CB230" s="11"/>
      <c r="CC230" s="11"/>
      <c r="CD230" s="11"/>
      <c r="CE230" s="11"/>
      <c r="CF230" s="11"/>
      <c r="CG230" s="11"/>
      <c r="CH230" s="11"/>
      <c r="CI230" s="11"/>
      <c r="CJ230" s="11"/>
      <c r="CK230" s="11"/>
      <c r="CL230" s="11"/>
      <c r="CM230" s="11"/>
      <c r="CN230" s="11"/>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c r="BH231" s="6"/>
      <c r="BI231" s="6"/>
      <c r="BJ231" s="6"/>
      <c r="BK231" s="6"/>
      <c r="BL231" s="6"/>
      <c r="BM231" s="6"/>
      <c r="BN231" s="6"/>
      <c r="BO231" s="6"/>
      <c r="BP231" s="6"/>
      <c r="BQ231" s="6"/>
      <c r="BR231" s="6"/>
      <c r="BS231" s="6"/>
      <c r="BT231" s="6"/>
      <c r="BU231" s="6"/>
      <c r="BV231" s="6"/>
      <c r="BW231" s="11"/>
      <c r="BX231" s="11"/>
      <c r="BY231" s="11"/>
      <c r="BZ231" s="11"/>
      <c r="CA231" s="11"/>
      <c r="CB231" s="11"/>
      <c r="CC231" s="11"/>
      <c r="CD231" s="11"/>
      <c r="CE231" s="11"/>
      <c r="CF231" s="11"/>
      <c r="CG231" s="11"/>
      <c r="CH231" s="11"/>
      <c r="CI231" s="11"/>
      <c r="CJ231" s="11"/>
      <c r="CK231" s="11"/>
      <c r="CL231" s="11"/>
      <c r="CM231" s="11"/>
      <c r="CN231" s="11"/>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c r="BH232" s="6"/>
      <c r="BI232" s="6"/>
      <c r="BJ232" s="6"/>
      <c r="BK232" s="6"/>
      <c r="BL232" s="6"/>
      <c r="BM232" s="6"/>
      <c r="BN232" s="6"/>
      <c r="BO232" s="6"/>
      <c r="BP232" s="6"/>
      <c r="BQ232" s="6"/>
      <c r="BR232" s="6"/>
      <c r="BS232" s="6"/>
      <c r="BT232" s="6"/>
      <c r="BU232" s="6"/>
      <c r="BV232" s="6"/>
      <c r="BW232" s="11"/>
      <c r="BX232" s="11"/>
      <c r="BY232" s="11"/>
      <c r="BZ232" s="11"/>
      <c r="CA232" s="11"/>
      <c r="CB232" s="11"/>
      <c r="CC232" s="11"/>
      <c r="CD232" s="11"/>
      <c r="CE232" s="11"/>
      <c r="CF232" s="11"/>
      <c r="CG232" s="11"/>
      <c r="CH232" s="11"/>
      <c r="CI232" s="11"/>
      <c r="CJ232" s="11"/>
      <c r="CK232" s="11"/>
      <c r="CL232" s="11"/>
      <c r="CM232" s="11"/>
      <c r="CN232" s="11"/>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c r="BH233" s="6"/>
      <c r="BI233" s="6"/>
      <c r="BJ233" s="6"/>
      <c r="BK233" s="6"/>
      <c r="BL233" s="6"/>
      <c r="BM233" s="6"/>
      <c r="BN233" s="6"/>
      <c r="BO233" s="6"/>
      <c r="BP233" s="6"/>
      <c r="BQ233" s="6"/>
      <c r="BR233" s="6"/>
      <c r="BS233" s="6"/>
      <c r="BT233" s="6"/>
      <c r="BU233" s="6"/>
      <c r="BV233" s="6"/>
      <c r="BW233" s="11"/>
      <c r="BX233" s="11"/>
      <c r="BY233" s="11"/>
      <c r="BZ233" s="11"/>
      <c r="CA233" s="11"/>
      <c r="CB233" s="11"/>
      <c r="CC233" s="11"/>
      <c r="CD233" s="11"/>
      <c r="CE233" s="11"/>
      <c r="CF233" s="11"/>
      <c r="CG233" s="11"/>
      <c r="CH233" s="11"/>
      <c r="CI233" s="11"/>
      <c r="CJ233" s="11"/>
      <c r="CK233" s="11"/>
      <c r="CL233" s="11"/>
      <c r="CM233" s="11"/>
      <c r="CN233" s="11"/>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11"/>
      <c r="BX234" s="11"/>
      <c r="BY234" s="11"/>
      <c r="BZ234" s="11"/>
      <c r="CA234" s="11"/>
      <c r="CB234" s="11"/>
      <c r="CC234" s="11"/>
      <c r="CD234" s="11"/>
      <c r="CE234" s="11"/>
      <c r="CF234" s="11"/>
      <c r="CG234" s="11"/>
      <c r="CH234" s="11"/>
      <c r="CI234" s="11"/>
      <c r="CJ234" s="11"/>
      <c r="CK234" s="11"/>
      <c r="CL234" s="11"/>
      <c r="CM234" s="11"/>
      <c r="CN234" s="11"/>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11"/>
      <c r="BX235" s="11"/>
      <c r="BY235" s="11"/>
      <c r="BZ235" s="11"/>
      <c r="CA235" s="11"/>
      <c r="CB235" s="11"/>
      <c r="CC235" s="11"/>
      <c r="CD235" s="11"/>
      <c r="CE235" s="11"/>
      <c r="CF235" s="11"/>
      <c r="CG235" s="11"/>
      <c r="CH235" s="11"/>
      <c r="CI235" s="11"/>
      <c r="CJ235" s="11"/>
      <c r="CK235" s="11"/>
      <c r="CL235" s="11"/>
      <c r="CM235" s="11"/>
      <c r="CN235" s="11"/>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11"/>
      <c r="BX236" s="11"/>
      <c r="BY236" s="11"/>
      <c r="BZ236" s="11"/>
      <c r="CA236" s="11"/>
      <c r="CB236" s="11"/>
      <c r="CC236" s="11"/>
      <c r="CD236" s="11"/>
      <c r="CE236" s="11"/>
      <c r="CF236" s="11"/>
      <c r="CG236" s="11"/>
      <c r="CH236" s="11"/>
      <c r="CI236" s="11"/>
      <c r="CJ236" s="11"/>
      <c r="CK236" s="11"/>
      <c r="CL236" s="11"/>
      <c r="CM236" s="11"/>
      <c r="CN236" s="11"/>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11"/>
      <c r="BX237" s="11"/>
      <c r="BY237" s="11"/>
      <c r="BZ237" s="11"/>
      <c r="CA237" s="11"/>
      <c r="CB237" s="11"/>
      <c r="CC237" s="11"/>
      <c r="CD237" s="11"/>
      <c r="CE237" s="11"/>
      <c r="CF237" s="11"/>
      <c r="CG237" s="11"/>
      <c r="CH237" s="11"/>
      <c r="CI237" s="11"/>
      <c r="CJ237" s="11"/>
      <c r="CK237" s="11"/>
      <c r="CL237" s="11"/>
      <c r="CM237" s="11"/>
      <c r="CN237" s="11"/>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11"/>
      <c r="BX238" s="11"/>
      <c r="BY238" s="11"/>
      <c r="BZ238" s="11"/>
      <c r="CA238" s="11"/>
      <c r="CB238" s="11"/>
      <c r="CC238" s="11"/>
      <c r="CD238" s="11"/>
      <c r="CE238" s="11"/>
      <c r="CF238" s="11"/>
      <c r="CG238" s="11"/>
      <c r="CH238" s="11"/>
      <c r="CI238" s="11"/>
      <c r="CJ238" s="11"/>
      <c r="CK238" s="11"/>
      <c r="CL238" s="11"/>
      <c r="CM238" s="11"/>
      <c r="CN238" s="11"/>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K239" s="6"/>
      <c r="BL239" s="6"/>
      <c r="BM239" s="6"/>
      <c r="BN239" s="6"/>
      <c r="BO239" s="6"/>
      <c r="BP239" s="6"/>
      <c r="BQ239" s="6"/>
      <c r="BR239" s="6"/>
      <c r="BS239" s="6"/>
      <c r="BT239" s="6"/>
      <c r="BU239" s="6"/>
      <c r="BV239" s="6"/>
      <c r="BW239" s="11"/>
      <c r="BX239" s="11"/>
      <c r="BY239" s="11"/>
      <c r="BZ239" s="11"/>
      <c r="CA239" s="11"/>
      <c r="CB239" s="11"/>
      <c r="CC239" s="11"/>
      <c r="CD239" s="11"/>
      <c r="CE239" s="11"/>
      <c r="CF239" s="11"/>
      <c r="CG239" s="11"/>
      <c r="CH239" s="11"/>
      <c r="CI239" s="11"/>
      <c r="CJ239" s="11"/>
      <c r="CK239" s="11"/>
      <c r="CL239" s="11"/>
      <c r="CM239" s="11"/>
      <c r="CN239" s="11"/>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K240" s="6"/>
      <c r="BL240" s="6"/>
      <c r="BM240" s="6"/>
      <c r="BN240" s="6"/>
      <c r="BO240" s="6"/>
      <c r="BP240" s="6"/>
      <c r="BQ240" s="6"/>
      <c r="BR240" s="6"/>
      <c r="BS240" s="6"/>
      <c r="BT240" s="6"/>
      <c r="BU240" s="6"/>
      <c r="BV240" s="6"/>
      <c r="BW240" s="11"/>
      <c r="BX240" s="11"/>
      <c r="BY240" s="11"/>
      <c r="BZ240" s="11"/>
      <c r="CA240" s="11"/>
      <c r="CB240" s="11"/>
      <c r="CC240" s="11"/>
      <c r="CD240" s="11"/>
      <c r="CE240" s="11"/>
      <c r="CF240" s="11"/>
      <c r="CG240" s="11"/>
      <c r="CH240" s="11"/>
      <c r="CI240" s="11"/>
      <c r="CJ240" s="11"/>
      <c r="CK240" s="11"/>
      <c r="CL240" s="11"/>
      <c r="CM240" s="11"/>
      <c r="CN240" s="11"/>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c r="BH241" s="6"/>
      <c r="BI241" s="6"/>
      <c r="BJ241" s="6"/>
      <c r="BK241" s="6"/>
      <c r="BL241" s="6"/>
      <c r="BM241" s="6"/>
      <c r="BN241" s="6"/>
      <c r="BO241" s="6"/>
      <c r="BP241" s="6"/>
      <c r="BQ241" s="6"/>
      <c r="BR241" s="6"/>
      <c r="BS241" s="6"/>
      <c r="BT241" s="6"/>
      <c r="BU241" s="6"/>
      <c r="BV241" s="6"/>
      <c r="BW241" s="11"/>
      <c r="BX241" s="11"/>
      <c r="BY241" s="11"/>
      <c r="BZ241" s="11"/>
      <c r="CA241" s="11"/>
      <c r="CB241" s="11"/>
      <c r="CC241" s="11"/>
      <c r="CD241" s="11"/>
      <c r="CE241" s="11"/>
      <c r="CF241" s="11"/>
      <c r="CG241" s="11"/>
      <c r="CH241" s="11"/>
      <c r="CI241" s="11"/>
      <c r="CJ241" s="11"/>
      <c r="CK241" s="11"/>
      <c r="CL241" s="11"/>
      <c r="CM241" s="11"/>
      <c r="CN241" s="11"/>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c r="BH242" s="6"/>
      <c r="BI242" s="6"/>
      <c r="BJ242" s="6"/>
      <c r="BK242" s="6"/>
      <c r="BL242" s="6"/>
      <c r="BM242" s="6"/>
      <c r="BN242" s="6"/>
      <c r="BO242" s="6"/>
      <c r="BP242" s="6"/>
      <c r="BQ242" s="6"/>
      <c r="BR242" s="6"/>
      <c r="BS242" s="6"/>
      <c r="BT242" s="6"/>
      <c r="BU242" s="6"/>
      <c r="BV242" s="6"/>
      <c r="BW242" s="11"/>
      <c r="BX242" s="11"/>
      <c r="BY242" s="11"/>
      <c r="BZ242" s="11"/>
      <c r="CA242" s="11"/>
      <c r="CB242" s="11"/>
      <c r="CC242" s="11"/>
      <c r="CD242" s="11"/>
      <c r="CE242" s="11"/>
      <c r="CF242" s="11"/>
      <c r="CG242" s="11"/>
      <c r="CH242" s="11"/>
      <c r="CI242" s="11"/>
      <c r="CJ242" s="11"/>
      <c r="CK242" s="11"/>
      <c r="CL242" s="11"/>
      <c r="CM242" s="11"/>
      <c r="CN242" s="11"/>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c r="BH243" s="6"/>
      <c r="BI243" s="6"/>
      <c r="BJ243" s="6"/>
      <c r="BK243" s="6"/>
      <c r="BL243" s="6"/>
      <c r="BM243" s="6"/>
      <c r="BN243" s="6"/>
      <c r="BO243" s="6"/>
      <c r="BP243" s="6"/>
      <c r="BQ243" s="6"/>
      <c r="BR243" s="6"/>
      <c r="BS243" s="6"/>
      <c r="BT243" s="6"/>
      <c r="BU243" s="6"/>
      <c r="BV243" s="6"/>
      <c r="BW243" s="11"/>
      <c r="BX243" s="11"/>
      <c r="BY243" s="11"/>
      <c r="BZ243" s="11"/>
      <c r="CA243" s="11"/>
      <c r="CB243" s="11"/>
      <c r="CC243" s="11"/>
      <c r="CD243" s="11"/>
      <c r="CE243" s="11"/>
      <c r="CF243" s="11"/>
      <c r="CG243" s="11"/>
      <c r="CH243" s="11"/>
      <c r="CI243" s="11"/>
      <c r="CJ243" s="11"/>
      <c r="CK243" s="11"/>
      <c r="CL243" s="11"/>
      <c r="CM243" s="11"/>
      <c r="CN243" s="11"/>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c r="BH244" s="6"/>
      <c r="BI244" s="6"/>
      <c r="BJ244" s="6"/>
      <c r="BK244" s="6"/>
      <c r="BL244" s="6"/>
      <c r="BM244" s="6"/>
      <c r="BN244" s="6"/>
      <c r="BO244" s="6"/>
      <c r="BP244" s="6"/>
      <c r="BQ244" s="6"/>
      <c r="BR244" s="6"/>
      <c r="BS244" s="6"/>
      <c r="BT244" s="6"/>
      <c r="BU244" s="6"/>
      <c r="BV244" s="6"/>
      <c r="BW244" s="11"/>
      <c r="BX244" s="11"/>
      <c r="BY244" s="11"/>
      <c r="BZ244" s="11"/>
      <c r="CA244" s="11"/>
      <c r="CB244" s="11"/>
      <c r="CC244" s="11"/>
      <c r="CD244" s="11"/>
      <c r="CE244" s="11"/>
      <c r="CF244" s="11"/>
      <c r="CG244" s="11"/>
      <c r="CH244" s="11"/>
      <c r="CI244" s="11"/>
      <c r="CJ244" s="11"/>
      <c r="CK244" s="11"/>
      <c r="CL244" s="11"/>
      <c r="CM244" s="11"/>
      <c r="CN244" s="11"/>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c r="BH245" s="6"/>
      <c r="BI245" s="6"/>
      <c r="BJ245" s="6"/>
      <c r="BK245" s="6"/>
      <c r="BL245" s="6"/>
      <c r="BM245" s="6"/>
      <c r="BN245" s="6"/>
      <c r="BO245" s="6"/>
      <c r="BP245" s="6"/>
      <c r="BQ245" s="6"/>
      <c r="BR245" s="6"/>
      <c r="BS245" s="6"/>
      <c r="BT245" s="6"/>
      <c r="BU245" s="6"/>
      <c r="BV245" s="6"/>
      <c r="BW245" s="11"/>
      <c r="BX245" s="11"/>
      <c r="BY245" s="11"/>
      <c r="BZ245" s="11"/>
      <c r="CA245" s="11"/>
      <c r="CB245" s="11"/>
      <c r="CC245" s="11"/>
      <c r="CD245" s="11"/>
      <c r="CE245" s="11"/>
      <c r="CF245" s="11"/>
      <c r="CG245" s="11"/>
      <c r="CH245" s="11"/>
      <c r="CI245" s="11"/>
      <c r="CJ245" s="11"/>
      <c r="CK245" s="11"/>
      <c r="CL245" s="11"/>
      <c r="CM245" s="11"/>
      <c r="CN245" s="11"/>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c r="BH246" s="6"/>
      <c r="BI246" s="6"/>
      <c r="BJ246" s="6"/>
      <c r="BK246" s="6"/>
      <c r="BL246" s="6"/>
      <c r="BM246" s="6"/>
      <c r="BN246" s="6"/>
      <c r="BO246" s="6"/>
      <c r="BP246" s="6"/>
      <c r="BQ246" s="6"/>
      <c r="BR246" s="6"/>
      <c r="BS246" s="6"/>
      <c r="BT246" s="6"/>
      <c r="BU246" s="6"/>
      <c r="BV246" s="6"/>
      <c r="BW246" s="11"/>
      <c r="BX246" s="11"/>
      <c r="BY246" s="11"/>
      <c r="BZ246" s="11"/>
      <c r="CA246" s="11"/>
      <c r="CB246" s="11"/>
      <c r="CC246" s="11"/>
      <c r="CD246" s="11"/>
      <c r="CE246" s="11"/>
      <c r="CF246" s="11"/>
      <c r="CG246" s="11"/>
      <c r="CH246" s="11"/>
      <c r="CI246" s="11"/>
      <c r="CJ246" s="11"/>
      <c r="CK246" s="11"/>
      <c r="CL246" s="11"/>
      <c r="CM246" s="11"/>
      <c r="CN246" s="11"/>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11"/>
      <c r="BX247" s="11"/>
      <c r="BY247" s="11"/>
      <c r="BZ247" s="11"/>
      <c r="CA247" s="11"/>
      <c r="CB247" s="11"/>
      <c r="CC247" s="11"/>
      <c r="CD247" s="11"/>
      <c r="CE247" s="11"/>
      <c r="CF247" s="11"/>
      <c r="CG247" s="11"/>
      <c r="CH247" s="11"/>
      <c r="CI247" s="11"/>
      <c r="CJ247" s="11"/>
      <c r="CK247" s="11"/>
      <c r="CL247" s="11"/>
      <c r="CM247" s="11"/>
      <c r="CN247" s="11"/>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11"/>
      <c r="BX248" s="11"/>
      <c r="BY248" s="11"/>
      <c r="BZ248" s="11"/>
      <c r="CA248" s="11"/>
      <c r="CB248" s="11"/>
      <c r="CC248" s="11"/>
      <c r="CD248" s="11"/>
      <c r="CE248" s="11"/>
      <c r="CF248" s="11"/>
      <c r="CG248" s="11"/>
      <c r="CH248" s="11"/>
      <c r="CI248" s="11"/>
      <c r="CJ248" s="11"/>
      <c r="CK248" s="11"/>
      <c r="CL248" s="11"/>
      <c r="CM248" s="11"/>
      <c r="CN248" s="11"/>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11"/>
      <c r="BX249" s="11"/>
      <c r="BY249" s="11"/>
      <c r="BZ249" s="11"/>
      <c r="CA249" s="11"/>
      <c r="CB249" s="11"/>
      <c r="CC249" s="11"/>
      <c r="CD249" s="11"/>
      <c r="CE249" s="11"/>
      <c r="CF249" s="11"/>
      <c r="CG249" s="11"/>
      <c r="CH249" s="11"/>
      <c r="CI249" s="11"/>
      <c r="CJ249" s="11"/>
      <c r="CK249" s="11"/>
      <c r="CL249" s="11"/>
      <c r="CM249" s="11"/>
      <c r="CN249" s="11"/>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11"/>
      <c r="BX250" s="11"/>
      <c r="BY250" s="11"/>
      <c r="BZ250" s="11"/>
      <c r="CA250" s="11"/>
      <c r="CB250" s="11"/>
      <c r="CC250" s="11"/>
      <c r="CD250" s="11"/>
      <c r="CE250" s="11"/>
      <c r="CF250" s="11"/>
      <c r="CG250" s="11"/>
      <c r="CH250" s="11"/>
      <c r="CI250" s="11"/>
      <c r="CJ250" s="11"/>
      <c r="CK250" s="11"/>
      <c r="CL250" s="11"/>
      <c r="CM250" s="11"/>
      <c r="CN250" s="11"/>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11"/>
      <c r="BX251" s="11"/>
      <c r="BY251" s="11"/>
      <c r="BZ251" s="11"/>
      <c r="CA251" s="11"/>
      <c r="CB251" s="11"/>
      <c r="CC251" s="11"/>
      <c r="CD251" s="11"/>
      <c r="CE251" s="11"/>
      <c r="CF251" s="11"/>
      <c r="CG251" s="11"/>
      <c r="CH251" s="11"/>
      <c r="CI251" s="11"/>
      <c r="CJ251" s="11"/>
      <c r="CK251" s="11"/>
      <c r="CL251" s="11"/>
      <c r="CM251" s="11"/>
      <c r="CN251" s="11"/>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11"/>
      <c r="BX252" s="11"/>
      <c r="BY252" s="11"/>
      <c r="BZ252" s="11"/>
      <c r="CA252" s="11"/>
      <c r="CB252" s="11"/>
      <c r="CC252" s="11"/>
      <c r="CD252" s="11"/>
      <c r="CE252" s="11"/>
      <c r="CF252" s="11"/>
      <c r="CG252" s="11"/>
      <c r="CH252" s="11"/>
      <c r="CI252" s="11"/>
      <c r="CJ252" s="11"/>
      <c r="CK252" s="11"/>
      <c r="CL252" s="11"/>
      <c r="CM252" s="11"/>
      <c r="CN252" s="11"/>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c r="BH253" s="6"/>
      <c r="BI253" s="6"/>
      <c r="BJ253" s="6"/>
      <c r="BK253" s="6"/>
      <c r="BL253" s="6"/>
      <c r="BM253" s="6"/>
      <c r="BN253" s="6"/>
      <c r="BO253" s="6"/>
      <c r="BP253" s="6"/>
      <c r="BQ253" s="6"/>
      <c r="BR253" s="6"/>
      <c r="BS253" s="6"/>
      <c r="BT253" s="6"/>
      <c r="BU253" s="6"/>
      <c r="BV253" s="6"/>
      <c r="BW253" s="11"/>
      <c r="BX253" s="11"/>
      <c r="BY253" s="11"/>
      <c r="BZ253" s="11"/>
      <c r="CA253" s="11"/>
      <c r="CB253" s="11"/>
      <c r="CC253" s="11"/>
      <c r="CD253" s="11"/>
      <c r="CE253" s="11"/>
      <c r="CF253" s="11"/>
      <c r="CG253" s="11"/>
      <c r="CH253" s="11"/>
      <c r="CI253" s="11"/>
      <c r="CJ253" s="11"/>
      <c r="CK253" s="11"/>
      <c r="CL253" s="11"/>
      <c r="CM253" s="11"/>
      <c r="CN253" s="11"/>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11"/>
      <c r="BX254" s="11"/>
      <c r="BY254" s="11"/>
      <c r="BZ254" s="11"/>
      <c r="CA254" s="11"/>
      <c r="CB254" s="11"/>
      <c r="CC254" s="11"/>
      <c r="CD254" s="11"/>
      <c r="CE254" s="11"/>
      <c r="CF254" s="11"/>
      <c r="CG254" s="11"/>
      <c r="CH254" s="11"/>
      <c r="CI254" s="11"/>
      <c r="CJ254" s="11"/>
      <c r="CK254" s="11"/>
      <c r="CL254" s="11"/>
      <c r="CM254" s="11"/>
      <c r="CN254" s="11"/>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K255" s="6"/>
      <c r="BL255" s="6"/>
      <c r="BM255" s="6"/>
      <c r="BN255" s="6"/>
      <c r="BO255" s="6"/>
      <c r="BP255" s="6"/>
      <c r="BQ255" s="6"/>
      <c r="BR255" s="6"/>
      <c r="BS255" s="6"/>
      <c r="BT255" s="6"/>
      <c r="BU255" s="6"/>
      <c r="BV255" s="6"/>
      <c r="BW255" s="11"/>
      <c r="BX255" s="11"/>
      <c r="BY255" s="11"/>
      <c r="BZ255" s="11"/>
      <c r="CA255" s="11"/>
      <c r="CB255" s="11"/>
      <c r="CC255" s="11"/>
      <c r="CD255" s="11"/>
      <c r="CE255" s="11"/>
      <c r="CF255" s="11"/>
      <c r="CG255" s="11"/>
      <c r="CH255" s="11"/>
      <c r="CI255" s="11"/>
      <c r="CJ255" s="11"/>
      <c r="CK255" s="11"/>
      <c r="CL255" s="11"/>
      <c r="CM255" s="11"/>
      <c r="CN255" s="11"/>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11"/>
      <c r="BX256" s="11"/>
      <c r="BY256" s="11"/>
      <c r="BZ256" s="11"/>
      <c r="CA256" s="11"/>
      <c r="CB256" s="11"/>
      <c r="CC256" s="11"/>
      <c r="CD256" s="11"/>
      <c r="CE256" s="11"/>
      <c r="CF256" s="11"/>
      <c r="CG256" s="11"/>
      <c r="CH256" s="11"/>
      <c r="CI256" s="11"/>
      <c r="CJ256" s="11"/>
      <c r="CK256" s="11"/>
      <c r="CL256" s="11"/>
      <c r="CM256" s="11"/>
      <c r="CN256" s="11"/>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c r="BH257" s="6"/>
      <c r="BI257" s="6"/>
      <c r="BJ257" s="6"/>
      <c r="BK257" s="6"/>
      <c r="BL257" s="6"/>
      <c r="BM257" s="6"/>
      <c r="BN257" s="6"/>
      <c r="BO257" s="6"/>
      <c r="BP257" s="6"/>
      <c r="BQ257" s="6"/>
      <c r="BR257" s="6"/>
      <c r="BS257" s="6"/>
      <c r="BT257" s="6"/>
      <c r="BU257" s="6"/>
      <c r="BV257" s="6"/>
      <c r="BW257" s="11"/>
      <c r="BX257" s="11"/>
      <c r="BY257" s="11"/>
      <c r="BZ257" s="11"/>
      <c r="CA257" s="11"/>
      <c r="CB257" s="11"/>
      <c r="CC257" s="11"/>
      <c r="CD257" s="11"/>
      <c r="CE257" s="11"/>
      <c r="CF257" s="11"/>
      <c r="CG257" s="11"/>
      <c r="CH257" s="11"/>
      <c r="CI257" s="11"/>
      <c r="CJ257" s="11"/>
      <c r="CK257" s="11"/>
      <c r="CL257" s="11"/>
      <c r="CM257" s="11"/>
      <c r="CN257" s="11"/>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11"/>
      <c r="BX258" s="11"/>
      <c r="BY258" s="11"/>
      <c r="BZ258" s="11"/>
      <c r="CA258" s="11"/>
      <c r="CB258" s="11"/>
      <c r="CC258" s="11"/>
      <c r="CD258" s="11"/>
      <c r="CE258" s="11"/>
      <c r="CF258" s="11"/>
      <c r="CG258" s="11"/>
      <c r="CH258" s="11"/>
      <c r="CI258" s="11"/>
      <c r="CJ258" s="11"/>
      <c r="CK258" s="11"/>
      <c r="CL258" s="11"/>
      <c r="CM258" s="11"/>
      <c r="CN258" s="11"/>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c r="BH259" s="6"/>
      <c r="BI259" s="6"/>
      <c r="BJ259" s="6"/>
      <c r="BK259" s="6"/>
      <c r="BL259" s="6"/>
      <c r="BM259" s="6"/>
      <c r="BN259" s="6"/>
      <c r="BO259" s="6"/>
      <c r="BP259" s="6"/>
      <c r="BQ259" s="6"/>
      <c r="BR259" s="6"/>
      <c r="BS259" s="6"/>
      <c r="BT259" s="6"/>
      <c r="BU259" s="6"/>
      <c r="BV259" s="6"/>
      <c r="BW259" s="11"/>
      <c r="BX259" s="11"/>
      <c r="BY259" s="11"/>
      <c r="BZ259" s="11"/>
      <c r="CA259" s="11"/>
      <c r="CB259" s="11"/>
      <c r="CC259" s="11"/>
      <c r="CD259" s="11"/>
      <c r="CE259" s="11"/>
      <c r="CF259" s="11"/>
      <c r="CG259" s="11"/>
      <c r="CH259" s="11"/>
      <c r="CI259" s="11"/>
      <c r="CJ259" s="11"/>
      <c r="CK259" s="11"/>
      <c r="CL259" s="11"/>
      <c r="CM259" s="11"/>
      <c r="CN259" s="11"/>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11"/>
      <c r="BX260" s="11"/>
      <c r="BY260" s="11"/>
      <c r="BZ260" s="11"/>
      <c r="CA260" s="11"/>
      <c r="CB260" s="11"/>
      <c r="CC260" s="11"/>
      <c r="CD260" s="11"/>
      <c r="CE260" s="11"/>
      <c r="CF260" s="11"/>
      <c r="CG260" s="11"/>
      <c r="CH260" s="11"/>
      <c r="CI260" s="11"/>
      <c r="CJ260" s="11"/>
      <c r="CK260" s="11"/>
      <c r="CL260" s="11"/>
      <c r="CM260" s="11"/>
      <c r="CN260" s="11"/>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11"/>
      <c r="BX261" s="11"/>
      <c r="BY261" s="11"/>
      <c r="BZ261" s="11"/>
      <c r="CA261" s="11"/>
      <c r="CB261" s="11"/>
      <c r="CC261" s="11"/>
      <c r="CD261" s="11"/>
      <c r="CE261" s="11"/>
      <c r="CF261" s="11"/>
      <c r="CG261" s="11"/>
      <c r="CH261" s="11"/>
      <c r="CI261" s="11"/>
      <c r="CJ261" s="11"/>
      <c r="CK261" s="11"/>
      <c r="CL261" s="11"/>
      <c r="CM261" s="11"/>
      <c r="CN261" s="11"/>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K262" s="6"/>
      <c r="BL262" s="6"/>
      <c r="BM262" s="6"/>
      <c r="BN262" s="6"/>
      <c r="BO262" s="6"/>
      <c r="BP262" s="6"/>
      <c r="BQ262" s="6"/>
      <c r="BR262" s="6"/>
      <c r="BS262" s="6"/>
      <c r="BT262" s="6"/>
      <c r="BU262" s="6"/>
      <c r="BV262" s="6"/>
      <c r="BW262" s="11"/>
      <c r="BX262" s="11"/>
      <c r="BY262" s="11"/>
      <c r="BZ262" s="11"/>
      <c r="CA262" s="11"/>
      <c r="CB262" s="11"/>
      <c r="CC262" s="11"/>
      <c r="CD262" s="11"/>
      <c r="CE262" s="11"/>
      <c r="CF262" s="11"/>
      <c r="CG262" s="11"/>
      <c r="CH262" s="11"/>
      <c r="CI262" s="11"/>
      <c r="CJ262" s="11"/>
      <c r="CK262" s="11"/>
      <c r="CL262" s="11"/>
      <c r="CM262" s="11"/>
      <c r="CN262" s="11"/>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11"/>
      <c r="BX263" s="11"/>
      <c r="BY263" s="11"/>
      <c r="BZ263" s="11"/>
      <c r="CA263" s="11"/>
      <c r="CB263" s="11"/>
      <c r="CC263" s="11"/>
      <c r="CD263" s="11"/>
      <c r="CE263" s="11"/>
      <c r="CF263" s="11"/>
      <c r="CG263" s="11"/>
      <c r="CH263" s="11"/>
      <c r="CI263" s="11"/>
      <c r="CJ263" s="11"/>
      <c r="CK263" s="11"/>
      <c r="CL263" s="11"/>
      <c r="CM263" s="11"/>
      <c r="CN263" s="11"/>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c r="BP264" s="6"/>
      <c r="BQ264" s="6"/>
      <c r="BR264" s="6"/>
      <c r="BS264" s="6"/>
      <c r="BT264" s="6"/>
      <c r="BU264" s="6"/>
      <c r="BV264" s="6"/>
      <c r="BW264" s="11"/>
      <c r="BX264" s="11"/>
      <c r="BY264" s="11"/>
      <c r="BZ264" s="11"/>
      <c r="CA264" s="11"/>
      <c r="CB264" s="11"/>
      <c r="CC264" s="11"/>
      <c r="CD264" s="11"/>
      <c r="CE264" s="11"/>
      <c r="CF264" s="11"/>
      <c r="CG264" s="11"/>
      <c r="CH264" s="11"/>
      <c r="CI264" s="11"/>
      <c r="CJ264" s="11"/>
      <c r="CK264" s="11"/>
      <c r="CL264" s="11"/>
      <c r="CM264" s="11"/>
      <c r="CN264" s="11"/>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11"/>
      <c r="BX265" s="11"/>
      <c r="BY265" s="11"/>
      <c r="BZ265" s="11"/>
      <c r="CA265" s="11"/>
      <c r="CB265" s="11"/>
      <c r="CC265" s="11"/>
      <c r="CD265" s="11"/>
      <c r="CE265" s="11"/>
      <c r="CF265" s="11"/>
      <c r="CG265" s="11"/>
      <c r="CH265" s="11"/>
      <c r="CI265" s="11"/>
      <c r="CJ265" s="11"/>
      <c r="CK265" s="11"/>
      <c r="CL265" s="11"/>
      <c r="CM265" s="11"/>
      <c r="CN265" s="11"/>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c r="BP266" s="6"/>
      <c r="BQ266" s="6"/>
      <c r="BR266" s="6"/>
      <c r="BS266" s="6"/>
      <c r="BT266" s="6"/>
      <c r="BU266" s="6"/>
      <c r="BV266" s="6"/>
      <c r="BW266" s="11"/>
      <c r="BX266" s="11"/>
      <c r="BY266" s="11"/>
      <c r="BZ266" s="11"/>
      <c r="CA266" s="11"/>
      <c r="CB266" s="11"/>
      <c r="CC266" s="11"/>
      <c r="CD266" s="11"/>
      <c r="CE266" s="11"/>
      <c r="CF266" s="11"/>
      <c r="CG266" s="11"/>
      <c r="CH266" s="11"/>
      <c r="CI266" s="11"/>
      <c r="CJ266" s="11"/>
      <c r="CK266" s="11"/>
      <c r="CL266" s="11"/>
      <c r="CM266" s="11"/>
      <c r="CN266" s="11"/>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c r="BH267" s="6"/>
      <c r="BI267" s="6"/>
      <c r="BJ267" s="6"/>
      <c r="BK267" s="6"/>
      <c r="BL267" s="6"/>
      <c r="BM267" s="6"/>
      <c r="BN267" s="6"/>
      <c r="BO267" s="6"/>
      <c r="BP267" s="6"/>
      <c r="BQ267" s="6"/>
      <c r="BR267" s="6"/>
      <c r="BS267" s="6"/>
      <c r="BT267" s="6"/>
      <c r="BU267" s="6"/>
      <c r="BV267" s="6"/>
      <c r="BW267" s="11"/>
      <c r="BX267" s="11"/>
      <c r="BY267" s="11"/>
      <c r="BZ267" s="11"/>
      <c r="CA267" s="11"/>
      <c r="CB267" s="11"/>
      <c r="CC267" s="11"/>
      <c r="CD267" s="11"/>
      <c r="CE267" s="11"/>
      <c r="CF267" s="11"/>
      <c r="CG267" s="11"/>
      <c r="CH267" s="11"/>
      <c r="CI267" s="11"/>
      <c r="CJ267" s="11"/>
      <c r="CK267" s="11"/>
      <c r="CL267" s="11"/>
      <c r="CM267" s="11"/>
      <c r="CN267" s="11"/>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c r="BP268" s="6"/>
      <c r="BQ268" s="6"/>
      <c r="BR268" s="6"/>
      <c r="BS268" s="6"/>
      <c r="BT268" s="6"/>
      <c r="BU268" s="6"/>
      <c r="BV268" s="6"/>
      <c r="BW268" s="11"/>
      <c r="BX268" s="11"/>
      <c r="BY268" s="11"/>
      <c r="BZ268" s="11"/>
      <c r="CA268" s="11"/>
      <c r="CB268" s="11"/>
      <c r="CC268" s="11"/>
      <c r="CD268" s="11"/>
      <c r="CE268" s="11"/>
      <c r="CF268" s="11"/>
      <c r="CG268" s="11"/>
      <c r="CH268" s="11"/>
      <c r="CI268" s="11"/>
      <c r="CJ268" s="11"/>
      <c r="CK268" s="11"/>
      <c r="CL268" s="11"/>
      <c r="CM268" s="11"/>
      <c r="CN268" s="11"/>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c r="BH269" s="6"/>
      <c r="BI269" s="6"/>
      <c r="BJ269" s="6"/>
      <c r="BK269" s="6"/>
      <c r="BL269" s="6"/>
      <c r="BM269" s="6"/>
      <c r="BN269" s="6"/>
      <c r="BO269" s="6"/>
      <c r="BP269" s="6"/>
      <c r="BQ269" s="6"/>
      <c r="BR269" s="6"/>
      <c r="BS269" s="6"/>
      <c r="BT269" s="6"/>
      <c r="BU269" s="6"/>
      <c r="BV269" s="6"/>
      <c r="BW269" s="11"/>
      <c r="BX269" s="11"/>
      <c r="BY269" s="11"/>
      <c r="BZ269" s="11"/>
      <c r="CA269" s="11"/>
      <c r="CB269" s="11"/>
      <c r="CC269" s="11"/>
      <c r="CD269" s="11"/>
      <c r="CE269" s="11"/>
      <c r="CF269" s="11"/>
      <c r="CG269" s="11"/>
      <c r="CH269" s="11"/>
      <c r="CI269" s="11"/>
      <c r="CJ269" s="11"/>
      <c r="CK269" s="11"/>
      <c r="CL269" s="11"/>
      <c r="CM269" s="11"/>
      <c r="CN269" s="11"/>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11"/>
      <c r="BX270" s="11"/>
      <c r="BY270" s="11"/>
      <c r="BZ270" s="11"/>
      <c r="CA270" s="11"/>
      <c r="CB270" s="11"/>
      <c r="CC270" s="11"/>
      <c r="CD270" s="11"/>
      <c r="CE270" s="11"/>
      <c r="CF270" s="11"/>
      <c r="CG270" s="11"/>
      <c r="CH270" s="11"/>
      <c r="CI270" s="11"/>
      <c r="CJ270" s="11"/>
      <c r="CK270" s="11"/>
      <c r="CL270" s="11"/>
      <c r="CM270" s="11"/>
      <c r="CN270" s="11"/>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c r="BH271" s="6"/>
      <c r="BI271" s="6"/>
      <c r="BJ271" s="6"/>
      <c r="BK271" s="6"/>
      <c r="BL271" s="6"/>
      <c r="BM271" s="6"/>
      <c r="BN271" s="6"/>
      <c r="BO271" s="6"/>
      <c r="BP271" s="6"/>
      <c r="BQ271" s="6"/>
      <c r="BR271" s="6"/>
      <c r="BS271" s="6"/>
      <c r="BT271" s="6"/>
      <c r="BU271" s="6"/>
      <c r="BV271" s="6"/>
      <c r="BW271" s="11"/>
      <c r="BX271" s="11"/>
      <c r="BY271" s="11"/>
      <c r="BZ271" s="11"/>
      <c r="CA271" s="11"/>
      <c r="CB271" s="11"/>
      <c r="CC271" s="11"/>
      <c r="CD271" s="11"/>
      <c r="CE271" s="11"/>
      <c r="CF271" s="11"/>
      <c r="CG271" s="11"/>
      <c r="CH271" s="11"/>
      <c r="CI271" s="11"/>
      <c r="CJ271" s="11"/>
      <c r="CK271" s="11"/>
      <c r="CL271" s="11"/>
      <c r="CM271" s="11"/>
      <c r="CN271" s="11"/>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c r="BH272" s="6"/>
      <c r="BI272" s="6"/>
      <c r="BJ272" s="6"/>
      <c r="BK272" s="6"/>
      <c r="BL272" s="6"/>
      <c r="BM272" s="6"/>
      <c r="BN272" s="6"/>
      <c r="BO272" s="6"/>
      <c r="BP272" s="6"/>
      <c r="BQ272" s="6"/>
      <c r="BR272" s="6"/>
      <c r="BS272" s="6"/>
      <c r="BT272" s="6"/>
      <c r="BU272" s="6"/>
      <c r="BV272" s="6"/>
      <c r="BW272" s="11"/>
      <c r="BX272" s="11"/>
      <c r="BY272" s="11"/>
      <c r="BZ272" s="11"/>
      <c r="CA272" s="11"/>
      <c r="CB272" s="11"/>
      <c r="CC272" s="11"/>
      <c r="CD272" s="11"/>
      <c r="CE272" s="11"/>
      <c r="CF272" s="11"/>
      <c r="CG272" s="11"/>
      <c r="CH272" s="11"/>
      <c r="CI272" s="11"/>
      <c r="CJ272" s="11"/>
      <c r="CK272" s="11"/>
      <c r="CL272" s="11"/>
      <c r="CM272" s="11"/>
      <c r="CN272" s="11"/>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11"/>
      <c r="BX273" s="11"/>
      <c r="BY273" s="11"/>
      <c r="BZ273" s="11"/>
      <c r="CA273" s="11"/>
      <c r="CB273" s="11"/>
      <c r="CC273" s="11"/>
      <c r="CD273" s="11"/>
      <c r="CE273" s="11"/>
      <c r="CF273" s="11"/>
      <c r="CG273" s="11"/>
      <c r="CH273" s="11"/>
      <c r="CI273" s="11"/>
      <c r="CJ273" s="11"/>
      <c r="CK273" s="11"/>
      <c r="CL273" s="11"/>
      <c r="CM273" s="11"/>
      <c r="CN273" s="11"/>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c r="BH274" s="6"/>
      <c r="BI274" s="6"/>
      <c r="BJ274" s="6"/>
      <c r="BK274" s="6"/>
      <c r="BL274" s="6"/>
      <c r="BM274" s="6"/>
      <c r="BN274" s="6"/>
      <c r="BO274" s="6"/>
      <c r="BP274" s="6"/>
      <c r="BQ274" s="6"/>
      <c r="BR274" s="6"/>
      <c r="BS274" s="6"/>
      <c r="BT274" s="6"/>
      <c r="BU274" s="6"/>
      <c r="BV274" s="6"/>
      <c r="BW274" s="11"/>
      <c r="BX274" s="11"/>
      <c r="BY274" s="11"/>
      <c r="BZ274" s="11"/>
      <c r="CA274" s="11"/>
      <c r="CB274" s="11"/>
      <c r="CC274" s="11"/>
      <c r="CD274" s="11"/>
      <c r="CE274" s="11"/>
      <c r="CF274" s="11"/>
      <c r="CG274" s="11"/>
      <c r="CH274" s="11"/>
      <c r="CI274" s="11"/>
      <c r="CJ274" s="11"/>
      <c r="CK274" s="11"/>
      <c r="CL274" s="11"/>
      <c r="CM274" s="11"/>
      <c r="CN274" s="11"/>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c r="BH275" s="6"/>
      <c r="BI275" s="6"/>
      <c r="BJ275" s="6"/>
      <c r="BK275" s="6"/>
      <c r="BL275" s="6"/>
      <c r="BM275" s="6"/>
      <c r="BN275" s="6"/>
      <c r="BO275" s="6"/>
      <c r="BP275" s="6"/>
      <c r="BQ275" s="6"/>
      <c r="BR275" s="6"/>
      <c r="BS275" s="6"/>
      <c r="BT275" s="6"/>
      <c r="BU275" s="6"/>
      <c r="BV275" s="6"/>
      <c r="BW275" s="11"/>
      <c r="BX275" s="11"/>
      <c r="BY275" s="11"/>
      <c r="BZ275" s="11"/>
      <c r="CA275" s="11"/>
      <c r="CB275" s="11"/>
      <c r="CC275" s="11"/>
      <c r="CD275" s="11"/>
      <c r="CE275" s="11"/>
      <c r="CF275" s="11"/>
      <c r="CG275" s="11"/>
      <c r="CH275" s="11"/>
      <c r="CI275" s="11"/>
      <c r="CJ275" s="11"/>
      <c r="CK275" s="11"/>
      <c r="CL275" s="11"/>
      <c r="CM275" s="11"/>
      <c r="CN275" s="11"/>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c r="BP276" s="6"/>
      <c r="BQ276" s="6"/>
      <c r="BR276" s="6"/>
      <c r="BS276" s="6"/>
      <c r="BT276" s="6"/>
      <c r="BU276" s="6"/>
      <c r="BV276" s="6"/>
      <c r="BW276" s="11"/>
      <c r="BX276" s="11"/>
      <c r="BY276" s="11"/>
      <c r="BZ276" s="11"/>
      <c r="CA276" s="11"/>
      <c r="CB276" s="11"/>
      <c r="CC276" s="11"/>
      <c r="CD276" s="11"/>
      <c r="CE276" s="11"/>
      <c r="CF276" s="11"/>
      <c r="CG276" s="11"/>
      <c r="CH276" s="11"/>
      <c r="CI276" s="11"/>
      <c r="CJ276" s="11"/>
      <c r="CK276" s="11"/>
      <c r="CL276" s="11"/>
      <c r="CM276" s="11"/>
      <c r="CN276" s="11"/>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c r="BH277" s="6"/>
      <c r="BI277" s="6"/>
      <c r="BJ277" s="6"/>
      <c r="BK277" s="6"/>
      <c r="BL277" s="6"/>
      <c r="BM277" s="6"/>
      <c r="BN277" s="6"/>
      <c r="BO277" s="6"/>
      <c r="BP277" s="6"/>
      <c r="BQ277" s="6"/>
      <c r="BR277" s="6"/>
      <c r="BS277" s="6"/>
      <c r="BT277" s="6"/>
      <c r="BU277" s="6"/>
      <c r="BV277" s="6"/>
      <c r="BW277" s="11"/>
      <c r="BX277" s="11"/>
      <c r="BY277" s="11"/>
      <c r="BZ277" s="11"/>
      <c r="CA277" s="11"/>
      <c r="CB277" s="11"/>
      <c r="CC277" s="11"/>
      <c r="CD277" s="11"/>
      <c r="CE277" s="11"/>
      <c r="CF277" s="11"/>
      <c r="CG277" s="11"/>
      <c r="CH277" s="11"/>
      <c r="CI277" s="11"/>
      <c r="CJ277" s="11"/>
      <c r="CK277" s="11"/>
      <c r="CL277" s="11"/>
      <c r="CM277" s="11"/>
      <c r="CN277" s="11"/>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11"/>
      <c r="BX278" s="11"/>
      <c r="BY278" s="11"/>
      <c r="BZ278" s="11"/>
      <c r="CA278" s="11"/>
      <c r="CB278" s="11"/>
      <c r="CC278" s="11"/>
      <c r="CD278" s="11"/>
      <c r="CE278" s="11"/>
      <c r="CF278" s="11"/>
      <c r="CG278" s="11"/>
      <c r="CH278" s="11"/>
      <c r="CI278" s="11"/>
      <c r="CJ278" s="11"/>
      <c r="CK278" s="11"/>
      <c r="CL278" s="11"/>
      <c r="CM278" s="11"/>
      <c r="CN278" s="11"/>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K279" s="6"/>
      <c r="BL279" s="6"/>
      <c r="BM279" s="6"/>
      <c r="BN279" s="6"/>
      <c r="BO279" s="6"/>
      <c r="BP279" s="6"/>
      <c r="BQ279" s="6"/>
      <c r="BR279" s="6"/>
      <c r="BS279" s="6"/>
      <c r="BT279" s="6"/>
      <c r="BU279" s="6"/>
      <c r="BV279" s="6"/>
      <c r="BW279" s="11"/>
      <c r="BX279" s="11"/>
      <c r="BY279" s="11"/>
      <c r="BZ279" s="11"/>
      <c r="CA279" s="11"/>
      <c r="CB279" s="11"/>
      <c r="CC279" s="11"/>
      <c r="CD279" s="11"/>
      <c r="CE279" s="11"/>
      <c r="CF279" s="11"/>
      <c r="CG279" s="11"/>
      <c r="CH279" s="11"/>
      <c r="CI279" s="11"/>
      <c r="CJ279" s="11"/>
      <c r="CK279" s="11"/>
      <c r="CL279" s="11"/>
      <c r="CM279" s="11"/>
      <c r="CN279" s="11"/>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c r="BH280" s="6"/>
      <c r="BI280" s="6"/>
      <c r="BJ280" s="6"/>
      <c r="BK280" s="6"/>
      <c r="BL280" s="6"/>
      <c r="BM280" s="6"/>
      <c r="BN280" s="6"/>
      <c r="BO280" s="6"/>
      <c r="BP280" s="6"/>
      <c r="BQ280" s="6"/>
      <c r="BR280" s="6"/>
      <c r="BS280" s="6"/>
      <c r="BT280" s="6"/>
      <c r="BU280" s="6"/>
      <c r="BV280" s="6"/>
      <c r="BW280" s="11"/>
      <c r="BX280" s="11"/>
      <c r="BY280" s="11"/>
      <c r="BZ280" s="11"/>
      <c r="CA280" s="11"/>
      <c r="CB280" s="11"/>
      <c r="CC280" s="11"/>
      <c r="CD280" s="11"/>
      <c r="CE280" s="11"/>
      <c r="CF280" s="11"/>
      <c r="CG280" s="11"/>
      <c r="CH280" s="11"/>
      <c r="CI280" s="11"/>
      <c r="CJ280" s="11"/>
      <c r="CK280" s="11"/>
      <c r="CL280" s="11"/>
      <c r="CM280" s="11"/>
      <c r="CN280" s="11"/>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11"/>
      <c r="BX281" s="11"/>
      <c r="BY281" s="11"/>
      <c r="BZ281" s="11"/>
      <c r="CA281" s="11"/>
      <c r="CB281" s="11"/>
      <c r="CC281" s="11"/>
      <c r="CD281" s="11"/>
      <c r="CE281" s="11"/>
      <c r="CF281" s="11"/>
      <c r="CG281" s="11"/>
      <c r="CH281" s="11"/>
      <c r="CI281" s="11"/>
      <c r="CJ281" s="11"/>
      <c r="CK281" s="11"/>
      <c r="CL281" s="11"/>
      <c r="CM281" s="11"/>
      <c r="CN281" s="11"/>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11"/>
      <c r="BX282" s="11"/>
      <c r="BY282" s="11"/>
      <c r="BZ282" s="11"/>
      <c r="CA282" s="11"/>
      <c r="CB282" s="11"/>
      <c r="CC282" s="11"/>
      <c r="CD282" s="11"/>
      <c r="CE282" s="11"/>
      <c r="CF282" s="11"/>
      <c r="CG282" s="11"/>
      <c r="CH282" s="11"/>
      <c r="CI282" s="11"/>
      <c r="CJ282" s="11"/>
      <c r="CK282" s="11"/>
      <c r="CL282" s="11"/>
      <c r="CM282" s="11"/>
      <c r="CN282" s="11"/>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c r="BH283" s="6"/>
      <c r="BI283" s="6"/>
      <c r="BJ283" s="6"/>
      <c r="BK283" s="6"/>
      <c r="BL283" s="6"/>
      <c r="BM283" s="6"/>
      <c r="BN283" s="6"/>
      <c r="BO283" s="6"/>
      <c r="BP283" s="6"/>
      <c r="BQ283" s="6"/>
      <c r="BR283" s="6"/>
      <c r="BS283" s="6"/>
      <c r="BT283" s="6"/>
      <c r="BU283" s="6"/>
      <c r="BV283" s="6"/>
      <c r="BW283" s="11"/>
      <c r="BX283" s="11"/>
      <c r="BY283" s="11"/>
      <c r="BZ283" s="11"/>
      <c r="CA283" s="11"/>
      <c r="CB283" s="11"/>
      <c r="CC283" s="11"/>
      <c r="CD283" s="11"/>
      <c r="CE283" s="11"/>
      <c r="CF283" s="11"/>
      <c r="CG283" s="11"/>
      <c r="CH283" s="11"/>
      <c r="CI283" s="11"/>
      <c r="CJ283" s="11"/>
      <c r="CK283" s="11"/>
      <c r="CL283" s="11"/>
      <c r="CM283" s="11"/>
      <c r="CN283" s="11"/>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c r="BH284" s="6"/>
      <c r="BI284" s="6"/>
      <c r="BJ284" s="6"/>
      <c r="BK284" s="6"/>
      <c r="BL284" s="6"/>
      <c r="BM284" s="6"/>
      <c r="BN284" s="6"/>
      <c r="BO284" s="6"/>
      <c r="BP284" s="6"/>
      <c r="BQ284" s="6"/>
      <c r="BR284" s="6"/>
      <c r="BS284" s="6"/>
      <c r="BT284" s="6"/>
      <c r="BU284" s="6"/>
      <c r="BV284" s="6"/>
      <c r="BW284" s="11"/>
      <c r="BX284" s="11"/>
      <c r="BY284" s="11"/>
      <c r="BZ284" s="11"/>
      <c r="CA284" s="11"/>
      <c r="CB284" s="11"/>
      <c r="CC284" s="11"/>
      <c r="CD284" s="11"/>
      <c r="CE284" s="11"/>
      <c r="CF284" s="11"/>
      <c r="CG284" s="11"/>
      <c r="CH284" s="11"/>
      <c r="CI284" s="11"/>
      <c r="CJ284" s="11"/>
      <c r="CK284" s="11"/>
      <c r="CL284" s="11"/>
      <c r="CM284" s="11"/>
      <c r="CN284" s="11"/>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c r="BH285" s="6"/>
      <c r="BI285" s="6"/>
      <c r="BJ285" s="6"/>
      <c r="BK285" s="6"/>
      <c r="BL285" s="6"/>
      <c r="BM285" s="6"/>
      <c r="BN285" s="6"/>
      <c r="BO285" s="6"/>
      <c r="BP285" s="6"/>
      <c r="BQ285" s="6"/>
      <c r="BR285" s="6"/>
      <c r="BS285" s="6"/>
      <c r="BT285" s="6"/>
      <c r="BU285" s="6"/>
      <c r="BV285" s="6"/>
      <c r="BW285" s="11"/>
      <c r="BX285" s="11"/>
      <c r="BY285" s="11"/>
      <c r="BZ285" s="11"/>
      <c r="CA285" s="11"/>
      <c r="CB285" s="11"/>
      <c r="CC285" s="11"/>
      <c r="CD285" s="11"/>
      <c r="CE285" s="11"/>
      <c r="CF285" s="11"/>
      <c r="CG285" s="11"/>
      <c r="CH285" s="11"/>
      <c r="CI285" s="11"/>
      <c r="CJ285" s="11"/>
      <c r="CK285" s="11"/>
      <c r="CL285" s="11"/>
      <c r="CM285" s="11"/>
      <c r="CN285" s="11"/>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c r="BH286" s="6"/>
      <c r="BI286" s="6"/>
      <c r="BJ286" s="6"/>
      <c r="BK286" s="6"/>
      <c r="BL286" s="6"/>
      <c r="BM286" s="6"/>
      <c r="BN286" s="6"/>
      <c r="BO286" s="6"/>
      <c r="BP286" s="6"/>
      <c r="BQ286" s="6"/>
      <c r="BR286" s="6"/>
      <c r="BS286" s="6"/>
      <c r="BT286" s="6"/>
      <c r="BU286" s="6"/>
      <c r="BV286" s="6"/>
      <c r="BW286" s="11"/>
      <c r="BX286" s="11"/>
      <c r="BY286" s="11"/>
      <c r="BZ286" s="11"/>
      <c r="CA286" s="11"/>
      <c r="CB286" s="11"/>
      <c r="CC286" s="11"/>
      <c r="CD286" s="11"/>
      <c r="CE286" s="11"/>
      <c r="CF286" s="11"/>
      <c r="CG286" s="11"/>
      <c r="CH286" s="11"/>
      <c r="CI286" s="11"/>
      <c r="CJ286" s="11"/>
      <c r="CK286" s="11"/>
      <c r="CL286" s="11"/>
      <c r="CM286" s="11"/>
      <c r="CN286" s="11"/>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c r="BH287" s="6"/>
      <c r="BI287" s="6"/>
      <c r="BJ287" s="6"/>
      <c r="BK287" s="6"/>
      <c r="BL287" s="6"/>
      <c r="BM287" s="6"/>
      <c r="BN287" s="6"/>
      <c r="BO287" s="6"/>
      <c r="BP287" s="6"/>
      <c r="BQ287" s="6"/>
      <c r="BR287" s="6"/>
      <c r="BS287" s="6"/>
      <c r="BT287" s="6"/>
      <c r="BU287" s="6"/>
      <c r="BV287" s="6"/>
      <c r="BW287" s="11"/>
      <c r="BX287" s="11"/>
      <c r="BY287" s="11"/>
      <c r="BZ287" s="11"/>
      <c r="CA287" s="11"/>
      <c r="CB287" s="11"/>
      <c r="CC287" s="11"/>
      <c r="CD287" s="11"/>
      <c r="CE287" s="11"/>
      <c r="CF287" s="11"/>
      <c r="CG287" s="11"/>
      <c r="CH287" s="11"/>
      <c r="CI287" s="11"/>
      <c r="CJ287" s="11"/>
      <c r="CK287" s="11"/>
      <c r="CL287" s="11"/>
      <c r="CM287" s="11"/>
      <c r="CN287" s="11"/>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c r="BH288" s="6"/>
      <c r="BI288" s="6"/>
      <c r="BJ288" s="6"/>
      <c r="BK288" s="6"/>
      <c r="BL288" s="6"/>
      <c r="BM288" s="6"/>
      <c r="BN288" s="6"/>
      <c r="BO288" s="6"/>
      <c r="BP288" s="6"/>
      <c r="BQ288" s="6"/>
      <c r="BR288" s="6"/>
      <c r="BS288" s="6"/>
      <c r="BT288" s="6"/>
      <c r="BU288" s="6"/>
      <c r="BV288" s="6"/>
      <c r="BW288" s="11"/>
      <c r="BX288" s="11"/>
      <c r="BY288" s="11"/>
      <c r="BZ288" s="11"/>
      <c r="CA288" s="11"/>
      <c r="CB288" s="11"/>
      <c r="CC288" s="11"/>
      <c r="CD288" s="11"/>
      <c r="CE288" s="11"/>
      <c r="CF288" s="11"/>
      <c r="CG288" s="11"/>
      <c r="CH288" s="11"/>
      <c r="CI288" s="11"/>
      <c r="CJ288" s="11"/>
      <c r="CK288" s="11"/>
      <c r="CL288" s="11"/>
      <c r="CM288" s="11"/>
      <c r="CN288" s="11"/>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c r="BH289" s="6"/>
      <c r="BI289" s="6"/>
      <c r="BJ289" s="6"/>
      <c r="BK289" s="6"/>
      <c r="BL289" s="6"/>
      <c r="BM289" s="6"/>
      <c r="BN289" s="6"/>
      <c r="BO289" s="6"/>
      <c r="BP289" s="6"/>
      <c r="BQ289" s="6"/>
      <c r="BR289" s="6"/>
      <c r="BS289" s="6"/>
      <c r="BT289" s="6"/>
      <c r="BU289" s="6"/>
      <c r="BV289" s="6"/>
      <c r="BW289" s="11"/>
      <c r="BX289" s="11"/>
      <c r="BY289" s="11"/>
      <c r="BZ289" s="11"/>
      <c r="CA289" s="11"/>
      <c r="CB289" s="11"/>
      <c r="CC289" s="11"/>
      <c r="CD289" s="11"/>
      <c r="CE289" s="11"/>
      <c r="CF289" s="11"/>
      <c r="CG289" s="11"/>
      <c r="CH289" s="11"/>
      <c r="CI289" s="11"/>
      <c r="CJ289" s="11"/>
      <c r="CK289" s="11"/>
      <c r="CL289" s="11"/>
      <c r="CM289" s="11"/>
      <c r="CN289" s="11"/>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c r="BH290" s="6"/>
      <c r="BI290" s="6"/>
      <c r="BJ290" s="6"/>
      <c r="BK290" s="6"/>
      <c r="BL290" s="6"/>
      <c r="BM290" s="6"/>
      <c r="BN290" s="6"/>
      <c r="BO290" s="6"/>
      <c r="BP290" s="6"/>
      <c r="BQ290" s="6"/>
      <c r="BR290" s="6"/>
      <c r="BS290" s="6"/>
      <c r="BT290" s="6"/>
      <c r="BU290" s="6"/>
      <c r="BV290" s="6"/>
      <c r="BW290" s="11"/>
      <c r="BX290" s="11"/>
      <c r="BY290" s="11"/>
      <c r="BZ290" s="11"/>
      <c r="CA290" s="11"/>
      <c r="CB290" s="11"/>
      <c r="CC290" s="11"/>
      <c r="CD290" s="11"/>
      <c r="CE290" s="11"/>
      <c r="CF290" s="11"/>
      <c r="CG290" s="11"/>
      <c r="CH290" s="11"/>
      <c r="CI290" s="11"/>
      <c r="CJ290" s="11"/>
      <c r="CK290" s="11"/>
      <c r="CL290" s="11"/>
      <c r="CM290" s="11"/>
      <c r="CN290" s="11"/>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c r="BH291" s="6"/>
      <c r="BI291" s="6"/>
      <c r="BJ291" s="6"/>
      <c r="BK291" s="6"/>
      <c r="BL291" s="6"/>
      <c r="BM291" s="6"/>
      <c r="BN291" s="6"/>
      <c r="BO291" s="6"/>
      <c r="BP291" s="6"/>
      <c r="BQ291" s="6"/>
      <c r="BR291" s="6"/>
      <c r="BS291" s="6"/>
      <c r="BT291" s="6"/>
      <c r="BU291" s="6"/>
      <c r="BV291" s="6"/>
      <c r="BW291" s="11"/>
      <c r="BX291" s="11"/>
      <c r="BY291" s="11"/>
      <c r="BZ291" s="11"/>
      <c r="CA291" s="11"/>
      <c r="CB291" s="11"/>
      <c r="CC291" s="11"/>
      <c r="CD291" s="11"/>
      <c r="CE291" s="11"/>
      <c r="CF291" s="11"/>
      <c r="CG291" s="11"/>
      <c r="CH291" s="11"/>
      <c r="CI291" s="11"/>
      <c r="CJ291" s="11"/>
      <c r="CK291" s="11"/>
      <c r="CL291" s="11"/>
      <c r="CM291" s="11"/>
      <c r="CN291" s="11"/>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c r="BH292" s="6"/>
      <c r="BI292" s="6"/>
      <c r="BJ292" s="6"/>
      <c r="BK292" s="6"/>
      <c r="BL292" s="6"/>
      <c r="BM292" s="6"/>
      <c r="BN292" s="6"/>
      <c r="BO292" s="6"/>
      <c r="BP292" s="6"/>
      <c r="BQ292" s="6"/>
      <c r="BR292" s="6"/>
      <c r="BS292" s="6"/>
      <c r="BT292" s="6"/>
      <c r="BU292" s="6"/>
      <c r="BV292" s="6"/>
      <c r="BW292" s="11"/>
      <c r="BX292" s="11"/>
      <c r="BY292" s="11"/>
      <c r="BZ292" s="11"/>
      <c r="CA292" s="11"/>
      <c r="CB292" s="11"/>
      <c r="CC292" s="11"/>
      <c r="CD292" s="11"/>
      <c r="CE292" s="11"/>
      <c r="CF292" s="11"/>
      <c r="CG292" s="11"/>
      <c r="CH292" s="11"/>
      <c r="CI292" s="11"/>
      <c r="CJ292" s="11"/>
      <c r="CK292" s="11"/>
      <c r="CL292" s="11"/>
      <c r="CM292" s="11"/>
      <c r="CN292" s="11"/>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c r="BH293" s="6"/>
      <c r="BI293" s="6"/>
      <c r="BJ293" s="6"/>
      <c r="BK293" s="6"/>
      <c r="BL293" s="6"/>
      <c r="BM293" s="6"/>
      <c r="BN293" s="6"/>
      <c r="BO293" s="6"/>
      <c r="BP293" s="6"/>
      <c r="BQ293" s="6"/>
      <c r="BR293" s="6"/>
      <c r="BS293" s="6"/>
      <c r="BT293" s="6"/>
      <c r="BU293" s="6"/>
      <c r="BV293" s="6"/>
      <c r="BW293" s="11"/>
      <c r="BX293" s="11"/>
      <c r="BY293" s="11"/>
      <c r="BZ293" s="11"/>
      <c r="CA293" s="11"/>
      <c r="CB293" s="11"/>
      <c r="CC293" s="11"/>
      <c r="CD293" s="11"/>
      <c r="CE293" s="11"/>
      <c r="CF293" s="11"/>
      <c r="CG293" s="11"/>
      <c r="CH293" s="11"/>
      <c r="CI293" s="11"/>
      <c r="CJ293" s="11"/>
      <c r="CK293" s="11"/>
      <c r="CL293" s="11"/>
      <c r="CM293" s="11"/>
      <c r="CN293" s="11"/>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c r="BH294" s="6"/>
      <c r="BI294" s="6"/>
      <c r="BJ294" s="6"/>
      <c r="BK294" s="6"/>
      <c r="BL294" s="6"/>
      <c r="BM294" s="6"/>
      <c r="BN294" s="6"/>
      <c r="BO294" s="6"/>
      <c r="BP294" s="6"/>
      <c r="BQ294" s="6"/>
      <c r="BR294" s="6"/>
      <c r="BS294" s="6"/>
      <c r="BT294" s="6"/>
      <c r="BU294" s="6"/>
      <c r="BV294" s="6"/>
      <c r="BW294" s="11"/>
      <c r="BX294" s="11"/>
      <c r="BY294" s="11"/>
      <c r="BZ294" s="11"/>
      <c r="CA294" s="11"/>
      <c r="CB294" s="11"/>
      <c r="CC294" s="11"/>
      <c r="CD294" s="11"/>
      <c r="CE294" s="11"/>
      <c r="CF294" s="11"/>
      <c r="CG294" s="11"/>
      <c r="CH294" s="11"/>
      <c r="CI294" s="11"/>
      <c r="CJ294" s="11"/>
      <c r="CK294" s="11"/>
      <c r="CL294" s="11"/>
      <c r="CM294" s="11"/>
      <c r="CN294" s="11"/>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c r="BH295" s="6"/>
      <c r="BI295" s="6"/>
      <c r="BJ295" s="6"/>
      <c r="BK295" s="6"/>
      <c r="BL295" s="6"/>
      <c r="BM295" s="6"/>
      <c r="BN295" s="6"/>
      <c r="BO295" s="6"/>
      <c r="BP295" s="6"/>
      <c r="BQ295" s="6"/>
      <c r="BR295" s="6"/>
      <c r="BS295" s="6"/>
      <c r="BT295" s="6"/>
      <c r="BU295" s="6"/>
      <c r="BV295" s="6"/>
      <c r="BW295" s="11"/>
      <c r="BX295" s="11"/>
      <c r="BY295" s="11"/>
      <c r="BZ295" s="11"/>
      <c r="CA295" s="11"/>
      <c r="CB295" s="11"/>
      <c r="CC295" s="11"/>
      <c r="CD295" s="11"/>
      <c r="CE295" s="11"/>
      <c r="CF295" s="11"/>
      <c r="CG295" s="11"/>
      <c r="CH295" s="11"/>
      <c r="CI295" s="11"/>
      <c r="CJ295" s="11"/>
      <c r="CK295" s="11"/>
      <c r="CL295" s="11"/>
      <c r="CM295" s="11"/>
      <c r="CN295" s="11"/>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c r="BH296" s="6"/>
      <c r="BI296" s="6"/>
      <c r="BJ296" s="6"/>
      <c r="BK296" s="6"/>
      <c r="BL296" s="6"/>
      <c r="BM296" s="6"/>
      <c r="BN296" s="6"/>
      <c r="BO296" s="6"/>
      <c r="BP296" s="6"/>
      <c r="BQ296" s="6"/>
      <c r="BR296" s="6"/>
      <c r="BS296" s="6"/>
      <c r="BT296" s="6"/>
      <c r="BU296" s="6"/>
      <c r="BV296" s="6"/>
      <c r="BW296" s="11"/>
      <c r="BX296" s="11"/>
      <c r="BY296" s="11"/>
      <c r="BZ296" s="11"/>
      <c r="CA296" s="11"/>
      <c r="CB296" s="11"/>
      <c r="CC296" s="11"/>
      <c r="CD296" s="11"/>
      <c r="CE296" s="11"/>
      <c r="CF296" s="11"/>
      <c r="CG296" s="11"/>
      <c r="CH296" s="11"/>
      <c r="CI296" s="11"/>
      <c r="CJ296" s="11"/>
      <c r="CK296" s="11"/>
      <c r="CL296" s="11"/>
      <c r="CM296" s="11"/>
      <c r="CN296" s="11"/>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c r="BH297" s="6"/>
      <c r="BI297" s="6"/>
      <c r="BJ297" s="6"/>
      <c r="BK297" s="6"/>
      <c r="BL297" s="6"/>
      <c r="BM297" s="6"/>
      <c r="BN297" s="6"/>
      <c r="BO297" s="6"/>
      <c r="BP297" s="6"/>
      <c r="BQ297" s="6"/>
      <c r="BR297" s="6"/>
      <c r="BS297" s="6"/>
      <c r="BT297" s="6"/>
      <c r="BU297" s="6"/>
      <c r="BV297" s="6"/>
      <c r="BW297" s="11"/>
      <c r="BX297" s="11"/>
      <c r="BY297" s="11"/>
      <c r="BZ297" s="11"/>
      <c r="CA297" s="11"/>
      <c r="CB297" s="11"/>
      <c r="CC297" s="11"/>
      <c r="CD297" s="11"/>
      <c r="CE297" s="11"/>
      <c r="CF297" s="11"/>
      <c r="CG297" s="11"/>
      <c r="CH297" s="11"/>
      <c r="CI297" s="11"/>
      <c r="CJ297" s="11"/>
      <c r="CK297" s="11"/>
      <c r="CL297" s="11"/>
      <c r="CM297" s="11"/>
      <c r="CN297" s="11"/>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c r="BH298" s="6"/>
      <c r="BI298" s="6"/>
      <c r="BJ298" s="6"/>
      <c r="BK298" s="6"/>
      <c r="BL298" s="6"/>
      <c r="BM298" s="6"/>
      <c r="BN298" s="6"/>
      <c r="BO298" s="6"/>
      <c r="BP298" s="6"/>
      <c r="BQ298" s="6"/>
      <c r="BR298" s="6"/>
      <c r="BS298" s="6"/>
      <c r="BT298" s="6"/>
      <c r="BU298" s="6"/>
      <c r="BV298" s="6"/>
      <c r="BW298" s="11"/>
      <c r="BX298" s="11"/>
      <c r="BY298" s="11"/>
      <c r="BZ298" s="11"/>
      <c r="CA298" s="11"/>
      <c r="CB298" s="11"/>
      <c r="CC298" s="11"/>
      <c r="CD298" s="11"/>
      <c r="CE298" s="11"/>
      <c r="CF298" s="11"/>
      <c r="CG298" s="11"/>
      <c r="CH298" s="11"/>
      <c r="CI298" s="11"/>
      <c r="CJ298" s="11"/>
      <c r="CK298" s="11"/>
      <c r="CL298" s="11"/>
      <c r="CM298" s="11"/>
      <c r="CN298" s="11"/>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c r="BH299" s="6"/>
      <c r="BI299" s="6"/>
      <c r="BJ299" s="6"/>
      <c r="BK299" s="6"/>
      <c r="BL299" s="6"/>
      <c r="BM299" s="6"/>
      <c r="BN299" s="6"/>
      <c r="BO299" s="6"/>
      <c r="BP299" s="6"/>
      <c r="BQ299" s="6"/>
      <c r="BR299" s="6"/>
      <c r="BS299" s="6"/>
      <c r="BT299" s="6"/>
      <c r="BU299" s="6"/>
      <c r="BV299" s="6"/>
      <c r="BW299" s="11"/>
      <c r="BX299" s="11"/>
      <c r="BY299" s="11"/>
      <c r="BZ299" s="11"/>
      <c r="CA299" s="11"/>
      <c r="CB299" s="11"/>
      <c r="CC299" s="11"/>
      <c r="CD299" s="11"/>
      <c r="CE299" s="11"/>
      <c r="CF299" s="11"/>
      <c r="CG299" s="11"/>
      <c r="CH299" s="11"/>
      <c r="CI299" s="11"/>
      <c r="CJ299" s="11"/>
      <c r="CK299" s="11"/>
      <c r="CL299" s="11"/>
      <c r="CM299" s="11"/>
      <c r="CN299" s="11"/>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11"/>
      <c r="BX300" s="11"/>
      <c r="BY300" s="11"/>
      <c r="BZ300" s="11"/>
      <c r="CA300" s="11"/>
      <c r="CB300" s="11"/>
      <c r="CC300" s="11"/>
      <c r="CD300" s="11"/>
      <c r="CE300" s="11"/>
      <c r="CF300" s="11"/>
      <c r="CG300" s="11"/>
      <c r="CH300" s="11"/>
      <c r="CI300" s="11"/>
      <c r="CJ300" s="11"/>
      <c r="CK300" s="11"/>
      <c r="CL300" s="11"/>
      <c r="CM300" s="11"/>
      <c r="CN300" s="11"/>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c r="BH301" s="6"/>
      <c r="BI301" s="6"/>
      <c r="BJ301" s="6"/>
      <c r="BK301" s="6"/>
      <c r="BL301" s="6"/>
      <c r="BM301" s="6"/>
      <c r="BN301" s="6"/>
      <c r="BO301" s="6"/>
      <c r="BP301" s="6"/>
      <c r="BQ301" s="6"/>
      <c r="BR301" s="6"/>
      <c r="BS301" s="6"/>
      <c r="BT301" s="6"/>
      <c r="BU301" s="6"/>
      <c r="BV301" s="6"/>
      <c r="BW301" s="11"/>
      <c r="BX301" s="11"/>
      <c r="BY301" s="11"/>
      <c r="BZ301" s="11"/>
      <c r="CA301" s="11"/>
      <c r="CB301" s="11"/>
      <c r="CC301" s="11"/>
      <c r="CD301" s="11"/>
      <c r="CE301" s="11"/>
      <c r="CF301" s="11"/>
      <c r="CG301" s="11"/>
      <c r="CH301" s="11"/>
      <c r="CI301" s="11"/>
      <c r="CJ301" s="11"/>
      <c r="CK301" s="11"/>
      <c r="CL301" s="11"/>
      <c r="CM301" s="11"/>
      <c r="CN301" s="11"/>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c r="BH302" s="6"/>
      <c r="BI302" s="6"/>
      <c r="BJ302" s="6"/>
      <c r="BK302" s="6"/>
      <c r="BL302" s="6"/>
      <c r="BM302" s="6"/>
      <c r="BN302" s="6"/>
      <c r="BO302" s="6"/>
      <c r="BP302" s="6"/>
      <c r="BQ302" s="6"/>
      <c r="BR302" s="6"/>
      <c r="BS302" s="6"/>
      <c r="BT302" s="6"/>
      <c r="BU302" s="6"/>
      <c r="BV302" s="6"/>
      <c r="BW302" s="11"/>
      <c r="BX302" s="11"/>
      <c r="BY302" s="11"/>
      <c r="BZ302" s="11"/>
      <c r="CA302" s="11"/>
      <c r="CB302" s="11"/>
      <c r="CC302" s="11"/>
      <c r="CD302" s="11"/>
      <c r="CE302" s="11"/>
      <c r="CF302" s="11"/>
      <c r="CG302" s="11"/>
      <c r="CH302" s="11"/>
      <c r="CI302" s="11"/>
      <c r="CJ302" s="11"/>
      <c r="CK302" s="11"/>
      <c r="CL302" s="11"/>
      <c r="CM302" s="11"/>
      <c r="CN302" s="11"/>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c r="BH303" s="6"/>
      <c r="BI303" s="6"/>
      <c r="BJ303" s="6"/>
      <c r="BK303" s="6"/>
      <c r="BL303" s="6"/>
      <c r="BM303" s="6"/>
      <c r="BN303" s="6"/>
      <c r="BO303" s="6"/>
      <c r="BP303" s="6"/>
      <c r="BQ303" s="6"/>
      <c r="BR303" s="6"/>
      <c r="BS303" s="6"/>
      <c r="BT303" s="6"/>
      <c r="BU303" s="6"/>
      <c r="BV303" s="6"/>
      <c r="BW303" s="11"/>
      <c r="BX303" s="11"/>
      <c r="BY303" s="11"/>
      <c r="BZ303" s="11"/>
      <c r="CA303" s="11"/>
      <c r="CB303" s="11"/>
      <c r="CC303" s="11"/>
      <c r="CD303" s="11"/>
      <c r="CE303" s="11"/>
      <c r="CF303" s="11"/>
      <c r="CG303" s="11"/>
      <c r="CH303" s="11"/>
      <c r="CI303" s="11"/>
      <c r="CJ303" s="11"/>
      <c r="CK303" s="11"/>
      <c r="CL303" s="11"/>
      <c r="CM303" s="11"/>
      <c r="CN303" s="11"/>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c r="BH304" s="6"/>
      <c r="BI304" s="6"/>
      <c r="BJ304" s="6"/>
      <c r="BK304" s="6"/>
      <c r="BL304" s="6"/>
      <c r="BM304" s="6"/>
      <c r="BN304" s="6"/>
      <c r="BO304" s="6"/>
      <c r="BP304" s="6"/>
      <c r="BQ304" s="6"/>
      <c r="BR304" s="6"/>
      <c r="BS304" s="6"/>
      <c r="BT304" s="6"/>
      <c r="BU304" s="6"/>
      <c r="BV304" s="6"/>
      <c r="BW304" s="11"/>
      <c r="BX304" s="11"/>
      <c r="BY304" s="11"/>
      <c r="BZ304" s="11"/>
      <c r="CA304" s="11"/>
      <c r="CB304" s="11"/>
      <c r="CC304" s="11"/>
      <c r="CD304" s="11"/>
      <c r="CE304" s="11"/>
      <c r="CF304" s="11"/>
      <c r="CG304" s="11"/>
      <c r="CH304" s="11"/>
      <c r="CI304" s="11"/>
      <c r="CJ304" s="11"/>
      <c r="CK304" s="11"/>
      <c r="CL304" s="11"/>
      <c r="CM304" s="11"/>
      <c r="CN304" s="11"/>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c r="BH305" s="6"/>
      <c r="BI305" s="6"/>
      <c r="BJ305" s="6"/>
      <c r="BK305" s="6"/>
      <c r="BL305" s="6"/>
      <c r="BM305" s="6"/>
      <c r="BN305" s="6"/>
      <c r="BO305" s="6"/>
      <c r="BP305" s="6"/>
      <c r="BQ305" s="6"/>
      <c r="BR305" s="6"/>
      <c r="BS305" s="6"/>
      <c r="BT305" s="6"/>
      <c r="BU305" s="6"/>
      <c r="BV305" s="6"/>
      <c r="BW305" s="11"/>
      <c r="BX305" s="11"/>
      <c r="BY305" s="11"/>
      <c r="BZ305" s="11"/>
      <c r="CA305" s="11"/>
      <c r="CB305" s="11"/>
      <c r="CC305" s="11"/>
      <c r="CD305" s="11"/>
      <c r="CE305" s="11"/>
      <c r="CF305" s="11"/>
      <c r="CG305" s="11"/>
      <c r="CH305" s="11"/>
      <c r="CI305" s="11"/>
      <c r="CJ305" s="11"/>
      <c r="CK305" s="11"/>
      <c r="CL305" s="11"/>
      <c r="CM305" s="11"/>
      <c r="CN305" s="11"/>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c r="BH306" s="6"/>
      <c r="BI306" s="6"/>
      <c r="BJ306" s="6"/>
      <c r="BK306" s="6"/>
      <c r="BL306" s="6"/>
      <c r="BM306" s="6"/>
      <c r="BN306" s="6"/>
      <c r="BO306" s="6"/>
      <c r="BP306" s="6"/>
      <c r="BQ306" s="6"/>
      <c r="BR306" s="6"/>
      <c r="BS306" s="6"/>
      <c r="BT306" s="6"/>
      <c r="BU306" s="6"/>
      <c r="BV306" s="6"/>
      <c r="BW306" s="11"/>
      <c r="BX306" s="11"/>
      <c r="BY306" s="11"/>
      <c r="BZ306" s="11"/>
      <c r="CA306" s="11"/>
      <c r="CB306" s="11"/>
      <c r="CC306" s="11"/>
      <c r="CD306" s="11"/>
      <c r="CE306" s="11"/>
      <c r="CF306" s="11"/>
      <c r="CG306" s="11"/>
      <c r="CH306" s="11"/>
      <c r="CI306" s="11"/>
      <c r="CJ306" s="11"/>
      <c r="CK306" s="11"/>
      <c r="CL306" s="11"/>
      <c r="CM306" s="11"/>
      <c r="CN306" s="11"/>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c r="BH307" s="6"/>
      <c r="BI307" s="6"/>
      <c r="BJ307" s="6"/>
      <c r="BK307" s="6"/>
      <c r="BL307" s="6"/>
      <c r="BM307" s="6"/>
      <c r="BN307" s="6"/>
      <c r="BO307" s="6"/>
      <c r="BP307" s="6"/>
      <c r="BQ307" s="6"/>
      <c r="BR307" s="6"/>
      <c r="BS307" s="6"/>
      <c r="BT307" s="6"/>
      <c r="BU307" s="6"/>
      <c r="BV307" s="6"/>
      <c r="BW307" s="11"/>
      <c r="BX307" s="11"/>
      <c r="BY307" s="11"/>
      <c r="BZ307" s="11"/>
      <c r="CA307" s="11"/>
      <c r="CB307" s="11"/>
      <c r="CC307" s="11"/>
      <c r="CD307" s="11"/>
      <c r="CE307" s="11"/>
      <c r="CF307" s="11"/>
      <c r="CG307" s="11"/>
      <c r="CH307" s="11"/>
      <c r="CI307" s="11"/>
      <c r="CJ307" s="11"/>
      <c r="CK307" s="11"/>
      <c r="CL307" s="11"/>
      <c r="CM307" s="11"/>
      <c r="CN307" s="11"/>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c r="BH308" s="6"/>
      <c r="BI308" s="6"/>
      <c r="BJ308" s="6"/>
      <c r="BK308" s="6"/>
      <c r="BL308" s="6"/>
      <c r="BM308" s="6"/>
      <c r="BN308" s="6"/>
      <c r="BO308" s="6"/>
      <c r="BP308" s="6"/>
      <c r="BQ308" s="6"/>
      <c r="BR308" s="6"/>
      <c r="BS308" s="6"/>
      <c r="BT308" s="6"/>
      <c r="BU308" s="6"/>
      <c r="BV308" s="6"/>
      <c r="BW308" s="11"/>
      <c r="BX308" s="11"/>
      <c r="BY308" s="11"/>
      <c r="BZ308" s="11"/>
      <c r="CA308" s="11"/>
      <c r="CB308" s="11"/>
      <c r="CC308" s="11"/>
      <c r="CD308" s="11"/>
      <c r="CE308" s="11"/>
      <c r="CF308" s="11"/>
      <c r="CG308" s="11"/>
      <c r="CH308" s="11"/>
      <c r="CI308" s="11"/>
      <c r="CJ308" s="11"/>
      <c r="CK308" s="11"/>
      <c r="CL308" s="11"/>
      <c r="CM308" s="11"/>
      <c r="CN308" s="11"/>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c r="BH309" s="6"/>
      <c r="BI309" s="6"/>
      <c r="BJ309" s="6"/>
      <c r="BK309" s="6"/>
      <c r="BL309" s="6"/>
      <c r="BM309" s="6"/>
      <c r="BN309" s="6"/>
      <c r="BO309" s="6"/>
      <c r="BP309" s="6"/>
      <c r="BQ309" s="6"/>
      <c r="BR309" s="6"/>
      <c r="BS309" s="6"/>
      <c r="BT309" s="6"/>
      <c r="BU309" s="6"/>
      <c r="BV309" s="6"/>
      <c r="BW309" s="11"/>
      <c r="BX309" s="11"/>
      <c r="BY309" s="11"/>
      <c r="BZ309" s="11"/>
      <c r="CA309" s="11"/>
      <c r="CB309" s="11"/>
      <c r="CC309" s="11"/>
      <c r="CD309" s="11"/>
      <c r="CE309" s="11"/>
      <c r="CF309" s="11"/>
      <c r="CG309" s="11"/>
      <c r="CH309" s="11"/>
      <c r="CI309" s="11"/>
      <c r="CJ309" s="11"/>
      <c r="CK309" s="11"/>
      <c r="CL309" s="11"/>
      <c r="CM309" s="11"/>
      <c r="CN309" s="11"/>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c r="BH310" s="6"/>
      <c r="BI310" s="6"/>
      <c r="BJ310" s="6"/>
      <c r="BK310" s="6"/>
      <c r="BL310" s="6"/>
      <c r="BM310" s="6"/>
      <c r="BN310" s="6"/>
      <c r="BO310" s="6"/>
      <c r="BP310" s="6"/>
      <c r="BQ310" s="6"/>
      <c r="BR310" s="6"/>
      <c r="BS310" s="6"/>
      <c r="BT310" s="6"/>
      <c r="BU310" s="6"/>
      <c r="BV310" s="6"/>
      <c r="BW310" s="11"/>
      <c r="BX310" s="11"/>
      <c r="BY310" s="11"/>
      <c r="BZ310" s="11"/>
      <c r="CA310" s="11"/>
      <c r="CB310" s="11"/>
      <c r="CC310" s="11"/>
      <c r="CD310" s="11"/>
      <c r="CE310" s="11"/>
      <c r="CF310" s="11"/>
      <c r="CG310" s="11"/>
      <c r="CH310" s="11"/>
      <c r="CI310" s="11"/>
      <c r="CJ310" s="11"/>
      <c r="CK310" s="11"/>
      <c r="CL310" s="11"/>
      <c r="CM310" s="11"/>
      <c r="CN310" s="11"/>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c r="BH311" s="6"/>
      <c r="BI311" s="6"/>
      <c r="BJ311" s="6"/>
      <c r="BK311" s="6"/>
      <c r="BL311" s="6"/>
      <c r="BM311" s="6"/>
      <c r="BN311" s="6"/>
      <c r="BO311" s="6"/>
      <c r="BP311" s="6"/>
      <c r="BQ311" s="6"/>
      <c r="BR311" s="6"/>
      <c r="BS311" s="6"/>
      <c r="BT311" s="6"/>
      <c r="BU311" s="6"/>
      <c r="BV311" s="6"/>
      <c r="BW311" s="11"/>
      <c r="BX311" s="11"/>
      <c r="BY311" s="11"/>
      <c r="BZ311" s="11"/>
      <c r="CA311" s="11"/>
      <c r="CB311" s="11"/>
      <c r="CC311" s="11"/>
      <c r="CD311" s="11"/>
      <c r="CE311" s="11"/>
      <c r="CF311" s="11"/>
      <c r="CG311" s="11"/>
      <c r="CH311" s="11"/>
      <c r="CI311" s="11"/>
      <c r="CJ311" s="11"/>
      <c r="CK311" s="11"/>
      <c r="CL311" s="11"/>
      <c r="CM311" s="11"/>
      <c r="CN311" s="11"/>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c r="BH312" s="6"/>
      <c r="BI312" s="6"/>
      <c r="BJ312" s="6"/>
      <c r="BK312" s="6"/>
      <c r="BL312" s="6"/>
      <c r="BM312" s="6"/>
      <c r="BN312" s="6"/>
      <c r="BO312" s="6"/>
      <c r="BP312" s="6"/>
      <c r="BQ312" s="6"/>
      <c r="BR312" s="6"/>
      <c r="BS312" s="6"/>
      <c r="BT312" s="6"/>
      <c r="BU312" s="6"/>
      <c r="BV312" s="6"/>
      <c r="BW312" s="11"/>
      <c r="BX312" s="11"/>
      <c r="BY312" s="11"/>
      <c r="BZ312" s="11"/>
      <c r="CA312" s="11"/>
      <c r="CB312" s="11"/>
      <c r="CC312" s="11"/>
      <c r="CD312" s="11"/>
      <c r="CE312" s="11"/>
      <c r="CF312" s="11"/>
      <c r="CG312" s="11"/>
      <c r="CH312" s="11"/>
      <c r="CI312" s="11"/>
      <c r="CJ312" s="11"/>
      <c r="CK312" s="11"/>
      <c r="CL312" s="11"/>
      <c r="CM312" s="11"/>
      <c r="CN312" s="11"/>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c r="BH313" s="6"/>
      <c r="BI313" s="6"/>
      <c r="BJ313" s="6"/>
      <c r="BK313" s="6"/>
      <c r="BL313" s="6"/>
      <c r="BM313" s="6"/>
      <c r="BN313" s="6"/>
      <c r="BO313" s="6"/>
      <c r="BP313" s="6"/>
      <c r="BQ313" s="6"/>
      <c r="BR313" s="6"/>
      <c r="BS313" s="6"/>
      <c r="BT313" s="6"/>
      <c r="BU313" s="6"/>
      <c r="BV313" s="6"/>
      <c r="BW313" s="11"/>
      <c r="BX313" s="11"/>
      <c r="BY313" s="11"/>
      <c r="BZ313" s="11"/>
      <c r="CA313" s="11"/>
      <c r="CB313" s="11"/>
      <c r="CC313" s="11"/>
      <c r="CD313" s="11"/>
      <c r="CE313" s="11"/>
      <c r="CF313" s="11"/>
      <c r="CG313" s="11"/>
      <c r="CH313" s="11"/>
      <c r="CI313" s="11"/>
      <c r="CJ313" s="11"/>
      <c r="CK313" s="11"/>
      <c r="CL313" s="11"/>
      <c r="CM313" s="11"/>
      <c r="CN313" s="11"/>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c r="BH314" s="6"/>
      <c r="BI314" s="6"/>
      <c r="BJ314" s="6"/>
      <c r="BK314" s="6"/>
      <c r="BL314" s="6"/>
      <c r="BM314" s="6"/>
      <c r="BN314" s="6"/>
      <c r="BO314" s="6"/>
      <c r="BP314" s="6"/>
      <c r="BQ314" s="6"/>
      <c r="BR314" s="6"/>
      <c r="BS314" s="6"/>
      <c r="BT314" s="6"/>
      <c r="BU314" s="6"/>
      <c r="BV314" s="6"/>
      <c r="BW314" s="11"/>
      <c r="BX314" s="11"/>
      <c r="BY314" s="11"/>
      <c r="BZ314" s="11"/>
      <c r="CA314" s="11"/>
      <c r="CB314" s="11"/>
      <c r="CC314" s="11"/>
      <c r="CD314" s="11"/>
      <c r="CE314" s="11"/>
      <c r="CF314" s="11"/>
      <c r="CG314" s="11"/>
      <c r="CH314" s="11"/>
      <c r="CI314" s="11"/>
      <c r="CJ314" s="11"/>
      <c r="CK314" s="11"/>
      <c r="CL314" s="11"/>
      <c r="CM314" s="11"/>
      <c r="CN314" s="11"/>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c r="BH315" s="6"/>
      <c r="BI315" s="6"/>
      <c r="BJ315" s="6"/>
      <c r="BK315" s="6"/>
      <c r="BL315" s="6"/>
      <c r="BM315" s="6"/>
      <c r="BN315" s="6"/>
      <c r="BO315" s="6"/>
      <c r="BP315" s="6"/>
      <c r="BQ315" s="6"/>
      <c r="BR315" s="6"/>
      <c r="BS315" s="6"/>
      <c r="BT315" s="6"/>
      <c r="BU315" s="6"/>
      <c r="BV315" s="6"/>
      <c r="BW315" s="11"/>
      <c r="BX315" s="11"/>
      <c r="BY315" s="11"/>
      <c r="BZ315" s="11"/>
      <c r="CA315" s="11"/>
      <c r="CB315" s="11"/>
      <c r="CC315" s="11"/>
      <c r="CD315" s="11"/>
      <c r="CE315" s="11"/>
      <c r="CF315" s="11"/>
      <c r="CG315" s="11"/>
      <c r="CH315" s="11"/>
      <c r="CI315" s="11"/>
      <c r="CJ315" s="11"/>
      <c r="CK315" s="11"/>
      <c r="CL315" s="11"/>
      <c r="CM315" s="11"/>
      <c r="CN315" s="11"/>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c r="BH316" s="6"/>
      <c r="BI316" s="6"/>
      <c r="BJ316" s="6"/>
      <c r="BK316" s="6"/>
      <c r="BL316" s="6"/>
      <c r="BM316" s="6"/>
      <c r="BN316" s="6"/>
      <c r="BO316" s="6"/>
      <c r="BP316" s="6"/>
      <c r="BQ316" s="6"/>
      <c r="BR316" s="6"/>
      <c r="BS316" s="6"/>
      <c r="BT316" s="6"/>
      <c r="BU316" s="6"/>
      <c r="BV316" s="6"/>
      <c r="BW316" s="11"/>
      <c r="BX316" s="11"/>
      <c r="BY316" s="11"/>
      <c r="BZ316" s="11"/>
      <c r="CA316" s="11"/>
      <c r="CB316" s="11"/>
      <c r="CC316" s="11"/>
      <c r="CD316" s="11"/>
      <c r="CE316" s="11"/>
      <c r="CF316" s="11"/>
      <c r="CG316" s="11"/>
      <c r="CH316" s="11"/>
      <c r="CI316" s="11"/>
      <c r="CJ316" s="11"/>
      <c r="CK316" s="11"/>
      <c r="CL316" s="11"/>
      <c r="CM316" s="11"/>
      <c r="CN316" s="11"/>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c r="BH317" s="6"/>
      <c r="BI317" s="6"/>
      <c r="BJ317" s="6"/>
      <c r="BK317" s="6"/>
      <c r="BL317" s="6"/>
      <c r="BM317" s="6"/>
      <c r="BN317" s="6"/>
      <c r="BO317" s="6"/>
      <c r="BP317" s="6"/>
      <c r="BQ317" s="6"/>
      <c r="BR317" s="6"/>
      <c r="BS317" s="6"/>
      <c r="BT317" s="6"/>
      <c r="BU317" s="6"/>
      <c r="BV317" s="6"/>
      <c r="BW317" s="11"/>
      <c r="BX317" s="11"/>
      <c r="BY317" s="11"/>
      <c r="BZ317" s="11"/>
      <c r="CA317" s="11"/>
      <c r="CB317" s="11"/>
      <c r="CC317" s="11"/>
      <c r="CD317" s="11"/>
      <c r="CE317" s="11"/>
      <c r="CF317" s="11"/>
      <c r="CG317" s="11"/>
      <c r="CH317" s="11"/>
      <c r="CI317" s="11"/>
      <c r="CJ317" s="11"/>
      <c r="CK317" s="11"/>
      <c r="CL317" s="11"/>
      <c r="CM317" s="11"/>
      <c r="CN317" s="11"/>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c r="BH318" s="6"/>
      <c r="BI318" s="6"/>
      <c r="BJ318" s="6"/>
      <c r="BK318" s="6"/>
      <c r="BL318" s="6"/>
      <c r="BM318" s="6"/>
      <c r="BN318" s="6"/>
      <c r="BO318" s="6"/>
      <c r="BP318" s="6"/>
      <c r="BQ318" s="6"/>
      <c r="BR318" s="6"/>
      <c r="BS318" s="6"/>
      <c r="BT318" s="6"/>
      <c r="BU318" s="6"/>
      <c r="BV318" s="6"/>
      <c r="BW318" s="11"/>
      <c r="BX318" s="11"/>
      <c r="BY318" s="11"/>
      <c r="BZ318" s="11"/>
      <c r="CA318" s="11"/>
      <c r="CB318" s="11"/>
      <c r="CC318" s="11"/>
      <c r="CD318" s="11"/>
      <c r="CE318" s="11"/>
      <c r="CF318" s="11"/>
      <c r="CG318" s="11"/>
      <c r="CH318" s="11"/>
      <c r="CI318" s="11"/>
      <c r="CJ318" s="11"/>
      <c r="CK318" s="11"/>
      <c r="CL318" s="11"/>
      <c r="CM318" s="11"/>
      <c r="CN318" s="11"/>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c r="BH319" s="6"/>
      <c r="BI319" s="6"/>
      <c r="BJ319" s="6"/>
      <c r="BK319" s="6"/>
      <c r="BL319" s="6"/>
      <c r="BM319" s="6"/>
      <c r="BN319" s="6"/>
      <c r="BO319" s="6"/>
      <c r="BP319" s="6"/>
      <c r="BQ319" s="6"/>
      <c r="BR319" s="6"/>
      <c r="BS319" s="6"/>
      <c r="BT319" s="6"/>
      <c r="BU319" s="6"/>
      <c r="BV319" s="6"/>
      <c r="BW319" s="11"/>
      <c r="BX319" s="11"/>
      <c r="BY319" s="11"/>
      <c r="BZ319" s="11"/>
      <c r="CA319" s="11"/>
      <c r="CB319" s="11"/>
      <c r="CC319" s="11"/>
      <c r="CD319" s="11"/>
      <c r="CE319" s="11"/>
      <c r="CF319" s="11"/>
      <c r="CG319" s="11"/>
      <c r="CH319" s="11"/>
      <c r="CI319" s="11"/>
      <c r="CJ319" s="11"/>
      <c r="CK319" s="11"/>
      <c r="CL319" s="11"/>
      <c r="CM319" s="11"/>
      <c r="CN319" s="11"/>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c r="BH320" s="6"/>
      <c r="BI320" s="6"/>
      <c r="BJ320" s="6"/>
      <c r="BK320" s="6"/>
      <c r="BL320" s="6"/>
      <c r="BM320" s="6"/>
      <c r="BN320" s="6"/>
      <c r="BO320" s="6"/>
      <c r="BP320" s="6"/>
      <c r="BQ320" s="6"/>
      <c r="BR320" s="6"/>
      <c r="BS320" s="6"/>
      <c r="BT320" s="6"/>
      <c r="BU320" s="6"/>
      <c r="BV320" s="6"/>
      <c r="BW320" s="11"/>
      <c r="BX320" s="11"/>
      <c r="BY320" s="11"/>
      <c r="BZ320" s="11"/>
      <c r="CA320" s="11"/>
      <c r="CB320" s="11"/>
      <c r="CC320" s="11"/>
      <c r="CD320" s="11"/>
      <c r="CE320" s="11"/>
      <c r="CF320" s="11"/>
      <c r="CG320" s="11"/>
      <c r="CH320" s="11"/>
      <c r="CI320" s="11"/>
      <c r="CJ320" s="11"/>
      <c r="CK320" s="11"/>
      <c r="CL320" s="11"/>
      <c r="CM320" s="11"/>
      <c r="CN320" s="11"/>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c r="BH321" s="6"/>
      <c r="BI321" s="6"/>
      <c r="BJ321" s="6"/>
      <c r="BK321" s="6"/>
      <c r="BL321" s="6"/>
      <c r="BM321" s="6"/>
      <c r="BN321" s="6"/>
      <c r="BO321" s="6"/>
      <c r="BP321" s="6"/>
      <c r="BQ321" s="6"/>
      <c r="BR321" s="6"/>
      <c r="BS321" s="6"/>
      <c r="BT321" s="6"/>
      <c r="BU321" s="6"/>
      <c r="BV321" s="6"/>
      <c r="BW321" s="11"/>
      <c r="BX321" s="11"/>
      <c r="BY321" s="11"/>
      <c r="BZ321" s="11"/>
      <c r="CA321" s="11"/>
      <c r="CB321" s="11"/>
      <c r="CC321" s="11"/>
      <c r="CD321" s="11"/>
      <c r="CE321" s="11"/>
      <c r="CF321" s="11"/>
      <c r="CG321" s="11"/>
      <c r="CH321" s="11"/>
      <c r="CI321" s="11"/>
      <c r="CJ321" s="11"/>
      <c r="CK321" s="11"/>
      <c r="CL321" s="11"/>
      <c r="CM321" s="11"/>
      <c r="CN321" s="11"/>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c r="BH322" s="6"/>
      <c r="BI322" s="6"/>
      <c r="BJ322" s="6"/>
      <c r="BK322" s="6"/>
      <c r="BL322" s="6"/>
      <c r="BM322" s="6"/>
      <c r="BN322" s="6"/>
      <c r="BO322" s="6"/>
      <c r="BP322" s="6"/>
      <c r="BQ322" s="6"/>
      <c r="BR322" s="6"/>
      <c r="BS322" s="6"/>
      <c r="BT322" s="6"/>
      <c r="BU322" s="6"/>
      <c r="BV322" s="6"/>
      <c r="BW322" s="11"/>
      <c r="BX322" s="11"/>
      <c r="BY322" s="11"/>
      <c r="BZ322" s="11"/>
      <c r="CA322" s="11"/>
      <c r="CB322" s="11"/>
      <c r="CC322" s="11"/>
      <c r="CD322" s="11"/>
      <c r="CE322" s="11"/>
      <c r="CF322" s="11"/>
      <c r="CG322" s="11"/>
      <c r="CH322" s="11"/>
      <c r="CI322" s="11"/>
      <c r="CJ322" s="11"/>
      <c r="CK322" s="11"/>
      <c r="CL322" s="11"/>
      <c r="CM322" s="11"/>
      <c r="CN322" s="11"/>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11"/>
      <c r="BX323" s="11"/>
      <c r="BY323" s="11"/>
      <c r="BZ323" s="11"/>
      <c r="CA323" s="11"/>
      <c r="CB323" s="11"/>
      <c r="CC323" s="11"/>
      <c r="CD323" s="11"/>
      <c r="CE323" s="11"/>
      <c r="CF323" s="11"/>
      <c r="CG323" s="11"/>
      <c r="CH323" s="11"/>
      <c r="CI323" s="11"/>
      <c r="CJ323" s="11"/>
      <c r="CK323" s="11"/>
      <c r="CL323" s="11"/>
      <c r="CM323" s="11"/>
      <c r="CN323" s="11"/>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c r="BH324" s="6"/>
      <c r="BI324" s="6"/>
      <c r="BJ324" s="6"/>
      <c r="BK324" s="6"/>
      <c r="BL324" s="6"/>
      <c r="BM324" s="6"/>
      <c r="BN324" s="6"/>
      <c r="BO324" s="6"/>
      <c r="BP324" s="6"/>
      <c r="BQ324" s="6"/>
      <c r="BR324" s="6"/>
      <c r="BS324" s="6"/>
      <c r="BT324" s="6"/>
      <c r="BU324" s="6"/>
      <c r="BV324" s="6"/>
      <c r="BW324" s="11"/>
      <c r="BX324" s="11"/>
      <c r="BY324" s="11"/>
      <c r="BZ324" s="11"/>
      <c r="CA324" s="11"/>
      <c r="CB324" s="11"/>
      <c r="CC324" s="11"/>
      <c r="CD324" s="11"/>
      <c r="CE324" s="11"/>
      <c r="CF324" s="11"/>
      <c r="CG324" s="11"/>
      <c r="CH324" s="11"/>
      <c r="CI324" s="11"/>
      <c r="CJ324" s="11"/>
      <c r="CK324" s="11"/>
      <c r="CL324" s="11"/>
      <c r="CM324" s="11"/>
      <c r="CN324" s="11"/>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c r="BH325" s="6"/>
      <c r="BI325" s="6"/>
      <c r="BJ325" s="6"/>
      <c r="BK325" s="6"/>
      <c r="BL325" s="6"/>
      <c r="BM325" s="6"/>
      <c r="BN325" s="6"/>
      <c r="BO325" s="6"/>
      <c r="BP325" s="6"/>
      <c r="BQ325" s="6"/>
      <c r="BR325" s="6"/>
      <c r="BS325" s="6"/>
      <c r="BT325" s="6"/>
      <c r="BU325" s="6"/>
      <c r="BV325" s="6"/>
      <c r="BW325" s="11"/>
      <c r="BX325" s="11"/>
      <c r="BY325" s="11"/>
      <c r="BZ325" s="11"/>
      <c r="CA325" s="11"/>
      <c r="CB325" s="11"/>
      <c r="CC325" s="11"/>
      <c r="CD325" s="11"/>
      <c r="CE325" s="11"/>
      <c r="CF325" s="11"/>
      <c r="CG325" s="11"/>
      <c r="CH325" s="11"/>
      <c r="CI325" s="11"/>
      <c r="CJ325" s="11"/>
      <c r="CK325" s="11"/>
      <c r="CL325" s="11"/>
      <c r="CM325" s="11"/>
      <c r="CN325" s="11"/>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c r="BH326" s="6"/>
      <c r="BI326" s="6"/>
      <c r="BJ326" s="6"/>
      <c r="BK326" s="6"/>
      <c r="BL326" s="6"/>
      <c r="BM326" s="6"/>
      <c r="BN326" s="6"/>
      <c r="BO326" s="6"/>
      <c r="BP326" s="6"/>
      <c r="BQ326" s="6"/>
      <c r="BR326" s="6"/>
      <c r="BS326" s="6"/>
      <c r="BT326" s="6"/>
      <c r="BU326" s="6"/>
      <c r="BV326" s="6"/>
      <c r="BW326" s="11"/>
      <c r="BX326" s="11"/>
      <c r="BY326" s="11"/>
      <c r="BZ326" s="11"/>
      <c r="CA326" s="11"/>
      <c r="CB326" s="11"/>
      <c r="CC326" s="11"/>
      <c r="CD326" s="11"/>
      <c r="CE326" s="11"/>
      <c r="CF326" s="11"/>
      <c r="CG326" s="11"/>
      <c r="CH326" s="11"/>
      <c r="CI326" s="11"/>
      <c r="CJ326" s="11"/>
      <c r="CK326" s="11"/>
      <c r="CL326" s="11"/>
      <c r="CM326" s="11"/>
      <c r="CN326" s="11"/>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c r="BH327" s="6"/>
      <c r="BI327" s="6"/>
      <c r="BJ327" s="6"/>
      <c r="BK327" s="6"/>
      <c r="BL327" s="6"/>
      <c r="BM327" s="6"/>
      <c r="BN327" s="6"/>
      <c r="BO327" s="6"/>
      <c r="BP327" s="6"/>
      <c r="BQ327" s="6"/>
      <c r="BR327" s="6"/>
      <c r="BS327" s="6"/>
      <c r="BT327" s="6"/>
      <c r="BU327" s="6"/>
      <c r="BV327" s="6"/>
      <c r="BW327" s="11"/>
      <c r="BX327" s="11"/>
      <c r="BY327" s="11"/>
      <c r="BZ327" s="11"/>
      <c r="CA327" s="11"/>
      <c r="CB327" s="11"/>
      <c r="CC327" s="11"/>
      <c r="CD327" s="11"/>
      <c r="CE327" s="11"/>
      <c r="CF327" s="11"/>
      <c r="CG327" s="11"/>
      <c r="CH327" s="11"/>
      <c r="CI327" s="11"/>
      <c r="CJ327" s="11"/>
      <c r="CK327" s="11"/>
      <c r="CL327" s="11"/>
      <c r="CM327" s="11"/>
      <c r="CN327" s="11"/>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c r="BH328" s="6"/>
      <c r="BI328" s="6"/>
      <c r="BJ328" s="6"/>
      <c r="BK328" s="6"/>
      <c r="BL328" s="6"/>
      <c r="BM328" s="6"/>
      <c r="BN328" s="6"/>
      <c r="BO328" s="6"/>
      <c r="BP328" s="6"/>
      <c r="BQ328" s="6"/>
      <c r="BR328" s="6"/>
      <c r="BS328" s="6"/>
      <c r="BT328" s="6"/>
      <c r="BU328" s="6"/>
      <c r="BV328" s="6"/>
      <c r="BW328" s="11"/>
      <c r="BX328" s="11"/>
      <c r="BY328" s="11"/>
      <c r="BZ328" s="11"/>
      <c r="CA328" s="11"/>
      <c r="CB328" s="11"/>
      <c r="CC328" s="11"/>
      <c r="CD328" s="11"/>
      <c r="CE328" s="11"/>
      <c r="CF328" s="11"/>
      <c r="CG328" s="11"/>
      <c r="CH328" s="11"/>
      <c r="CI328" s="11"/>
      <c r="CJ328" s="11"/>
      <c r="CK328" s="11"/>
      <c r="CL328" s="11"/>
      <c r="CM328" s="11"/>
      <c r="CN328" s="11"/>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c r="BH329" s="6"/>
      <c r="BI329" s="6"/>
      <c r="BJ329" s="6"/>
      <c r="BK329" s="6"/>
      <c r="BL329" s="6"/>
      <c r="BM329" s="6"/>
      <c r="BN329" s="6"/>
      <c r="BO329" s="6"/>
      <c r="BP329" s="6"/>
      <c r="BQ329" s="6"/>
      <c r="BR329" s="6"/>
      <c r="BS329" s="6"/>
      <c r="BT329" s="6"/>
      <c r="BU329" s="6"/>
      <c r="BV329" s="6"/>
      <c r="BW329" s="11"/>
      <c r="BX329" s="11"/>
      <c r="BY329" s="11"/>
      <c r="BZ329" s="11"/>
      <c r="CA329" s="11"/>
      <c r="CB329" s="11"/>
      <c r="CC329" s="11"/>
      <c r="CD329" s="11"/>
      <c r="CE329" s="11"/>
      <c r="CF329" s="11"/>
      <c r="CG329" s="11"/>
      <c r="CH329" s="11"/>
      <c r="CI329" s="11"/>
      <c r="CJ329" s="11"/>
      <c r="CK329" s="11"/>
      <c r="CL329" s="11"/>
      <c r="CM329" s="11"/>
      <c r="CN329" s="11"/>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11"/>
      <c r="BX330" s="11"/>
      <c r="BY330" s="11"/>
      <c r="BZ330" s="11"/>
      <c r="CA330" s="11"/>
      <c r="CB330" s="11"/>
      <c r="CC330" s="11"/>
      <c r="CD330" s="11"/>
      <c r="CE330" s="11"/>
      <c r="CF330" s="11"/>
      <c r="CG330" s="11"/>
      <c r="CH330" s="11"/>
      <c r="CI330" s="11"/>
      <c r="CJ330" s="11"/>
      <c r="CK330" s="11"/>
      <c r="CL330" s="11"/>
      <c r="CM330" s="11"/>
      <c r="CN330" s="11"/>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11"/>
      <c r="BX331" s="11"/>
      <c r="BY331" s="11"/>
      <c r="BZ331" s="11"/>
      <c r="CA331" s="11"/>
      <c r="CB331" s="11"/>
      <c r="CC331" s="11"/>
      <c r="CD331" s="11"/>
      <c r="CE331" s="11"/>
      <c r="CF331" s="11"/>
      <c r="CG331" s="11"/>
      <c r="CH331" s="11"/>
      <c r="CI331" s="11"/>
      <c r="CJ331" s="11"/>
      <c r="CK331" s="11"/>
      <c r="CL331" s="11"/>
      <c r="CM331" s="11"/>
      <c r="CN331" s="11"/>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c r="BH332" s="6"/>
      <c r="BI332" s="6"/>
      <c r="BJ332" s="6"/>
      <c r="BK332" s="6"/>
      <c r="BL332" s="6"/>
      <c r="BM332" s="6"/>
      <c r="BN332" s="6"/>
      <c r="BO332" s="6"/>
      <c r="BP332" s="6"/>
      <c r="BQ332" s="6"/>
      <c r="BR332" s="6"/>
      <c r="BS332" s="6"/>
      <c r="BT332" s="6"/>
      <c r="BU332" s="6"/>
      <c r="BV332" s="6"/>
      <c r="BW332" s="11"/>
      <c r="BX332" s="11"/>
      <c r="BY332" s="11"/>
      <c r="BZ332" s="11"/>
      <c r="CA332" s="11"/>
      <c r="CB332" s="11"/>
      <c r="CC332" s="11"/>
      <c r="CD332" s="11"/>
      <c r="CE332" s="11"/>
      <c r="CF332" s="11"/>
      <c r="CG332" s="11"/>
      <c r="CH332" s="11"/>
      <c r="CI332" s="11"/>
      <c r="CJ332" s="11"/>
      <c r="CK332" s="11"/>
      <c r="CL332" s="11"/>
      <c r="CM332" s="11"/>
      <c r="CN332" s="11"/>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11"/>
      <c r="BX333" s="11"/>
      <c r="BY333" s="11"/>
      <c r="BZ333" s="11"/>
      <c r="CA333" s="11"/>
      <c r="CB333" s="11"/>
      <c r="CC333" s="11"/>
      <c r="CD333" s="11"/>
      <c r="CE333" s="11"/>
      <c r="CF333" s="11"/>
      <c r="CG333" s="11"/>
      <c r="CH333" s="11"/>
      <c r="CI333" s="11"/>
      <c r="CJ333" s="11"/>
      <c r="CK333" s="11"/>
      <c r="CL333" s="11"/>
      <c r="CM333" s="11"/>
      <c r="CN333" s="11"/>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11"/>
      <c r="BX334" s="11"/>
      <c r="BY334" s="11"/>
      <c r="BZ334" s="11"/>
      <c r="CA334" s="11"/>
      <c r="CB334" s="11"/>
      <c r="CC334" s="11"/>
      <c r="CD334" s="11"/>
      <c r="CE334" s="11"/>
      <c r="CF334" s="11"/>
      <c r="CG334" s="11"/>
      <c r="CH334" s="11"/>
      <c r="CI334" s="11"/>
      <c r="CJ334" s="11"/>
      <c r="CK334" s="11"/>
      <c r="CL334" s="11"/>
      <c r="CM334" s="11"/>
      <c r="CN334" s="11"/>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c r="BH335" s="6"/>
      <c r="BI335" s="6"/>
      <c r="BJ335" s="6"/>
      <c r="BK335" s="6"/>
      <c r="BL335" s="6"/>
      <c r="BM335" s="6"/>
      <c r="BN335" s="6"/>
      <c r="BO335" s="6"/>
      <c r="BP335" s="6"/>
      <c r="BQ335" s="6"/>
      <c r="BR335" s="6"/>
      <c r="BS335" s="6"/>
      <c r="BT335" s="6"/>
      <c r="BU335" s="6"/>
      <c r="BV335" s="6"/>
      <c r="BW335" s="11"/>
      <c r="BX335" s="11"/>
      <c r="BY335" s="11"/>
      <c r="BZ335" s="11"/>
      <c r="CA335" s="11"/>
      <c r="CB335" s="11"/>
      <c r="CC335" s="11"/>
      <c r="CD335" s="11"/>
      <c r="CE335" s="11"/>
      <c r="CF335" s="11"/>
      <c r="CG335" s="11"/>
      <c r="CH335" s="11"/>
      <c r="CI335" s="11"/>
      <c r="CJ335" s="11"/>
      <c r="CK335" s="11"/>
      <c r="CL335" s="11"/>
      <c r="CM335" s="11"/>
      <c r="CN335" s="11"/>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c r="BH336" s="6"/>
      <c r="BI336" s="6"/>
      <c r="BJ336" s="6"/>
      <c r="BK336" s="6"/>
      <c r="BL336" s="6"/>
      <c r="BM336" s="6"/>
      <c r="BN336" s="6"/>
      <c r="BO336" s="6"/>
      <c r="BP336" s="6"/>
      <c r="BQ336" s="6"/>
      <c r="BR336" s="6"/>
      <c r="BS336" s="6"/>
      <c r="BT336" s="6"/>
      <c r="BU336" s="6"/>
      <c r="BV336" s="6"/>
      <c r="BW336" s="11"/>
      <c r="BX336" s="11"/>
      <c r="BY336" s="11"/>
      <c r="BZ336" s="11"/>
      <c r="CA336" s="11"/>
      <c r="CB336" s="11"/>
      <c r="CC336" s="11"/>
      <c r="CD336" s="11"/>
      <c r="CE336" s="11"/>
      <c r="CF336" s="11"/>
      <c r="CG336" s="11"/>
      <c r="CH336" s="11"/>
      <c r="CI336" s="11"/>
      <c r="CJ336" s="11"/>
      <c r="CK336" s="11"/>
      <c r="CL336" s="11"/>
      <c r="CM336" s="11"/>
      <c r="CN336" s="11"/>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c r="BH337" s="6"/>
      <c r="BI337" s="6"/>
      <c r="BJ337" s="6"/>
      <c r="BK337" s="6"/>
      <c r="BL337" s="6"/>
      <c r="BM337" s="6"/>
      <c r="BN337" s="6"/>
      <c r="BO337" s="6"/>
      <c r="BP337" s="6"/>
      <c r="BQ337" s="6"/>
      <c r="BR337" s="6"/>
      <c r="BS337" s="6"/>
      <c r="BT337" s="6"/>
      <c r="BU337" s="6"/>
      <c r="BV337" s="6"/>
      <c r="BW337" s="11"/>
      <c r="BX337" s="11"/>
      <c r="BY337" s="11"/>
      <c r="BZ337" s="11"/>
      <c r="CA337" s="11"/>
      <c r="CB337" s="11"/>
      <c r="CC337" s="11"/>
      <c r="CD337" s="11"/>
      <c r="CE337" s="11"/>
      <c r="CF337" s="11"/>
      <c r="CG337" s="11"/>
      <c r="CH337" s="11"/>
      <c r="CI337" s="11"/>
      <c r="CJ337" s="11"/>
      <c r="CK337" s="11"/>
      <c r="CL337" s="11"/>
      <c r="CM337" s="11"/>
      <c r="CN337" s="11"/>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c r="BH338" s="6"/>
      <c r="BI338" s="6"/>
      <c r="BJ338" s="6"/>
      <c r="BK338" s="6"/>
      <c r="BL338" s="6"/>
      <c r="BM338" s="6"/>
      <c r="BN338" s="6"/>
      <c r="BO338" s="6"/>
      <c r="BP338" s="6"/>
      <c r="BQ338" s="6"/>
      <c r="BR338" s="6"/>
      <c r="BS338" s="6"/>
      <c r="BT338" s="6"/>
      <c r="BU338" s="6"/>
      <c r="BV338" s="6"/>
      <c r="BW338" s="11"/>
      <c r="BX338" s="11"/>
      <c r="BY338" s="11"/>
      <c r="BZ338" s="11"/>
      <c r="CA338" s="11"/>
      <c r="CB338" s="11"/>
      <c r="CC338" s="11"/>
      <c r="CD338" s="11"/>
      <c r="CE338" s="11"/>
      <c r="CF338" s="11"/>
      <c r="CG338" s="11"/>
      <c r="CH338" s="11"/>
      <c r="CI338" s="11"/>
      <c r="CJ338" s="11"/>
      <c r="CK338" s="11"/>
      <c r="CL338" s="11"/>
      <c r="CM338" s="11"/>
      <c r="CN338" s="11"/>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c r="BH339" s="6"/>
      <c r="BI339" s="6"/>
      <c r="BJ339" s="6"/>
      <c r="BK339" s="6"/>
      <c r="BL339" s="6"/>
      <c r="BM339" s="6"/>
      <c r="BN339" s="6"/>
      <c r="BO339" s="6"/>
      <c r="BP339" s="6"/>
      <c r="BQ339" s="6"/>
      <c r="BR339" s="6"/>
      <c r="BS339" s="6"/>
      <c r="BT339" s="6"/>
      <c r="BU339" s="6"/>
      <c r="BV339" s="6"/>
      <c r="BW339" s="11"/>
      <c r="BX339" s="11"/>
      <c r="BY339" s="11"/>
      <c r="BZ339" s="11"/>
      <c r="CA339" s="11"/>
      <c r="CB339" s="11"/>
      <c r="CC339" s="11"/>
      <c r="CD339" s="11"/>
      <c r="CE339" s="11"/>
      <c r="CF339" s="11"/>
      <c r="CG339" s="11"/>
      <c r="CH339" s="11"/>
      <c r="CI339" s="11"/>
      <c r="CJ339" s="11"/>
      <c r="CK339" s="11"/>
      <c r="CL339" s="11"/>
      <c r="CM339" s="11"/>
      <c r="CN339" s="11"/>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c r="BH340" s="6"/>
      <c r="BI340" s="6"/>
      <c r="BJ340" s="6"/>
      <c r="BK340" s="6"/>
      <c r="BL340" s="6"/>
      <c r="BM340" s="6"/>
      <c r="BN340" s="6"/>
      <c r="BO340" s="6"/>
      <c r="BP340" s="6"/>
      <c r="BQ340" s="6"/>
      <c r="BR340" s="6"/>
      <c r="BS340" s="6"/>
      <c r="BT340" s="6"/>
      <c r="BU340" s="6"/>
      <c r="BV340" s="6"/>
      <c r="BW340" s="11"/>
      <c r="BX340" s="11"/>
      <c r="BY340" s="11"/>
      <c r="BZ340" s="11"/>
      <c r="CA340" s="11"/>
      <c r="CB340" s="11"/>
      <c r="CC340" s="11"/>
      <c r="CD340" s="11"/>
      <c r="CE340" s="11"/>
      <c r="CF340" s="11"/>
      <c r="CG340" s="11"/>
      <c r="CH340" s="11"/>
      <c r="CI340" s="11"/>
      <c r="CJ340" s="11"/>
      <c r="CK340" s="11"/>
      <c r="CL340" s="11"/>
      <c r="CM340" s="11"/>
      <c r="CN340" s="11"/>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c r="BH341" s="6"/>
      <c r="BI341" s="6"/>
      <c r="BJ341" s="6"/>
      <c r="BK341" s="6"/>
      <c r="BL341" s="6"/>
      <c r="BM341" s="6"/>
      <c r="BN341" s="6"/>
      <c r="BO341" s="6"/>
      <c r="BP341" s="6"/>
      <c r="BQ341" s="6"/>
      <c r="BR341" s="6"/>
      <c r="BS341" s="6"/>
      <c r="BT341" s="6"/>
      <c r="BU341" s="6"/>
      <c r="BV341" s="6"/>
      <c r="BW341" s="11"/>
      <c r="BX341" s="11"/>
      <c r="BY341" s="11"/>
      <c r="BZ341" s="11"/>
      <c r="CA341" s="11"/>
      <c r="CB341" s="11"/>
      <c r="CC341" s="11"/>
      <c r="CD341" s="11"/>
      <c r="CE341" s="11"/>
      <c r="CF341" s="11"/>
      <c r="CG341" s="11"/>
      <c r="CH341" s="11"/>
      <c r="CI341" s="11"/>
      <c r="CJ341" s="11"/>
      <c r="CK341" s="11"/>
      <c r="CL341" s="11"/>
      <c r="CM341" s="11"/>
      <c r="CN341" s="11"/>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c r="BH342" s="6"/>
      <c r="BI342" s="6"/>
      <c r="BJ342" s="6"/>
      <c r="BK342" s="6"/>
      <c r="BL342" s="6"/>
      <c r="BM342" s="6"/>
      <c r="BN342" s="6"/>
      <c r="BO342" s="6"/>
      <c r="BP342" s="6"/>
      <c r="BQ342" s="6"/>
      <c r="BR342" s="6"/>
      <c r="BS342" s="6"/>
      <c r="BT342" s="6"/>
      <c r="BU342" s="6"/>
      <c r="BV342" s="6"/>
      <c r="BW342" s="11"/>
      <c r="BX342" s="11"/>
      <c r="BY342" s="11"/>
      <c r="BZ342" s="11"/>
      <c r="CA342" s="11"/>
      <c r="CB342" s="11"/>
      <c r="CC342" s="11"/>
      <c r="CD342" s="11"/>
      <c r="CE342" s="11"/>
      <c r="CF342" s="11"/>
      <c r="CG342" s="11"/>
      <c r="CH342" s="11"/>
      <c r="CI342" s="11"/>
      <c r="CJ342" s="11"/>
      <c r="CK342" s="11"/>
      <c r="CL342" s="11"/>
      <c r="CM342" s="11"/>
      <c r="CN342" s="11"/>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c r="BH343" s="6"/>
      <c r="BI343" s="6"/>
      <c r="BJ343" s="6"/>
      <c r="BK343" s="6"/>
      <c r="BL343" s="6"/>
      <c r="BM343" s="6"/>
      <c r="BN343" s="6"/>
      <c r="BO343" s="6"/>
      <c r="BP343" s="6"/>
      <c r="BQ343" s="6"/>
      <c r="BR343" s="6"/>
      <c r="BS343" s="6"/>
      <c r="BT343" s="6"/>
      <c r="BU343" s="6"/>
      <c r="BV343" s="6"/>
      <c r="BW343" s="11"/>
      <c r="BX343" s="11"/>
      <c r="BY343" s="11"/>
      <c r="BZ343" s="11"/>
      <c r="CA343" s="11"/>
      <c r="CB343" s="11"/>
      <c r="CC343" s="11"/>
      <c r="CD343" s="11"/>
      <c r="CE343" s="11"/>
      <c r="CF343" s="11"/>
      <c r="CG343" s="11"/>
      <c r="CH343" s="11"/>
      <c r="CI343" s="11"/>
      <c r="CJ343" s="11"/>
      <c r="CK343" s="11"/>
      <c r="CL343" s="11"/>
      <c r="CM343" s="11"/>
      <c r="CN343" s="11"/>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c r="BH344" s="6"/>
      <c r="BI344" s="6"/>
      <c r="BJ344" s="6"/>
      <c r="BK344" s="6"/>
      <c r="BL344" s="6"/>
      <c r="BM344" s="6"/>
      <c r="BN344" s="6"/>
      <c r="BO344" s="6"/>
      <c r="BP344" s="6"/>
      <c r="BQ344" s="6"/>
      <c r="BR344" s="6"/>
      <c r="BS344" s="6"/>
      <c r="BT344" s="6"/>
      <c r="BU344" s="6"/>
      <c r="BV344" s="6"/>
      <c r="BW344" s="11"/>
      <c r="BX344" s="11"/>
      <c r="BY344" s="11"/>
      <c r="BZ344" s="11"/>
      <c r="CA344" s="11"/>
      <c r="CB344" s="11"/>
      <c r="CC344" s="11"/>
      <c r="CD344" s="11"/>
      <c r="CE344" s="11"/>
      <c r="CF344" s="11"/>
      <c r="CG344" s="11"/>
      <c r="CH344" s="11"/>
      <c r="CI344" s="11"/>
      <c r="CJ344" s="11"/>
      <c r="CK344" s="11"/>
      <c r="CL344" s="11"/>
      <c r="CM344" s="11"/>
      <c r="CN344" s="11"/>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11"/>
      <c r="BX345" s="11"/>
      <c r="BY345" s="11"/>
      <c r="BZ345" s="11"/>
      <c r="CA345" s="11"/>
      <c r="CB345" s="11"/>
      <c r="CC345" s="11"/>
      <c r="CD345" s="11"/>
      <c r="CE345" s="11"/>
      <c r="CF345" s="11"/>
      <c r="CG345" s="11"/>
      <c r="CH345" s="11"/>
      <c r="CI345" s="11"/>
      <c r="CJ345" s="11"/>
      <c r="CK345" s="11"/>
      <c r="CL345" s="11"/>
      <c r="CM345" s="11"/>
      <c r="CN345" s="11"/>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c r="BH346" s="6"/>
      <c r="BI346" s="6"/>
      <c r="BJ346" s="6"/>
      <c r="BK346" s="6"/>
      <c r="BL346" s="6"/>
      <c r="BM346" s="6"/>
      <c r="BN346" s="6"/>
      <c r="BO346" s="6"/>
      <c r="BP346" s="6"/>
      <c r="BQ346" s="6"/>
      <c r="BR346" s="6"/>
      <c r="BS346" s="6"/>
      <c r="BT346" s="6"/>
      <c r="BU346" s="6"/>
      <c r="BV346" s="6"/>
      <c r="BW346" s="11"/>
      <c r="BX346" s="11"/>
      <c r="BY346" s="11"/>
      <c r="BZ346" s="11"/>
      <c r="CA346" s="11"/>
      <c r="CB346" s="11"/>
      <c r="CC346" s="11"/>
      <c r="CD346" s="11"/>
      <c r="CE346" s="11"/>
      <c r="CF346" s="11"/>
      <c r="CG346" s="11"/>
      <c r="CH346" s="11"/>
      <c r="CI346" s="11"/>
      <c r="CJ346" s="11"/>
      <c r="CK346" s="11"/>
      <c r="CL346" s="11"/>
      <c r="CM346" s="11"/>
      <c r="CN346" s="11"/>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c r="BH347" s="6"/>
      <c r="BI347" s="6"/>
      <c r="BJ347" s="6"/>
      <c r="BK347" s="6"/>
      <c r="BL347" s="6"/>
      <c r="BM347" s="6"/>
      <c r="BN347" s="6"/>
      <c r="BO347" s="6"/>
      <c r="BP347" s="6"/>
      <c r="BQ347" s="6"/>
      <c r="BR347" s="6"/>
      <c r="BS347" s="6"/>
      <c r="BT347" s="6"/>
      <c r="BU347" s="6"/>
      <c r="BV347" s="6"/>
      <c r="BW347" s="11"/>
      <c r="BX347" s="11"/>
      <c r="BY347" s="11"/>
      <c r="BZ347" s="11"/>
      <c r="CA347" s="11"/>
      <c r="CB347" s="11"/>
      <c r="CC347" s="11"/>
      <c r="CD347" s="11"/>
      <c r="CE347" s="11"/>
      <c r="CF347" s="11"/>
      <c r="CG347" s="11"/>
      <c r="CH347" s="11"/>
      <c r="CI347" s="11"/>
      <c r="CJ347" s="11"/>
      <c r="CK347" s="11"/>
      <c r="CL347" s="11"/>
      <c r="CM347" s="11"/>
      <c r="CN347" s="11"/>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c r="BH348" s="6"/>
      <c r="BI348" s="6"/>
      <c r="BJ348" s="6"/>
      <c r="BK348" s="6"/>
      <c r="BL348" s="6"/>
      <c r="BM348" s="6"/>
      <c r="BN348" s="6"/>
      <c r="BO348" s="6"/>
      <c r="BP348" s="6"/>
      <c r="BQ348" s="6"/>
      <c r="BR348" s="6"/>
      <c r="BS348" s="6"/>
      <c r="BT348" s="6"/>
      <c r="BU348" s="6"/>
      <c r="BV348" s="6"/>
      <c r="BW348" s="11"/>
      <c r="BX348" s="11"/>
      <c r="BY348" s="11"/>
      <c r="BZ348" s="11"/>
      <c r="CA348" s="11"/>
      <c r="CB348" s="11"/>
      <c r="CC348" s="11"/>
      <c r="CD348" s="11"/>
      <c r="CE348" s="11"/>
      <c r="CF348" s="11"/>
      <c r="CG348" s="11"/>
      <c r="CH348" s="11"/>
      <c r="CI348" s="11"/>
      <c r="CJ348" s="11"/>
      <c r="CK348" s="11"/>
      <c r="CL348" s="11"/>
      <c r="CM348" s="11"/>
      <c r="CN348" s="11"/>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c r="BH349" s="6"/>
      <c r="BI349" s="6"/>
      <c r="BJ349" s="6"/>
      <c r="BK349" s="6"/>
      <c r="BL349" s="6"/>
      <c r="BM349" s="6"/>
      <c r="BN349" s="6"/>
      <c r="BO349" s="6"/>
      <c r="BP349" s="6"/>
      <c r="BQ349" s="6"/>
      <c r="BR349" s="6"/>
      <c r="BS349" s="6"/>
      <c r="BT349" s="6"/>
      <c r="BU349" s="6"/>
      <c r="BV349" s="6"/>
      <c r="BW349" s="11"/>
      <c r="BX349" s="11"/>
      <c r="BY349" s="11"/>
      <c r="BZ349" s="11"/>
      <c r="CA349" s="11"/>
      <c r="CB349" s="11"/>
      <c r="CC349" s="11"/>
      <c r="CD349" s="11"/>
      <c r="CE349" s="11"/>
      <c r="CF349" s="11"/>
      <c r="CG349" s="11"/>
      <c r="CH349" s="11"/>
      <c r="CI349" s="11"/>
      <c r="CJ349" s="11"/>
      <c r="CK349" s="11"/>
      <c r="CL349" s="11"/>
      <c r="CM349" s="11"/>
      <c r="CN349" s="11"/>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c r="BH350" s="6"/>
      <c r="BI350" s="6"/>
      <c r="BJ350" s="6"/>
      <c r="BK350" s="6"/>
      <c r="BL350" s="6"/>
      <c r="BM350" s="6"/>
      <c r="BN350" s="6"/>
      <c r="BO350" s="6"/>
      <c r="BP350" s="6"/>
      <c r="BQ350" s="6"/>
      <c r="BR350" s="6"/>
      <c r="BS350" s="6"/>
      <c r="BT350" s="6"/>
      <c r="BU350" s="6"/>
      <c r="BV350" s="6"/>
      <c r="BW350" s="11"/>
      <c r="BX350" s="11"/>
      <c r="BY350" s="11"/>
      <c r="BZ350" s="11"/>
      <c r="CA350" s="11"/>
      <c r="CB350" s="11"/>
      <c r="CC350" s="11"/>
      <c r="CD350" s="11"/>
      <c r="CE350" s="11"/>
      <c r="CF350" s="11"/>
      <c r="CG350" s="11"/>
      <c r="CH350" s="11"/>
      <c r="CI350" s="11"/>
      <c r="CJ350" s="11"/>
      <c r="CK350" s="11"/>
      <c r="CL350" s="11"/>
      <c r="CM350" s="11"/>
      <c r="CN350" s="11"/>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c r="BH351" s="6"/>
      <c r="BI351" s="6"/>
      <c r="BJ351" s="6"/>
      <c r="BK351" s="6"/>
      <c r="BL351" s="6"/>
      <c r="BM351" s="6"/>
      <c r="BN351" s="6"/>
      <c r="BO351" s="6"/>
      <c r="BP351" s="6"/>
      <c r="BQ351" s="6"/>
      <c r="BR351" s="6"/>
      <c r="BS351" s="6"/>
      <c r="BT351" s="6"/>
      <c r="BU351" s="6"/>
      <c r="BV351" s="6"/>
      <c r="BW351" s="11"/>
      <c r="BX351" s="11"/>
      <c r="BY351" s="11"/>
      <c r="BZ351" s="11"/>
      <c r="CA351" s="11"/>
      <c r="CB351" s="11"/>
      <c r="CC351" s="11"/>
      <c r="CD351" s="11"/>
      <c r="CE351" s="11"/>
      <c r="CF351" s="11"/>
      <c r="CG351" s="11"/>
      <c r="CH351" s="11"/>
      <c r="CI351" s="11"/>
      <c r="CJ351" s="11"/>
      <c r="CK351" s="11"/>
      <c r="CL351" s="11"/>
      <c r="CM351" s="11"/>
      <c r="CN351" s="11"/>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c r="BH352" s="6"/>
      <c r="BI352" s="6"/>
      <c r="BJ352" s="6"/>
      <c r="BK352" s="6"/>
      <c r="BL352" s="6"/>
      <c r="BM352" s="6"/>
      <c r="BN352" s="6"/>
      <c r="BO352" s="6"/>
      <c r="BP352" s="6"/>
      <c r="BQ352" s="6"/>
      <c r="BR352" s="6"/>
      <c r="BS352" s="6"/>
      <c r="BT352" s="6"/>
      <c r="BU352" s="6"/>
      <c r="BV352" s="6"/>
      <c r="BW352" s="11"/>
      <c r="BX352" s="11"/>
      <c r="BY352" s="11"/>
      <c r="BZ352" s="11"/>
      <c r="CA352" s="11"/>
      <c r="CB352" s="11"/>
      <c r="CC352" s="11"/>
      <c r="CD352" s="11"/>
      <c r="CE352" s="11"/>
      <c r="CF352" s="11"/>
      <c r="CG352" s="11"/>
      <c r="CH352" s="11"/>
      <c r="CI352" s="11"/>
      <c r="CJ352" s="11"/>
      <c r="CK352" s="11"/>
      <c r="CL352" s="11"/>
      <c r="CM352" s="11"/>
      <c r="CN352" s="11"/>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c r="BH353" s="6"/>
      <c r="BI353" s="6"/>
      <c r="BJ353" s="6"/>
      <c r="BK353" s="6"/>
      <c r="BL353" s="6"/>
      <c r="BM353" s="6"/>
      <c r="BN353" s="6"/>
      <c r="BO353" s="6"/>
      <c r="BP353" s="6"/>
      <c r="BQ353" s="6"/>
      <c r="BR353" s="6"/>
      <c r="BS353" s="6"/>
      <c r="BT353" s="6"/>
      <c r="BU353" s="6"/>
      <c r="BV353" s="6"/>
      <c r="BW353" s="11"/>
      <c r="BX353" s="11"/>
      <c r="BY353" s="11"/>
      <c r="BZ353" s="11"/>
      <c r="CA353" s="11"/>
      <c r="CB353" s="11"/>
      <c r="CC353" s="11"/>
      <c r="CD353" s="11"/>
      <c r="CE353" s="11"/>
      <c r="CF353" s="11"/>
      <c r="CG353" s="11"/>
      <c r="CH353" s="11"/>
      <c r="CI353" s="11"/>
      <c r="CJ353" s="11"/>
      <c r="CK353" s="11"/>
      <c r="CL353" s="11"/>
      <c r="CM353" s="11"/>
      <c r="CN353" s="11"/>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c r="BH354" s="6"/>
      <c r="BI354" s="6"/>
      <c r="BJ354" s="6"/>
      <c r="BK354" s="6"/>
      <c r="BL354" s="6"/>
      <c r="BM354" s="6"/>
      <c r="BN354" s="6"/>
      <c r="BO354" s="6"/>
      <c r="BP354" s="6"/>
      <c r="BQ354" s="6"/>
      <c r="BR354" s="6"/>
      <c r="BS354" s="6"/>
      <c r="BT354" s="6"/>
      <c r="BU354" s="6"/>
      <c r="BV354" s="6"/>
      <c r="BW354" s="11"/>
      <c r="BX354" s="11"/>
      <c r="BY354" s="11"/>
      <c r="BZ354" s="11"/>
      <c r="CA354" s="11"/>
      <c r="CB354" s="11"/>
      <c r="CC354" s="11"/>
      <c r="CD354" s="11"/>
      <c r="CE354" s="11"/>
      <c r="CF354" s="11"/>
      <c r="CG354" s="11"/>
      <c r="CH354" s="11"/>
      <c r="CI354" s="11"/>
      <c r="CJ354" s="11"/>
      <c r="CK354" s="11"/>
      <c r="CL354" s="11"/>
      <c r="CM354" s="11"/>
      <c r="CN354" s="11"/>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c r="BH355" s="6"/>
      <c r="BI355" s="6"/>
      <c r="BJ355" s="6"/>
      <c r="BK355" s="6"/>
      <c r="BL355" s="6"/>
      <c r="BM355" s="6"/>
      <c r="BN355" s="6"/>
      <c r="BO355" s="6"/>
      <c r="BP355" s="6"/>
      <c r="BQ355" s="6"/>
      <c r="BR355" s="6"/>
      <c r="BS355" s="6"/>
      <c r="BT355" s="6"/>
      <c r="BU355" s="6"/>
      <c r="BV355" s="6"/>
      <c r="BW355" s="11"/>
      <c r="BX355" s="11"/>
      <c r="BY355" s="11"/>
      <c r="BZ355" s="11"/>
      <c r="CA355" s="11"/>
      <c r="CB355" s="11"/>
      <c r="CC355" s="11"/>
      <c r="CD355" s="11"/>
      <c r="CE355" s="11"/>
      <c r="CF355" s="11"/>
      <c r="CG355" s="11"/>
      <c r="CH355" s="11"/>
      <c r="CI355" s="11"/>
      <c r="CJ355" s="11"/>
      <c r="CK355" s="11"/>
      <c r="CL355" s="11"/>
      <c r="CM355" s="11"/>
      <c r="CN355" s="11"/>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c r="BH356" s="6"/>
      <c r="BI356" s="6"/>
      <c r="BJ356" s="6"/>
      <c r="BK356" s="6"/>
      <c r="BL356" s="6"/>
      <c r="BM356" s="6"/>
      <c r="BN356" s="6"/>
      <c r="BO356" s="6"/>
      <c r="BP356" s="6"/>
      <c r="BQ356" s="6"/>
      <c r="BR356" s="6"/>
      <c r="BS356" s="6"/>
      <c r="BT356" s="6"/>
      <c r="BU356" s="6"/>
      <c r="BV356" s="6"/>
      <c r="BW356" s="11"/>
      <c r="BX356" s="11"/>
      <c r="BY356" s="11"/>
      <c r="BZ356" s="11"/>
      <c r="CA356" s="11"/>
      <c r="CB356" s="11"/>
      <c r="CC356" s="11"/>
      <c r="CD356" s="11"/>
      <c r="CE356" s="11"/>
      <c r="CF356" s="11"/>
      <c r="CG356" s="11"/>
      <c r="CH356" s="11"/>
      <c r="CI356" s="11"/>
      <c r="CJ356" s="11"/>
      <c r="CK356" s="11"/>
      <c r="CL356" s="11"/>
      <c r="CM356" s="11"/>
      <c r="CN356" s="11"/>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c r="BH357" s="6"/>
      <c r="BI357" s="6"/>
      <c r="BJ357" s="6"/>
      <c r="BK357" s="6"/>
      <c r="BL357" s="6"/>
      <c r="BM357" s="6"/>
      <c r="BN357" s="6"/>
      <c r="BO357" s="6"/>
      <c r="BP357" s="6"/>
      <c r="BQ357" s="6"/>
      <c r="BR357" s="6"/>
      <c r="BS357" s="6"/>
      <c r="BT357" s="6"/>
      <c r="BU357" s="6"/>
      <c r="BV357" s="6"/>
      <c r="BW357" s="11"/>
      <c r="BX357" s="11"/>
      <c r="BY357" s="11"/>
      <c r="BZ357" s="11"/>
      <c r="CA357" s="11"/>
      <c r="CB357" s="11"/>
      <c r="CC357" s="11"/>
      <c r="CD357" s="11"/>
      <c r="CE357" s="11"/>
      <c r="CF357" s="11"/>
      <c r="CG357" s="11"/>
      <c r="CH357" s="11"/>
      <c r="CI357" s="11"/>
      <c r="CJ357" s="11"/>
      <c r="CK357" s="11"/>
      <c r="CL357" s="11"/>
      <c r="CM357" s="11"/>
      <c r="CN357" s="11"/>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c r="BH358" s="6"/>
      <c r="BI358" s="6"/>
      <c r="BJ358" s="6"/>
      <c r="BK358" s="6"/>
      <c r="BL358" s="6"/>
      <c r="BM358" s="6"/>
      <c r="BN358" s="6"/>
      <c r="BO358" s="6"/>
      <c r="BP358" s="6"/>
      <c r="BQ358" s="6"/>
      <c r="BR358" s="6"/>
      <c r="BS358" s="6"/>
      <c r="BT358" s="6"/>
      <c r="BU358" s="6"/>
      <c r="BV358" s="6"/>
      <c r="BW358" s="11"/>
      <c r="BX358" s="11"/>
      <c r="BY358" s="11"/>
      <c r="BZ358" s="11"/>
      <c r="CA358" s="11"/>
      <c r="CB358" s="11"/>
      <c r="CC358" s="11"/>
      <c r="CD358" s="11"/>
      <c r="CE358" s="11"/>
      <c r="CF358" s="11"/>
      <c r="CG358" s="11"/>
      <c r="CH358" s="11"/>
      <c r="CI358" s="11"/>
      <c r="CJ358" s="11"/>
      <c r="CK358" s="11"/>
      <c r="CL358" s="11"/>
      <c r="CM358" s="11"/>
      <c r="CN358" s="11"/>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c r="BH359" s="6"/>
      <c r="BI359" s="6"/>
      <c r="BJ359" s="6"/>
      <c r="BK359" s="6"/>
      <c r="BL359" s="6"/>
      <c r="BM359" s="6"/>
      <c r="BN359" s="6"/>
      <c r="BO359" s="6"/>
      <c r="BP359" s="6"/>
      <c r="BQ359" s="6"/>
      <c r="BR359" s="6"/>
      <c r="BS359" s="6"/>
      <c r="BT359" s="6"/>
      <c r="BU359" s="6"/>
      <c r="BV359" s="6"/>
      <c r="BW359" s="11"/>
      <c r="BX359" s="11"/>
      <c r="BY359" s="11"/>
      <c r="BZ359" s="11"/>
      <c r="CA359" s="11"/>
      <c r="CB359" s="11"/>
      <c r="CC359" s="11"/>
      <c r="CD359" s="11"/>
      <c r="CE359" s="11"/>
      <c r="CF359" s="11"/>
      <c r="CG359" s="11"/>
      <c r="CH359" s="11"/>
      <c r="CI359" s="11"/>
      <c r="CJ359" s="11"/>
      <c r="CK359" s="11"/>
      <c r="CL359" s="11"/>
      <c r="CM359" s="11"/>
      <c r="CN359" s="11"/>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11"/>
      <c r="BX360" s="11"/>
      <c r="BY360" s="11"/>
      <c r="BZ360" s="11"/>
      <c r="CA360" s="11"/>
      <c r="CB360" s="11"/>
      <c r="CC360" s="11"/>
      <c r="CD360" s="11"/>
      <c r="CE360" s="11"/>
      <c r="CF360" s="11"/>
      <c r="CG360" s="11"/>
      <c r="CH360" s="11"/>
      <c r="CI360" s="11"/>
      <c r="CJ360" s="11"/>
      <c r="CK360" s="11"/>
      <c r="CL360" s="11"/>
      <c r="CM360" s="11"/>
      <c r="CN360" s="11"/>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c r="BH361" s="6"/>
      <c r="BI361" s="6"/>
      <c r="BJ361" s="6"/>
      <c r="BK361" s="6"/>
      <c r="BL361" s="6"/>
      <c r="BM361" s="6"/>
      <c r="BN361" s="6"/>
      <c r="BO361" s="6"/>
      <c r="BP361" s="6"/>
      <c r="BQ361" s="6"/>
      <c r="BR361" s="6"/>
      <c r="BS361" s="6"/>
      <c r="BT361" s="6"/>
      <c r="BU361" s="6"/>
      <c r="BV361" s="6"/>
      <c r="BW361" s="11"/>
      <c r="BX361" s="11"/>
      <c r="BY361" s="11"/>
      <c r="BZ361" s="11"/>
      <c r="CA361" s="11"/>
      <c r="CB361" s="11"/>
      <c r="CC361" s="11"/>
      <c r="CD361" s="11"/>
      <c r="CE361" s="11"/>
      <c r="CF361" s="11"/>
      <c r="CG361" s="11"/>
      <c r="CH361" s="11"/>
      <c r="CI361" s="11"/>
      <c r="CJ361" s="11"/>
      <c r="CK361" s="11"/>
      <c r="CL361" s="11"/>
      <c r="CM361" s="11"/>
      <c r="CN361" s="11"/>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c r="BH362" s="6"/>
      <c r="BI362" s="6"/>
      <c r="BJ362" s="6"/>
      <c r="BK362" s="6"/>
      <c r="BL362" s="6"/>
      <c r="BM362" s="6"/>
      <c r="BN362" s="6"/>
      <c r="BO362" s="6"/>
      <c r="BP362" s="6"/>
      <c r="BQ362" s="6"/>
      <c r="BR362" s="6"/>
      <c r="BS362" s="6"/>
      <c r="BT362" s="6"/>
      <c r="BU362" s="6"/>
      <c r="BV362" s="6"/>
      <c r="BW362" s="11"/>
      <c r="BX362" s="11"/>
      <c r="BY362" s="11"/>
      <c r="BZ362" s="11"/>
      <c r="CA362" s="11"/>
      <c r="CB362" s="11"/>
      <c r="CC362" s="11"/>
      <c r="CD362" s="11"/>
      <c r="CE362" s="11"/>
      <c r="CF362" s="11"/>
      <c r="CG362" s="11"/>
      <c r="CH362" s="11"/>
      <c r="CI362" s="11"/>
      <c r="CJ362" s="11"/>
      <c r="CK362" s="11"/>
      <c r="CL362" s="11"/>
      <c r="CM362" s="11"/>
      <c r="CN362" s="11"/>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11"/>
      <c r="BX363" s="11"/>
      <c r="BY363" s="11"/>
      <c r="BZ363" s="11"/>
      <c r="CA363" s="11"/>
      <c r="CB363" s="11"/>
      <c r="CC363" s="11"/>
      <c r="CD363" s="11"/>
      <c r="CE363" s="11"/>
      <c r="CF363" s="11"/>
      <c r="CG363" s="11"/>
      <c r="CH363" s="11"/>
      <c r="CI363" s="11"/>
      <c r="CJ363" s="11"/>
      <c r="CK363" s="11"/>
      <c r="CL363" s="11"/>
      <c r="CM363" s="11"/>
      <c r="CN363" s="11"/>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c r="BH364" s="6"/>
      <c r="BI364" s="6"/>
      <c r="BJ364" s="6"/>
      <c r="BK364" s="6"/>
      <c r="BL364" s="6"/>
      <c r="BM364" s="6"/>
      <c r="BN364" s="6"/>
      <c r="BO364" s="6"/>
      <c r="BP364" s="6"/>
      <c r="BQ364" s="6"/>
      <c r="BR364" s="6"/>
      <c r="BS364" s="6"/>
      <c r="BT364" s="6"/>
      <c r="BU364" s="6"/>
      <c r="BV364" s="6"/>
      <c r="BW364" s="11"/>
      <c r="BX364" s="11"/>
      <c r="BY364" s="11"/>
      <c r="BZ364" s="11"/>
      <c r="CA364" s="11"/>
      <c r="CB364" s="11"/>
      <c r="CC364" s="11"/>
      <c r="CD364" s="11"/>
      <c r="CE364" s="11"/>
      <c r="CF364" s="11"/>
      <c r="CG364" s="11"/>
      <c r="CH364" s="11"/>
      <c r="CI364" s="11"/>
      <c r="CJ364" s="11"/>
      <c r="CK364" s="11"/>
      <c r="CL364" s="11"/>
      <c r="CM364" s="11"/>
      <c r="CN364" s="11"/>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c r="BH365" s="6"/>
      <c r="BI365" s="6"/>
      <c r="BJ365" s="6"/>
      <c r="BK365" s="6"/>
      <c r="BL365" s="6"/>
      <c r="BM365" s="6"/>
      <c r="BN365" s="6"/>
      <c r="BO365" s="6"/>
      <c r="BP365" s="6"/>
      <c r="BQ365" s="6"/>
      <c r="BR365" s="6"/>
      <c r="BS365" s="6"/>
      <c r="BT365" s="6"/>
      <c r="BU365" s="6"/>
      <c r="BV365" s="6"/>
      <c r="BW365" s="11"/>
      <c r="BX365" s="11"/>
      <c r="BY365" s="11"/>
      <c r="BZ365" s="11"/>
      <c r="CA365" s="11"/>
      <c r="CB365" s="11"/>
      <c r="CC365" s="11"/>
      <c r="CD365" s="11"/>
      <c r="CE365" s="11"/>
      <c r="CF365" s="11"/>
      <c r="CG365" s="11"/>
      <c r="CH365" s="11"/>
      <c r="CI365" s="11"/>
      <c r="CJ365" s="11"/>
      <c r="CK365" s="11"/>
      <c r="CL365" s="11"/>
      <c r="CM365" s="11"/>
      <c r="CN365" s="11"/>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11"/>
      <c r="BX366" s="11"/>
      <c r="BY366" s="11"/>
      <c r="BZ366" s="11"/>
      <c r="CA366" s="11"/>
      <c r="CB366" s="11"/>
      <c r="CC366" s="11"/>
      <c r="CD366" s="11"/>
      <c r="CE366" s="11"/>
      <c r="CF366" s="11"/>
      <c r="CG366" s="11"/>
      <c r="CH366" s="11"/>
      <c r="CI366" s="11"/>
      <c r="CJ366" s="11"/>
      <c r="CK366" s="11"/>
      <c r="CL366" s="11"/>
      <c r="CM366" s="11"/>
      <c r="CN366" s="11"/>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c r="BH367" s="6"/>
      <c r="BI367" s="6"/>
      <c r="BJ367" s="6"/>
      <c r="BK367" s="6"/>
      <c r="BL367" s="6"/>
      <c r="BM367" s="6"/>
      <c r="BN367" s="6"/>
      <c r="BO367" s="6"/>
      <c r="BP367" s="6"/>
      <c r="BQ367" s="6"/>
      <c r="BR367" s="6"/>
      <c r="BS367" s="6"/>
      <c r="BT367" s="6"/>
      <c r="BU367" s="6"/>
      <c r="BV367" s="6"/>
      <c r="BW367" s="11"/>
      <c r="BX367" s="11"/>
      <c r="BY367" s="11"/>
      <c r="BZ367" s="11"/>
      <c r="CA367" s="11"/>
      <c r="CB367" s="11"/>
      <c r="CC367" s="11"/>
      <c r="CD367" s="11"/>
      <c r="CE367" s="11"/>
      <c r="CF367" s="11"/>
      <c r="CG367" s="11"/>
      <c r="CH367" s="11"/>
      <c r="CI367" s="11"/>
      <c r="CJ367" s="11"/>
      <c r="CK367" s="11"/>
      <c r="CL367" s="11"/>
      <c r="CM367" s="11"/>
      <c r="CN367" s="11"/>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c r="BH368" s="6"/>
      <c r="BI368" s="6"/>
      <c r="BJ368" s="6"/>
      <c r="BK368" s="6"/>
      <c r="BL368" s="6"/>
      <c r="BM368" s="6"/>
      <c r="BN368" s="6"/>
      <c r="BO368" s="6"/>
      <c r="BP368" s="6"/>
      <c r="BQ368" s="6"/>
      <c r="BR368" s="6"/>
      <c r="BS368" s="6"/>
      <c r="BT368" s="6"/>
      <c r="BU368" s="6"/>
      <c r="BV368" s="6"/>
      <c r="BW368" s="11"/>
      <c r="BX368" s="11"/>
      <c r="BY368" s="11"/>
      <c r="BZ368" s="11"/>
      <c r="CA368" s="11"/>
      <c r="CB368" s="11"/>
      <c r="CC368" s="11"/>
      <c r="CD368" s="11"/>
      <c r="CE368" s="11"/>
      <c r="CF368" s="11"/>
      <c r="CG368" s="11"/>
      <c r="CH368" s="11"/>
      <c r="CI368" s="11"/>
      <c r="CJ368" s="11"/>
      <c r="CK368" s="11"/>
      <c r="CL368" s="11"/>
      <c r="CM368" s="11"/>
      <c r="CN368" s="11"/>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c r="BH369" s="6"/>
      <c r="BI369" s="6"/>
      <c r="BJ369" s="6"/>
      <c r="BK369" s="6"/>
      <c r="BL369" s="6"/>
      <c r="BM369" s="6"/>
      <c r="BN369" s="6"/>
      <c r="BO369" s="6"/>
      <c r="BP369" s="6"/>
      <c r="BQ369" s="6"/>
      <c r="BR369" s="6"/>
      <c r="BS369" s="6"/>
      <c r="BT369" s="6"/>
      <c r="BU369" s="6"/>
      <c r="BV369" s="6"/>
      <c r="BW369" s="11"/>
      <c r="BX369" s="11"/>
      <c r="BY369" s="11"/>
      <c r="BZ369" s="11"/>
      <c r="CA369" s="11"/>
      <c r="CB369" s="11"/>
      <c r="CC369" s="11"/>
      <c r="CD369" s="11"/>
      <c r="CE369" s="11"/>
      <c r="CF369" s="11"/>
      <c r="CG369" s="11"/>
      <c r="CH369" s="11"/>
      <c r="CI369" s="11"/>
      <c r="CJ369" s="11"/>
      <c r="CK369" s="11"/>
      <c r="CL369" s="11"/>
      <c r="CM369" s="11"/>
      <c r="CN369" s="11"/>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c r="BH370" s="6"/>
      <c r="BI370" s="6"/>
      <c r="BJ370" s="6"/>
      <c r="BK370" s="6"/>
      <c r="BL370" s="6"/>
      <c r="BM370" s="6"/>
      <c r="BN370" s="6"/>
      <c r="BO370" s="6"/>
      <c r="BP370" s="6"/>
      <c r="BQ370" s="6"/>
      <c r="BR370" s="6"/>
      <c r="BS370" s="6"/>
      <c r="BT370" s="6"/>
      <c r="BU370" s="6"/>
      <c r="BV370" s="6"/>
      <c r="BW370" s="11"/>
      <c r="BX370" s="11"/>
      <c r="BY370" s="11"/>
      <c r="BZ370" s="11"/>
      <c r="CA370" s="11"/>
      <c r="CB370" s="11"/>
      <c r="CC370" s="11"/>
      <c r="CD370" s="11"/>
      <c r="CE370" s="11"/>
      <c r="CF370" s="11"/>
      <c r="CG370" s="11"/>
      <c r="CH370" s="11"/>
      <c r="CI370" s="11"/>
      <c r="CJ370" s="11"/>
      <c r="CK370" s="11"/>
      <c r="CL370" s="11"/>
      <c r="CM370" s="11"/>
      <c r="CN370" s="11"/>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c r="BH371" s="6"/>
      <c r="BI371" s="6"/>
      <c r="BJ371" s="6"/>
      <c r="BK371" s="6"/>
      <c r="BL371" s="6"/>
      <c r="BM371" s="6"/>
      <c r="BN371" s="6"/>
      <c r="BO371" s="6"/>
      <c r="BP371" s="6"/>
      <c r="BQ371" s="6"/>
      <c r="BR371" s="6"/>
      <c r="BS371" s="6"/>
      <c r="BT371" s="6"/>
      <c r="BU371" s="6"/>
      <c r="BV371" s="6"/>
      <c r="BW371" s="11"/>
      <c r="BX371" s="11"/>
      <c r="BY371" s="11"/>
      <c r="BZ371" s="11"/>
      <c r="CA371" s="11"/>
      <c r="CB371" s="11"/>
      <c r="CC371" s="11"/>
      <c r="CD371" s="11"/>
      <c r="CE371" s="11"/>
      <c r="CF371" s="11"/>
      <c r="CG371" s="11"/>
      <c r="CH371" s="11"/>
      <c r="CI371" s="11"/>
      <c r="CJ371" s="11"/>
      <c r="CK371" s="11"/>
      <c r="CL371" s="11"/>
      <c r="CM371" s="11"/>
      <c r="CN371" s="11"/>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c r="BH372" s="6"/>
      <c r="BI372" s="6"/>
      <c r="BJ372" s="6"/>
      <c r="BK372" s="6"/>
      <c r="BL372" s="6"/>
      <c r="BM372" s="6"/>
      <c r="BN372" s="6"/>
      <c r="BO372" s="6"/>
      <c r="BP372" s="6"/>
      <c r="BQ372" s="6"/>
      <c r="BR372" s="6"/>
      <c r="BS372" s="6"/>
      <c r="BT372" s="6"/>
      <c r="BU372" s="6"/>
      <c r="BV372" s="6"/>
      <c r="BW372" s="11"/>
      <c r="BX372" s="11"/>
      <c r="BY372" s="11"/>
      <c r="BZ372" s="11"/>
      <c r="CA372" s="11"/>
      <c r="CB372" s="11"/>
      <c r="CC372" s="11"/>
      <c r="CD372" s="11"/>
      <c r="CE372" s="11"/>
      <c r="CF372" s="11"/>
      <c r="CG372" s="11"/>
      <c r="CH372" s="11"/>
      <c r="CI372" s="11"/>
      <c r="CJ372" s="11"/>
      <c r="CK372" s="11"/>
      <c r="CL372" s="11"/>
      <c r="CM372" s="11"/>
      <c r="CN372" s="11"/>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11"/>
      <c r="BX373" s="11"/>
      <c r="BY373" s="11"/>
      <c r="BZ373" s="11"/>
      <c r="CA373" s="11"/>
      <c r="CB373" s="11"/>
      <c r="CC373" s="11"/>
      <c r="CD373" s="11"/>
      <c r="CE373" s="11"/>
      <c r="CF373" s="11"/>
      <c r="CG373" s="11"/>
      <c r="CH373" s="11"/>
      <c r="CI373" s="11"/>
      <c r="CJ373" s="11"/>
      <c r="CK373" s="11"/>
      <c r="CL373" s="11"/>
      <c r="CM373" s="11"/>
      <c r="CN373" s="11"/>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11"/>
      <c r="BX374" s="11"/>
      <c r="BY374" s="11"/>
      <c r="BZ374" s="11"/>
      <c r="CA374" s="11"/>
      <c r="CB374" s="11"/>
      <c r="CC374" s="11"/>
      <c r="CD374" s="11"/>
      <c r="CE374" s="11"/>
      <c r="CF374" s="11"/>
      <c r="CG374" s="11"/>
      <c r="CH374" s="11"/>
      <c r="CI374" s="11"/>
      <c r="CJ374" s="11"/>
      <c r="CK374" s="11"/>
      <c r="CL374" s="11"/>
      <c r="CM374" s="11"/>
      <c r="CN374" s="11"/>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c r="BH375" s="6"/>
      <c r="BI375" s="6"/>
      <c r="BJ375" s="6"/>
      <c r="BK375" s="6"/>
      <c r="BL375" s="6"/>
      <c r="BM375" s="6"/>
      <c r="BN375" s="6"/>
      <c r="BO375" s="6"/>
      <c r="BP375" s="6"/>
      <c r="BQ375" s="6"/>
      <c r="BR375" s="6"/>
      <c r="BS375" s="6"/>
      <c r="BT375" s="6"/>
      <c r="BU375" s="6"/>
      <c r="BV375" s="6"/>
      <c r="BW375" s="11"/>
      <c r="BX375" s="11"/>
      <c r="BY375" s="11"/>
      <c r="BZ375" s="11"/>
      <c r="CA375" s="11"/>
      <c r="CB375" s="11"/>
      <c r="CC375" s="11"/>
      <c r="CD375" s="11"/>
      <c r="CE375" s="11"/>
      <c r="CF375" s="11"/>
      <c r="CG375" s="11"/>
      <c r="CH375" s="11"/>
      <c r="CI375" s="11"/>
      <c r="CJ375" s="11"/>
      <c r="CK375" s="11"/>
      <c r="CL375" s="11"/>
      <c r="CM375" s="11"/>
      <c r="CN375" s="11"/>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11"/>
      <c r="BX376" s="11"/>
      <c r="BY376" s="11"/>
      <c r="BZ376" s="11"/>
      <c r="CA376" s="11"/>
      <c r="CB376" s="11"/>
      <c r="CC376" s="11"/>
      <c r="CD376" s="11"/>
      <c r="CE376" s="11"/>
      <c r="CF376" s="11"/>
      <c r="CG376" s="11"/>
      <c r="CH376" s="11"/>
      <c r="CI376" s="11"/>
      <c r="CJ376" s="11"/>
      <c r="CK376" s="11"/>
      <c r="CL376" s="11"/>
      <c r="CM376" s="11"/>
      <c r="CN376" s="11"/>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11"/>
      <c r="BX377" s="11"/>
      <c r="BY377" s="11"/>
      <c r="BZ377" s="11"/>
      <c r="CA377" s="11"/>
      <c r="CB377" s="11"/>
      <c r="CC377" s="11"/>
      <c r="CD377" s="11"/>
      <c r="CE377" s="11"/>
      <c r="CF377" s="11"/>
      <c r="CG377" s="11"/>
      <c r="CH377" s="11"/>
      <c r="CI377" s="11"/>
      <c r="CJ377" s="11"/>
      <c r="CK377" s="11"/>
      <c r="CL377" s="11"/>
      <c r="CM377" s="11"/>
      <c r="CN377" s="11"/>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c r="BH378" s="6"/>
      <c r="BI378" s="6"/>
      <c r="BJ378" s="6"/>
      <c r="BK378" s="6"/>
      <c r="BL378" s="6"/>
      <c r="BM378" s="6"/>
      <c r="BN378" s="6"/>
      <c r="BO378" s="6"/>
      <c r="BP378" s="6"/>
      <c r="BQ378" s="6"/>
      <c r="BR378" s="6"/>
      <c r="BS378" s="6"/>
      <c r="BT378" s="6"/>
      <c r="BU378" s="6"/>
      <c r="BV378" s="6"/>
      <c r="BW378" s="11"/>
      <c r="BX378" s="11"/>
      <c r="BY378" s="11"/>
      <c r="BZ378" s="11"/>
      <c r="CA378" s="11"/>
      <c r="CB378" s="11"/>
      <c r="CC378" s="11"/>
      <c r="CD378" s="11"/>
      <c r="CE378" s="11"/>
      <c r="CF378" s="11"/>
      <c r="CG378" s="11"/>
      <c r="CH378" s="11"/>
      <c r="CI378" s="11"/>
      <c r="CJ378" s="11"/>
      <c r="CK378" s="11"/>
      <c r="CL378" s="11"/>
      <c r="CM378" s="11"/>
      <c r="CN378" s="11"/>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c r="BH379" s="6"/>
      <c r="BI379" s="6"/>
      <c r="BJ379" s="6"/>
      <c r="BK379" s="6"/>
      <c r="BL379" s="6"/>
      <c r="BM379" s="6"/>
      <c r="BN379" s="6"/>
      <c r="BO379" s="6"/>
      <c r="BP379" s="6"/>
      <c r="BQ379" s="6"/>
      <c r="BR379" s="6"/>
      <c r="BS379" s="6"/>
      <c r="BT379" s="6"/>
      <c r="BU379" s="6"/>
      <c r="BV379" s="6"/>
      <c r="BW379" s="11"/>
      <c r="BX379" s="11"/>
      <c r="BY379" s="11"/>
      <c r="BZ379" s="11"/>
      <c r="CA379" s="11"/>
      <c r="CB379" s="11"/>
      <c r="CC379" s="11"/>
      <c r="CD379" s="11"/>
      <c r="CE379" s="11"/>
      <c r="CF379" s="11"/>
      <c r="CG379" s="11"/>
      <c r="CH379" s="11"/>
      <c r="CI379" s="11"/>
      <c r="CJ379" s="11"/>
      <c r="CK379" s="11"/>
      <c r="CL379" s="11"/>
      <c r="CM379" s="11"/>
      <c r="CN379" s="11"/>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11"/>
      <c r="BX380" s="11"/>
      <c r="BY380" s="11"/>
      <c r="BZ380" s="11"/>
      <c r="CA380" s="11"/>
      <c r="CB380" s="11"/>
      <c r="CC380" s="11"/>
      <c r="CD380" s="11"/>
      <c r="CE380" s="11"/>
      <c r="CF380" s="11"/>
      <c r="CG380" s="11"/>
      <c r="CH380" s="11"/>
      <c r="CI380" s="11"/>
      <c r="CJ380" s="11"/>
      <c r="CK380" s="11"/>
      <c r="CL380" s="11"/>
      <c r="CM380" s="11"/>
      <c r="CN380" s="11"/>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c r="BH381" s="6"/>
      <c r="BI381" s="6"/>
      <c r="BJ381" s="6"/>
      <c r="BK381" s="6"/>
      <c r="BL381" s="6"/>
      <c r="BM381" s="6"/>
      <c r="BN381" s="6"/>
      <c r="BO381" s="6"/>
      <c r="BP381" s="6"/>
      <c r="BQ381" s="6"/>
      <c r="BR381" s="6"/>
      <c r="BS381" s="6"/>
      <c r="BT381" s="6"/>
      <c r="BU381" s="6"/>
      <c r="BV381" s="6"/>
      <c r="BW381" s="11"/>
      <c r="BX381" s="11"/>
      <c r="BY381" s="11"/>
      <c r="BZ381" s="11"/>
      <c r="CA381" s="11"/>
      <c r="CB381" s="11"/>
      <c r="CC381" s="11"/>
      <c r="CD381" s="11"/>
      <c r="CE381" s="11"/>
      <c r="CF381" s="11"/>
      <c r="CG381" s="11"/>
      <c r="CH381" s="11"/>
      <c r="CI381" s="11"/>
      <c r="CJ381" s="11"/>
      <c r="CK381" s="11"/>
      <c r="CL381" s="11"/>
      <c r="CM381" s="11"/>
      <c r="CN381" s="11"/>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11"/>
      <c r="BX382" s="11"/>
      <c r="BY382" s="11"/>
      <c r="BZ382" s="11"/>
      <c r="CA382" s="11"/>
      <c r="CB382" s="11"/>
      <c r="CC382" s="11"/>
      <c r="CD382" s="11"/>
      <c r="CE382" s="11"/>
      <c r="CF382" s="11"/>
      <c r="CG382" s="11"/>
      <c r="CH382" s="11"/>
      <c r="CI382" s="11"/>
      <c r="CJ382" s="11"/>
      <c r="CK382" s="11"/>
      <c r="CL382" s="11"/>
      <c r="CM382" s="11"/>
      <c r="CN382" s="11"/>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c r="BH383" s="6"/>
      <c r="BI383" s="6"/>
      <c r="BJ383" s="6"/>
      <c r="BK383" s="6"/>
      <c r="BL383" s="6"/>
      <c r="BM383" s="6"/>
      <c r="BN383" s="6"/>
      <c r="BO383" s="6"/>
      <c r="BP383" s="6"/>
      <c r="BQ383" s="6"/>
      <c r="BR383" s="6"/>
      <c r="BS383" s="6"/>
      <c r="BT383" s="6"/>
      <c r="BU383" s="6"/>
      <c r="BV383" s="6"/>
      <c r="BW383" s="11"/>
      <c r="BX383" s="11"/>
      <c r="BY383" s="11"/>
      <c r="BZ383" s="11"/>
      <c r="CA383" s="11"/>
      <c r="CB383" s="11"/>
      <c r="CC383" s="11"/>
      <c r="CD383" s="11"/>
      <c r="CE383" s="11"/>
      <c r="CF383" s="11"/>
      <c r="CG383" s="11"/>
      <c r="CH383" s="11"/>
      <c r="CI383" s="11"/>
      <c r="CJ383" s="11"/>
      <c r="CK383" s="11"/>
      <c r="CL383" s="11"/>
      <c r="CM383" s="11"/>
      <c r="CN383" s="11"/>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11"/>
      <c r="BX384" s="11"/>
      <c r="BY384" s="11"/>
      <c r="BZ384" s="11"/>
      <c r="CA384" s="11"/>
      <c r="CB384" s="11"/>
      <c r="CC384" s="11"/>
      <c r="CD384" s="11"/>
      <c r="CE384" s="11"/>
      <c r="CF384" s="11"/>
      <c r="CG384" s="11"/>
      <c r="CH384" s="11"/>
      <c r="CI384" s="11"/>
      <c r="CJ384" s="11"/>
      <c r="CK384" s="11"/>
      <c r="CL384" s="11"/>
      <c r="CM384" s="11"/>
      <c r="CN384" s="11"/>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c r="BH385" s="6"/>
      <c r="BI385" s="6"/>
      <c r="BJ385" s="6"/>
      <c r="BK385" s="6"/>
      <c r="BL385" s="6"/>
      <c r="BM385" s="6"/>
      <c r="BN385" s="6"/>
      <c r="BO385" s="6"/>
      <c r="BP385" s="6"/>
      <c r="BQ385" s="6"/>
      <c r="BR385" s="6"/>
      <c r="BS385" s="6"/>
      <c r="BT385" s="6"/>
      <c r="BU385" s="6"/>
      <c r="BV385" s="6"/>
      <c r="BW385" s="11"/>
      <c r="BX385" s="11"/>
      <c r="BY385" s="11"/>
      <c r="BZ385" s="11"/>
      <c r="CA385" s="11"/>
      <c r="CB385" s="11"/>
      <c r="CC385" s="11"/>
      <c r="CD385" s="11"/>
      <c r="CE385" s="11"/>
      <c r="CF385" s="11"/>
      <c r="CG385" s="11"/>
      <c r="CH385" s="11"/>
      <c r="CI385" s="11"/>
      <c r="CJ385" s="11"/>
      <c r="CK385" s="11"/>
      <c r="CL385" s="11"/>
      <c r="CM385" s="11"/>
      <c r="CN385" s="11"/>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c r="BH386" s="6"/>
      <c r="BI386" s="6"/>
      <c r="BJ386" s="6"/>
      <c r="BK386" s="6"/>
      <c r="BL386" s="6"/>
      <c r="BM386" s="6"/>
      <c r="BN386" s="6"/>
      <c r="BO386" s="6"/>
      <c r="BP386" s="6"/>
      <c r="BQ386" s="6"/>
      <c r="BR386" s="6"/>
      <c r="BS386" s="6"/>
      <c r="BT386" s="6"/>
      <c r="BU386" s="6"/>
      <c r="BV386" s="6"/>
      <c r="BW386" s="11"/>
      <c r="BX386" s="11"/>
      <c r="BY386" s="11"/>
      <c r="BZ386" s="11"/>
      <c r="CA386" s="11"/>
      <c r="CB386" s="11"/>
      <c r="CC386" s="11"/>
      <c r="CD386" s="11"/>
      <c r="CE386" s="11"/>
      <c r="CF386" s="11"/>
      <c r="CG386" s="11"/>
      <c r="CH386" s="11"/>
      <c r="CI386" s="11"/>
      <c r="CJ386" s="11"/>
      <c r="CK386" s="11"/>
      <c r="CL386" s="11"/>
      <c r="CM386" s="11"/>
      <c r="CN386" s="11"/>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11"/>
      <c r="BX387" s="11"/>
      <c r="BY387" s="11"/>
      <c r="BZ387" s="11"/>
      <c r="CA387" s="11"/>
      <c r="CB387" s="11"/>
      <c r="CC387" s="11"/>
      <c r="CD387" s="11"/>
      <c r="CE387" s="11"/>
      <c r="CF387" s="11"/>
      <c r="CG387" s="11"/>
      <c r="CH387" s="11"/>
      <c r="CI387" s="11"/>
      <c r="CJ387" s="11"/>
      <c r="CK387" s="11"/>
      <c r="CL387" s="11"/>
      <c r="CM387" s="11"/>
      <c r="CN387" s="11"/>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11"/>
      <c r="BX388" s="11"/>
      <c r="BY388" s="11"/>
      <c r="BZ388" s="11"/>
      <c r="CA388" s="11"/>
      <c r="CB388" s="11"/>
      <c r="CC388" s="11"/>
      <c r="CD388" s="11"/>
      <c r="CE388" s="11"/>
      <c r="CF388" s="11"/>
      <c r="CG388" s="11"/>
      <c r="CH388" s="11"/>
      <c r="CI388" s="11"/>
      <c r="CJ388" s="11"/>
      <c r="CK388" s="11"/>
      <c r="CL388" s="11"/>
      <c r="CM388" s="11"/>
      <c r="CN388" s="11"/>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c r="BH389" s="6"/>
      <c r="BI389" s="6"/>
      <c r="BJ389" s="6"/>
      <c r="BK389" s="6"/>
      <c r="BL389" s="6"/>
      <c r="BM389" s="6"/>
      <c r="BN389" s="6"/>
      <c r="BO389" s="6"/>
      <c r="BP389" s="6"/>
      <c r="BQ389" s="6"/>
      <c r="BR389" s="6"/>
      <c r="BS389" s="6"/>
      <c r="BT389" s="6"/>
      <c r="BU389" s="6"/>
      <c r="BV389" s="6"/>
      <c r="BW389" s="11"/>
      <c r="BX389" s="11"/>
      <c r="BY389" s="11"/>
      <c r="BZ389" s="11"/>
      <c r="CA389" s="11"/>
      <c r="CB389" s="11"/>
      <c r="CC389" s="11"/>
      <c r="CD389" s="11"/>
      <c r="CE389" s="11"/>
      <c r="CF389" s="11"/>
      <c r="CG389" s="11"/>
      <c r="CH389" s="11"/>
      <c r="CI389" s="11"/>
      <c r="CJ389" s="11"/>
      <c r="CK389" s="11"/>
      <c r="CL389" s="11"/>
      <c r="CM389" s="11"/>
      <c r="CN389" s="11"/>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c r="BH390" s="6"/>
      <c r="BI390" s="6"/>
      <c r="BJ390" s="6"/>
      <c r="BK390" s="6"/>
      <c r="BL390" s="6"/>
      <c r="BM390" s="6"/>
      <c r="BN390" s="6"/>
      <c r="BO390" s="6"/>
      <c r="BP390" s="6"/>
      <c r="BQ390" s="6"/>
      <c r="BR390" s="6"/>
      <c r="BS390" s="6"/>
      <c r="BT390" s="6"/>
      <c r="BU390" s="6"/>
      <c r="BV390" s="6"/>
      <c r="BW390" s="11"/>
      <c r="BX390" s="11"/>
      <c r="BY390" s="11"/>
      <c r="BZ390" s="11"/>
      <c r="CA390" s="11"/>
      <c r="CB390" s="11"/>
      <c r="CC390" s="11"/>
      <c r="CD390" s="11"/>
      <c r="CE390" s="11"/>
      <c r="CF390" s="11"/>
      <c r="CG390" s="11"/>
      <c r="CH390" s="11"/>
      <c r="CI390" s="11"/>
      <c r="CJ390" s="11"/>
      <c r="CK390" s="11"/>
      <c r="CL390" s="11"/>
      <c r="CM390" s="11"/>
      <c r="CN390" s="11"/>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c r="BA391" s="6"/>
      <c r="BB391" s="6"/>
      <c r="BC391" s="6"/>
      <c r="BD391" s="6"/>
      <c r="BE391" s="6"/>
      <c r="BF391" s="6"/>
      <c r="BG391" s="6"/>
      <c r="BH391" s="6"/>
      <c r="BI391" s="6"/>
      <c r="BJ391" s="6"/>
      <c r="BK391" s="6"/>
      <c r="BL391" s="6"/>
      <c r="BM391" s="6"/>
      <c r="BN391" s="6"/>
      <c r="BO391" s="6"/>
      <c r="BP391" s="6"/>
      <c r="BQ391" s="6"/>
      <c r="BR391" s="6"/>
      <c r="BS391" s="6"/>
      <c r="BT391" s="6"/>
      <c r="BU391" s="6"/>
      <c r="BV391" s="6"/>
      <c r="BW391" s="11"/>
      <c r="BX391" s="11"/>
      <c r="BY391" s="11"/>
      <c r="BZ391" s="11"/>
      <c r="CA391" s="11"/>
      <c r="CB391" s="11"/>
      <c r="CC391" s="11"/>
      <c r="CD391" s="11"/>
      <c r="CE391" s="11"/>
      <c r="CF391" s="11"/>
      <c r="CG391" s="11"/>
      <c r="CH391" s="11"/>
      <c r="CI391" s="11"/>
      <c r="CJ391" s="11"/>
      <c r="CK391" s="11"/>
      <c r="CL391" s="11"/>
      <c r="CM391" s="11"/>
      <c r="CN391" s="11"/>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11"/>
      <c r="BX392" s="11"/>
      <c r="BY392" s="11"/>
      <c r="BZ392" s="11"/>
      <c r="CA392" s="11"/>
      <c r="CB392" s="11"/>
      <c r="CC392" s="11"/>
      <c r="CD392" s="11"/>
      <c r="CE392" s="11"/>
      <c r="CF392" s="11"/>
      <c r="CG392" s="11"/>
      <c r="CH392" s="11"/>
      <c r="CI392" s="11"/>
      <c r="CJ392" s="11"/>
      <c r="CK392" s="11"/>
      <c r="CL392" s="11"/>
      <c r="CM392" s="11"/>
      <c r="CN392" s="11"/>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11"/>
      <c r="BX393" s="11"/>
      <c r="BY393" s="11"/>
      <c r="BZ393" s="11"/>
      <c r="CA393" s="11"/>
      <c r="CB393" s="11"/>
      <c r="CC393" s="11"/>
      <c r="CD393" s="11"/>
      <c r="CE393" s="11"/>
      <c r="CF393" s="11"/>
      <c r="CG393" s="11"/>
      <c r="CH393" s="11"/>
      <c r="CI393" s="11"/>
      <c r="CJ393" s="11"/>
      <c r="CK393" s="11"/>
      <c r="CL393" s="11"/>
      <c r="CM393" s="11"/>
      <c r="CN393" s="11"/>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11"/>
      <c r="BX394" s="11"/>
      <c r="BY394" s="11"/>
      <c r="BZ394" s="11"/>
      <c r="CA394" s="11"/>
      <c r="CB394" s="11"/>
      <c r="CC394" s="11"/>
      <c r="CD394" s="11"/>
      <c r="CE394" s="11"/>
      <c r="CF394" s="11"/>
      <c r="CG394" s="11"/>
      <c r="CH394" s="11"/>
      <c r="CI394" s="11"/>
      <c r="CJ394" s="11"/>
      <c r="CK394" s="11"/>
      <c r="CL394" s="11"/>
      <c r="CM394" s="11"/>
      <c r="CN394" s="11"/>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11"/>
      <c r="BX395" s="11"/>
      <c r="BY395" s="11"/>
      <c r="BZ395" s="11"/>
      <c r="CA395" s="11"/>
      <c r="CB395" s="11"/>
      <c r="CC395" s="11"/>
      <c r="CD395" s="11"/>
      <c r="CE395" s="11"/>
      <c r="CF395" s="11"/>
      <c r="CG395" s="11"/>
      <c r="CH395" s="11"/>
      <c r="CI395" s="11"/>
      <c r="CJ395" s="11"/>
      <c r="CK395" s="11"/>
      <c r="CL395" s="11"/>
      <c r="CM395" s="11"/>
      <c r="CN395" s="11"/>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c r="BC396" s="6"/>
      <c r="BD396" s="6"/>
      <c r="BE396" s="6"/>
      <c r="BF396" s="6"/>
      <c r="BG396" s="6"/>
      <c r="BH396" s="6"/>
      <c r="BI396" s="6"/>
      <c r="BJ396" s="6"/>
      <c r="BK396" s="6"/>
      <c r="BL396" s="6"/>
      <c r="BM396" s="6"/>
      <c r="BN396" s="6"/>
      <c r="BO396" s="6"/>
      <c r="BP396" s="6"/>
      <c r="BQ396" s="6"/>
      <c r="BR396" s="6"/>
      <c r="BS396" s="6"/>
      <c r="BT396" s="6"/>
      <c r="BU396" s="6"/>
      <c r="BV396" s="6"/>
      <c r="BW396" s="11"/>
      <c r="BX396" s="11"/>
      <c r="BY396" s="11"/>
      <c r="BZ396" s="11"/>
      <c r="CA396" s="11"/>
      <c r="CB396" s="11"/>
      <c r="CC396" s="11"/>
      <c r="CD396" s="11"/>
      <c r="CE396" s="11"/>
      <c r="CF396" s="11"/>
      <c r="CG396" s="11"/>
      <c r="CH396" s="11"/>
      <c r="CI396" s="11"/>
      <c r="CJ396" s="11"/>
      <c r="CK396" s="11"/>
      <c r="CL396" s="11"/>
      <c r="CM396" s="11"/>
      <c r="CN396" s="11"/>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c r="BA397" s="6"/>
      <c r="BB397" s="6"/>
      <c r="BC397" s="6"/>
      <c r="BD397" s="6"/>
      <c r="BE397" s="6"/>
      <c r="BF397" s="6"/>
      <c r="BG397" s="6"/>
      <c r="BH397" s="6"/>
      <c r="BI397" s="6"/>
      <c r="BJ397" s="6"/>
      <c r="BK397" s="6"/>
      <c r="BL397" s="6"/>
      <c r="BM397" s="6"/>
      <c r="BN397" s="6"/>
      <c r="BO397" s="6"/>
      <c r="BP397" s="6"/>
      <c r="BQ397" s="6"/>
      <c r="BR397" s="6"/>
      <c r="BS397" s="6"/>
      <c r="BT397" s="6"/>
      <c r="BU397" s="6"/>
      <c r="BV397" s="6"/>
      <c r="BW397" s="11"/>
      <c r="BX397" s="11"/>
      <c r="BY397" s="11"/>
      <c r="BZ397" s="11"/>
      <c r="CA397" s="11"/>
      <c r="CB397" s="11"/>
      <c r="CC397" s="11"/>
      <c r="CD397" s="11"/>
      <c r="CE397" s="11"/>
      <c r="CF397" s="11"/>
      <c r="CG397" s="11"/>
      <c r="CH397" s="11"/>
      <c r="CI397" s="11"/>
      <c r="CJ397" s="11"/>
      <c r="CK397" s="11"/>
      <c r="CL397" s="11"/>
      <c r="CM397" s="11"/>
      <c r="CN397" s="11"/>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c r="BD398" s="6"/>
      <c r="BE398" s="6"/>
      <c r="BF398" s="6"/>
      <c r="BG398" s="6"/>
      <c r="BH398" s="6"/>
      <c r="BI398" s="6"/>
      <c r="BJ398" s="6"/>
      <c r="BK398" s="6"/>
      <c r="BL398" s="6"/>
      <c r="BM398" s="6"/>
      <c r="BN398" s="6"/>
      <c r="BO398" s="6"/>
      <c r="BP398" s="6"/>
      <c r="BQ398" s="6"/>
      <c r="BR398" s="6"/>
      <c r="BS398" s="6"/>
      <c r="BT398" s="6"/>
      <c r="BU398" s="6"/>
      <c r="BV398" s="6"/>
      <c r="BW398" s="11"/>
      <c r="BX398" s="11"/>
      <c r="BY398" s="11"/>
      <c r="BZ398" s="11"/>
      <c r="CA398" s="11"/>
      <c r="CB398" s="11"/>
      <c r="CC398" s="11"/>
      <c r="CD398" s="11"/>
      <c r="CE398" s="11"/>
      <c r="CF398" s="11"/>
      <c r="CG398" s="11"/>
      <c r="CH398" s="11"/>
      <c r="CI398" s="11"/>
      <c r="CJ398" s="11"/>
      <c r="CK398" s="11"/>
      <c r="CL398" s="11"/>
      <c r="CM398" s="11"/>
      <c r="CN398" s="11"/>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c r="BD399" s="6"/>
      <c r="BE399" s="6"/>
      <c r="BF399" s="6"/>
      <c r="BG399" s="6"/>
      <c r="BH399" s="6"/>
      <c r="BI399" s="6"/>
      <c r="BJ399" s="6"/>
      <c r="BK399" s="6"/>
      <c r="BL399" s="6"/>
      <c r="BM399" s="6"/>
      <c r="BN399" s="6"/>
      <c r="BO399" s="6"/>
      <c r="BP399" s="6"/>
      <c r="BQ399" s="6"/>
      <c r="BR399" s="6"/>
      <c r="BS399" s="6"/>
      <c r="BT399" s="6"/>
      <c r="BU399" s="6"/>
      <c r="BV399" s="6"/>
      <c r="BW399" s="11"/>
      <c r="BX399" s="11"/>
      <c r="BY399" s="11"/>
      <c r="BZ399" s="11"/>
      <c r="CA399" s="11"/>
      <c r="CB399" s="11"/>
      <c r="CC399" s="11"/>
      <c r="CD399" s="11"/>
      <c r="CE399" s="11"/>
      <c r="CF399" s="11"/>
      <c r="CG399" s="11"/>
      <c r="CH399" s="11"/>
      <c r="CI399" s="11"/>
      <c r="CJ399" s="11"/>
      <c r="CK399" s="11"/>
      <c r="CL399" s="11"/>
      <c r="CM399" s="11"/>
      <c r="CN399" s="11"/>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c r="BC400" s="6"/>
      <c r="BD400" s="6"/>
      <c r="BE400" s="6"/>
      <c r="BF400" s="6"/>
      <c r="BG400" s="6"/>
      <c r="BH400" s="6"/>
      <c r="BI400" s="6"/>
      <c r="BJ400" s="6"/>
      <c r="BK400" s="6"/>
      <c r="BL400" s="6"/>
      <c r="BM400" s="6"/>
      <c r="BN400" s="6"/>
      <c r="BO400" s="6"/>
      <c r="BP400" s="6"/>
      <c r="BQ400" s="6"/>
      <c r="BR400" s="6"/>
      <c r="BS400" s="6"/>
      <c r="BT400" s="6"/>
      <c r="BU400" s="6"/>
      <c r="BV400" s="6"/>
      <c r="BW400" s="11"/>
      <c r="BX400" s="11"/>
      <c r="BY400" s="11"/>
      <c r="BZ400" s="11"/>
      <c r="CA400" s="11"/>
      <c r="CB400" s="11"/>
      <c r="CC400" s="11"/>
      <c r="CD400" s="11"/>
      <c r="CE400" s="11"/>
      <c r="CF400" s="11"/>
      <c r="CG400" s="11"/>
      <c r="CH400" s="11"/>
      <c r="CI400" s="11"/>
      <c r="CJ400" s="11"/>
      <c r="CK400" s="11"/>
      <c r="CL400" s="11"/>
      <c r="CM400" s="11"/>
      <c r="CN400" s="11"/>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6"/>
      <c r="BA401" s="6"/>
      <c r="BB401" s="6"/>
      <c r="BC401" s="6"/>
      <c r="BD401" s="6"/>
      <c r="BE401" s="6"/>
      <c r="BF401" s="6"/>
      <c r="BG401" s="6"/>
      <c r="BH401" s="6"/>
      <c r="BI401" s="6"/>
      <c r="BJ401" s="6"/>
      <c r="BK401" s="6"/>
      <c r="BL401" s="6"/>
      <c r="BM401" s="6"/>
      <c r="BN401" s="6"/>
      <c r="BO401" s="6"/>
      <c r="BP401" s="6"/>
      <c r="BQ401" s="6"/>
      <c r="BR401" s="6"/>
      <c r="BS401" s="6"/>
      <c r="BT401" s="6"/>
      <c r="BU401" s="6"/>
      <c r="BV401" s="6"/>
      <c r="BW401" s="11"/>
      <c r="BX401" s="11"/>
      <c r="BY401" s="11"/>
      <c r="BZ401" s="11"/>
      <c r="CA401" s="11"/>
      <c r="CB401" s="11"/>
      <c r="CC401" s="11"/>
      <c r="CD401" s="11"/>
      <c r="CE401" s="11"/>
      <c r="CF401" s="11"/>
      <c r="CG401" s="11"/>
      <c r="CH401" s="11"/>
      <c r="CI401" s="11"/>
      <c r="CJ401" s="11"/>
      <c r="CK401" s="11"/>
      <c r="CL401" s="11"/>
      <c r="CM401" s="11"/>
      <c r="CN401" s="11"/>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c r="BA402" s="6"/>
      <c r="BB402" s="6"/>
      <c r="BC402" s="6"/>
      <c r="BD402" s="6"/>
      <c r="BE402" s="6"/>
      <c r="BF402" s="6"/>
      <c r="BG402" s="6"/>
      <c r="BH402" s="6"/>
      <c r="BI402" s="6"/>
      <c r="BJ402" s="6"/>
      <c r="BK402" s="6"/>
      <c r="BL402" s="6"/>
      <c r="BM402" s="6"/>
      <c r="BN402" s="6"/>
      <c r="BO402" s="6"/>
      <c r="BP402" s="6"/>
      <c r="BQ402" s="6"/>
      <c r="BR402" s="6"/>
      <c r="BS402" s="6"/>
      <c r="BT402" s="6"/>
      <c r="BU402" s="6"/>
      <c r="BV402" s="6"/>
      <c r="BW402" s="11"/>
      <c r="BX402" s="11"/>
      <c r="BY402" s="11"/>
      <c r="BZ402" s="11"/>
      <c r="CA402" s="11"/>
      <c r="CB402" s="11"/>
      <c r="CC402" s="11"/>
      <c r="CD402" s="11"/>
      <c r="CE402" s="11"/>
      <c r="CF402" s="11"/>
      <c r="CG402" s="11"/>
      <c r="CH402" s="11"/>
      <c r="CI402" s="11"/>
      <c r="CJ402" s="11"/>
      <c r="CK402" s="11"/>
      <c r="CL402" s="11"/>
      <c r="CM402" s="11"/>
      <c r="CN402" s="11"/>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6"/>
      <c r="BA403" s="6"/>
      <c r="BB403" s="6"/>
      <c r="BC403" s="6"/>
      <c r="BD403" s="6"/>
      <c r="BE403" s="6"/>
      <c r="BF403" s="6"/>
      <c r="BG403" s="6"/>
      <c r="BH403" s="6"/>
      <c r="BI403" s="6"/>
      <c r="BJ403" s="6"/>
      <c r="BK403" s="6"/>
      <c r="BL403" s="6"/>
      <c r="BM403" s="6"/>
      <c r="BN403" s="6"/>
      <c r="BO403" s="6"/>
      <c r="BP403" s="6"/>
      <c r="BQ403" s="6"/>
      <c r="BR403" s="6"/>
      <c r="BS403" s="6"/>
      <c r="BT403" s="6"/>
      <c r="BU403" s="6"/>
      <c r="BV403" s="6"/>
      <c r="BW403" s="11"/>
      <c r="BX403" s="11"/>
      <c r="BY403" s="11"/>
      <c r="BZ403" s="11"/>
      <c r="CA403" s="11"/>
      <c r="CB403" s="11"/>
      <c r="CC403" s="11"/>
      <c r="CD403" s="11"/>
      <c r="CE403" s="11"/>
      <c r="CF403" s="11"/>
      <c r="CG403" s="11"/>
      <c r="CH403" s="11"/>
      <c r="CI403" s="11"/>
      <c r="CJ403" s="11"/>
      <c r="CK403" s="11"/>
      <c r="CL403" s="11"/>
      <c r="CM403" s="11"/>
      <c r="CN403" s="11"/>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c r="BA404" s="6"/>
      <c r="BB404" s="6"/>
      <c r="BC404" s="6"/>
      <c r="BD404" s="6"/>
      <c r="BE404" s="6"/>
      <c r="BF404" s="6"/>
      <c r="BG404" s="6"/>
      <c r="BH404" s="6"/>
      <c r="BI404" s="6"/>
      <c r="BJ404" s="6"/>
      <c r="BK404" s="6"/>
      <c r="BL404" s="6"/>
      <c r="BM404" s="6"/>
      <c r="BN404" s="6"/>
      <c r="BO404" s="6"/>
      <c r="BP404" s="6"/>
      <c r="BQ404" s="6"/>
      <c r="BR404" s="6"/>
      <c r="BS404" s="6"/>
      <c r="BT404" s="6"/>
      <c r="BU404" s="6"/>
      <c r="BV404" s="6"/>
      <c r="BW404" s="11"/>
      <c r="BX404" s="11"/>
      <c r="BY404" s="11"/>
      <c r="BZ404" s="11"/>
      <c r="CA404" s="11"/>
      <c r="CB404" s="11"/>
      <c r="CC404" s="11"/>
      <c r="CD404" s="11"/>
      <c r="CE404" s="11"/>
      <c r="CF404" s="11"/>
      <c r="CG404" s="11"/>
      <c r="CH404" s="11"/>
      <c r="CI404" s="11"/>
      <c r="CJ404" s="11"/>
      <c r="CK404" s="11"/>
      <c r="CL404" s="11"/>
      <c r="CM404" s="11"/>
      <c r="CN404" s="11"/>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6"/>
      <c r="BA405" s="6"/>
      <c r="BB405" s="6"/>
      <c r="BC405" s="6"/>
      <c r="BD405" s="6"/>
      <c r="BE405" s="6"/>
      <c r="BF405" s="6"/>
      <c r="BG405" s="6"/>
      <c r="BH405" s="6"/>
      <c r="BI405" s="6"/>
      <c r="BJ405" s="6"/>
      <c r="BK405" s="6"/>
      <c r="BL405" s="6"/>
      <c r="BM405" s="6"/>
      <c r="BN405" s="6"/>
      <c r="BO405" s="6"/>
      <c r="BP405" s="6"/>
      <c r="BQ405" s="6"/>
      <c r="BR405" s="6"/>
      <c r="BS405" s="6"/>
      <c r="BT405" s="6"/>
      <c r="BU405" s="6"/>
      <c r="BV405" s="6"/>
      <c r="BW405" s="11"/>
      <c r="BX405" s="11"/>
      <c r="BY405" s="11"/>
      <c r="BZ405" s="11"/>
      <c r="CA405" s="11"/>
      <c r="CB405" s="11"/>
      <c r="CC405" s="11"/>
      <c r="CD405" s="11"/>
      <c r="CE405" s="11"/>
      <c r="CF405" s="11"/>
      <c r="CG405" s="11"/>
      <c r="CH405" s="11"/>
      <c r="CI405" s="11"/>
      <c r="CJ405" s="11"/>
      <c r="CK405" s="11"/>
      <c r="CL405" s="11"/>
      <c r="CM405" s="11"/>
      <c r="CN405" s="11"/>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c r="BA406" s="6"/>
      <c r="BB406" s="6"/>
      <c r="BC406" s="6"/>
      <c r="BD406" s="6"/>
      <c r="BE406" s="6"/>
      <c r="BF406" s="6"/>
      <c r="BG406" s="6"/>
      <c r="BH406" s="6"/>
      <c r="BI406" s="6"/>
      <c r="BJ406" s="6"/>
      <c r="BK406" s="6"/>
      <c r="BL406" s="6"/>
      <c r="BM406" s="6"/>
      <c r="BN406" s="6"/>
      <c r="BO406" s="6"/>
      <c r="BP406" s="6"/>
      <c r="BQ406" s="6"/>
      <c r="BR406" s="6"/>
      <c r="BS406" s="6"/>
      <c r="BT406" s="6"/>
      <c r="BU406" s="6"/>
      <c r="BV406" s="6"/>
      <c r="BW406" s="11"/>
      <c r="BX406" s="11"/>
      <c r="BY406" s="11"/>
      <c r="BZ406" s="11"/>
      <c r="CA406" s="11"/>
      <c r="CB406" s="11"/>
      <c r="CC406" s="11"/>
      <c r="CD406" s="11"/>
      <c r="CE406" s="11"/>
      <c r="CF406" s="11"/>
      <c r="CG406" s="11"/>
      <c r="CH406" s="11"/>
      <c r="CI406" s="11"/>
      <c r="CJ406" s="11"/>
      <c r="CK406" s="11"/>
      <c r="CL406" s="11"/>
      <c r="CM406" s="11"/>
      <c r="CN406" s="11"/>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11"/>
      <c r="BX407" s="11"/>
      <c r="BY407" s="11"/>
      <c r="BZ407" s="11"/>
      <c r="CA407" s="11"/>
      <c r="CB407" s="11"/>
      <c r="CC407" s="11"/>
      <c r="CD407" s="11"/>
      <c r="CE407" s="11"/>
      <c r="CF407" s="11"/>
      <c r="CG407" s="11"/>
      <c r="CH407" s="11"/>
      <c r="CI407" s="11"/>
      <c r="CJ407" s="11"/>
      <c r="CK407" s="11"/>
      <c r="CL407" s="11"/>
      <c r="CM407" s="11"/>
      <c r="CN407" s="11"/>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c r="BA408" s="6"/>
      <c r="BB408" s="6"/>
      <c r="BC408" s="6"/>
      <c r="BD408" s="6"/>
      <c r="BE408" s="6"/>
      <c r="BF408" s="6"/>
      <c r="BG408" s="6"/>
      <c r="BH408" s="6"/>
      <c r="BI408" s="6"/>
      <c r="BJ408" s="6"/>
      <c r="BK408" s="6"/>
      <c r="BL408" s="6"/>
      <c r="BM408" s="6"/>
      <c r="BN408" s="6"/>
      <c r="BO408" s="6"/>
      <c r="BP408" s="6"/>
      <c r="BQ408" s="6"/>
      <c r="BR408" s="6"/>
      <c r="BS408" s="6"/>
      <c r="BT408" s="6"/>
      <c r="BU408" s="6"/>
      <c r="BV408" s="6"/>
      <c r="BW408" s="11"/>
      <c r="BX408" s="11"/>
      <c r="BY408" s="11"/>
      <c r="BZ408" s="11"/>
      <c r="CA408" s="11"/>
      <c r="CB408" s="11"/>
      <c r="CC408" s="11"/>
      <c r="CD408" s="11"/>
      <c r="CE408" s="11"/>
      <c r="CF408" s="11"/>
      <c r="CG408" s="11"/>
      <c r="CH408" s="11"/>
      <c r="CI408" s="11"/>
      <c r="CJ408" s="11"/>
      <c r="CK408" s="11"/>
      <c r="CL408" s="11"/>
      <c r="CM408" s="11"/>
      <c r="CN408" s="11"/>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6"/>
      <c r="BA409" s="6"/>
      <c r="BB409" s="6"/>
      <c r="BC409" s="6"/>
      <c r="BD409" s="6"/>
      <c r="BE409" s="6"/>
      <c r="BF409" s="6"/>
      <c r="BG409" s="6"/>
      <c r="BH409" s="6"/>
      <c r="BI409" s="6"/>
      <c r="BJ409" s="6"/>
      <c r="BK409" s="6"/>
      <c r="BL409" s="6"/>
      <c r="BM409" s="6"/>
      <c r="BN409" s="6"/>
      <c r="BO409" s="6"/>
      <c r="BP409" s="6"/>
      <c r="BQ409" s="6"/>
      <c r="BR409" s="6"/>
      <c r="BS409" s="6"/>
      <c r="BT409" s="6"/>
      <c r="BU409" s="6"/>
      <c r="BV409" s="6"/>
      <c r="BW409" s="11"/>
      <c r="BX409" s="11"/>
      <c r="BY409" s="11"/>
      <c r="BZ409" s="11"/>
      <c r="CA409" s="11"/>
      <c r="CB409" s="11"/>
      <c r="CC409" s="11"/>
      <c r="CD409" s="11"/>
      <c r="CE409" s="11"/>
      <c r="CF409" s="11"/>
      <c r="CG409" s="11"/>
      <c r="CH409" s="11"/>
      <c r="CI409" s="11"/>
      <c r="CJ409" s="11"/>
      <c r="CK409" s="11"/>
      <c r="CL409" s="11"/>
      <c r="CM409" s="11"/>
      <c r="CN409" s="11"/>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c r="BA410" s="6"/>
      <c r="BB410" s="6"/>
      <c r="BC410" s="6"/>
      <c r="BD410" s="6"/>
      <c r="BE410" s="6"/>
      <c r="BF410" s="6"/>
      <c r="BG410" s="6"/>
      <c r="BH410" s="6"/>
      <c r="BI410" s="6"/>
      <c r="BJ410" s="6"/>
      <c r="BK410" s="6"/>
      <c r="BL410" s="6"/>
      <c r="BM410" s="6"/>
      <c r="BN410" s="6"/>
      <c r="BO410" s="6"/>
      <c r="BP410" s="6"/>
      <c r="BQ410" s="6"/>
      <c r="BR410" s="6"/>
      <c r="BS410" s="6"/>
      <c r="BT410" s="6"/>
      <c r="BU410" s="6"/>
      <c r="BV410" s="6"/>
      <c r="BW410" s="11"/>
      <c r="BX410" s="11"/>
      <c r="BY410" s="11"/>
      <c r="BZ410" s="11"/>
      <c r="CA410" s="11"/>
      <c r="CB410" s="11"/>
      <c r="CC410" s="11"/>
      <c r="CD410" s="11"/>
      <c r="CE410" s="11"/>
      <c r="CF410" s="11"/>
      <c r="CG410" s="11"/>
      <c r="CH410" s="11"/>
      <c r="CI410" s="11"/>
      <c r="CJ410" s="11"/>
      <c r="CK410" s="11"/>
      <c r="CL410" s="11"/>
      <c r="CM410" s="11"/>
      <c r="CN410" s="11"/>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11"/>
      <c r="BX411" s="11"/>
      <c r="BY411" s="11"/>
      <c r="BZ411" s="11"/>
      <c r="CA411" s="11"/>
      <c r="CB411" s="11"/>
      <c r="CC411" s="11"/>
      <c r="CD411" s="11"/>
      <c r="CE411" s="11"/>
      <c r="CF411" s="11"/>
      <c r="CG411" s="11"/>
      <c r="CH411" s="11"/>
      <c r="CI411" s="11"/>
      <c r="CJ411" s="11"/>
      <c r="CK411" s="11"/>
      <c r="CL411" s="11"/>
      <c r="CM411" s="11"/>
      <c r="CN411" s="11"/>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11"/>
      <c r="BX412" s="11"/>
      <c r="BY412" s="11"/>
      <c r="BZ412" s="11"/>
      <c r="CA412" s="11"/>
      <c r="CB412" s="11"/>
      <c r="CC412" s="11"/>
      <c r="CD412" s="11"/>
      <c r="CE412" s="11"/>
      <c r="CF412" s="11"/>
      <c r="CG412" s="11"/>
      <c r="CH412" s="11"/>
      <c r="CI412" s="11"/>
      <c r="CJ412" s="11"/>
      <c r="CK412" s="11"/>
      <c r="CL412" s="11"/>
      <c r="CM412" s="11"/>
      <c r="CN412" s="11"/>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11"/>
      <c r="BX413" s="11"/>
      <c r="BY413" s="11"/>
      <c r="BZ413" s="11"/>
      <c r="CA413" s="11"/>
      <c r="CB413" s="11"/>
      <c r="CC413" s="11"/>
      <c r="CD413" s="11"/>
      <c r="CE413" s="11"/>
      <c r="CF413" s="11"/>
      <c r="CG413" s="11"/>
      <c r="CH413" s="11"/>
      <c r="CI413" s="11"/>
      <c r="CJ413" s="11"/>
      <c r="CK413" s="11"/>
      <c r="CL413" s="11"/>
      <c r="CM413" s="11"/>
      <c r="CN413" s="11"/>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11"/>
      <c r="BX414" s="11"/>
      <c r="BY414" s="11"/>
      <c r="BZ414" s="11"/>
      <c r="CA414" s="11"/>
      <c r="CB414" s="11"/>
      <c r="CC414" s="11"/>
      <c r="CD414" s="11"/>
      <c r="CE414" s="11"/>
      <c r="CF414" s="11"/>
      <c r="CG414" s="11"/>
      <c r="CH414" s="11"/>
      <c r="CI414" s="11"/>
      <c r="CJ414" s="11"/>
      <c r="CK414" s="11"/>
      <c r="CL414" s="11"/>
      <c r="CM414" s="11"/>
      <c r="CN414" s="11"/>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11"/>
      <c r="BX415" s="11"/>
      <c r="BY415" s="11"/>
      <c r="BZ415" s="11"/>
      <c r="CA415" s="11"/>
      <c r="CB415" s="11"/>
      <c r="CC415" s="11"/>
      <c r="CD415" s="11"/>
      <c r="CE415" s="11"/>
      <c r="CF415" s="11"/>
      <c r="CG415" s="11"/>
      <c r="CH415" s="11"/>
      <c r="CI415" s="11"/>
      <c r="CJ415" s="11"/>
      <c r="CK415" s="11"/>
      <c r="CL415" s="11"/>
      <c r="CM415" s="11"/>
      <c r="CN415" s="11"/>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11"/>
      <c r="BX416" s="11"/>
      <c r="BY416" s="11"/>
      <c r="BZ416" s="11"/>
      <c r="CA416" s="11"/>
      <c r="CB416" s="11"/>
      <c r="CC416" s="11"/>
      <c r="CD416" s="11"/>
      <c r="CE416" s="11"/>
      <c r="CF416" s="11"/>
      <c r="CG416" s="11"/>
      <c r="CH416" s="11"/>
      <c r="CI416" s="11"/>
      <c r="CJ416" s="11"/>
      <c r="CK416" s="11"/>
      <c r="CL416" s="11"/>
      <c r="CM416" s="11"/>
      <c r="CN416" s="11"/>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11"/>
      <c r="BX417" s="11"/>
      <c r="BY417" s="11"/>
      <c r="BZ417" s="11"/>
      <c r="CA417" s="11"/>
      <c r="CB417" s="11"/>
      <c r="CC417" s="11"/>
      <c r="CD417" s="11"/>
      <c r="CE417" s="11"/>
      <c r="CF417" s="11"/>
      <c r="CG417" s="11"/>
      <c r="CH417" s="11"/>
      <c r="CI417" s="11"/>
      <c r="CJ417" s="11"/>
      <c r="CK417" s="11"/>
      <c r="CL417" s="11"/>
      <c r="CM417" s="11"/>
      <c r="CN417" s="11"/>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c r="BA418" s="6"/>
      <c r="BB418" s="6"/>
      <c r="BC418" s="6"/>
      <c r="BD418" s="6"/>
      <c r="BE418" s="6"/>
      <c r="BF418" s="6"/>
      <c r="BG418" s="6"/>
      <c r="BH418" s="6"/>
      <c r="BI418" s="6"/>
      <c r="BJ418" s="6"/>
      <c r="BK418" s="6"/>
      <c r="BL418" s="6"/>
      <c r="BM418" s="6"/>
      <c r="BN418" s="6"/>
      <c r="BO418" s="6"/>
      <c r="BP418" s="6"/>
      <c r="BQ418" s="6"/>
      <c r="BR418" s="6"/>
      <c r="BS418" s="6"/>
      <c r="BT418" s="6"/>
      <c r="BU418" s="6"/>
      <c r="BV418" s="6"/>
      <c r="BW418" s="11"/>
      <c r="BX418" s="11"/>
      <c r="BY418" s="11"/>
      <c r="BZ418" s="11"/>
      <c r="CA418" s="11"/>
      <c r="CB418" s="11"/>
      <c r="CC418" s="11"/>
      <c r="CD418" s="11"/>
      <c r="CE418" s="11"/>
      <c r="CF418" s="11"/>
      <c r="CG418" s="11"/>
      <c r="CH418" s="11"/>
      <c r="CI418" s="11"/>
      <c r="CJ418" s="11"/>
      <c r="CK418" s="11"/>
      <c r="CL418" s="11"/>
      <c r="CM418" s="11"/>
      <c r="CN418" s="11"/>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c r="BR419" s="6"/>
      <c r="BS419" s="6"/>
      <c r="BT419" s="6"/>
      <c r="BU419" s="6"/>
      <c r="BV419" s="6"/>
      <c r="BW419" s="11"/>
      <c r="BX419" s="11"/>
      <c r="BY419" s="11"/>
      <c r="BZ419" s="11"/>
      <c r="CA419" s="11"/>
      <c r="CB419" s="11"/>
      <c r="CC419" s="11"/>
      <c r="CD419" s="11"/>
      <c r="CE419" s="11"/>
      <c r="CF419" s="11"/>
      <c r="CG419" s="11"/>
      <c r="CH419" s="11"/>
      <c r="CI419" s="11"/>
      <c r="CJ419" s="11"/>
      <c r="CK419" s="11"/>
      <c r="CL419" s="11"/>
      <c r="CM419" s="11"/>
      <c r="CN419" s="11"/>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11"/>
      <c r="BX420" s="11"/>
      <c r="BY420" s="11"/>
      <c r="BZ420" s="11"/>
      <c r="CA420" s="11"/>
      <c r="CB420" s="11"/>
      <c r="CC420" s="11"/>
      <c r="CD420" s="11"/>
      <c r="CE420" s="11"/>
      <c r="CF420" s="11"/>
      <c r="CG420" s="11"/>
      <c r="CH420" s="11"/>
      <c r="CI420" s="11"/>
      <c r="CJ420" s="11"/>
      <c r="CK420" s="11"/>
      <c r="CL420" s="11"/>
      <c r="CM420" s="11"/>
      <c r="CN420" s="11"/>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11"/>
      <c r="BX421" s="11"/>
      <c r="BY421" s="11"/>
      <c r="BZ421" s="11"/>
      <c r="CA421" s="11"/>
      <c r="CB421" s="11"/>
      <c r="CC421" s="11"/>
      <c r="CD421" s="11"/>
      <c r="CE421" s="11"/>
      <c r="CF421" s="11"/>
      <c r="CG421" s="11"/>
      <c r="CH421" s="11"/>
      <c r="CI421" s="11"/>
      <c r="CJ421" s="11"/>
      <c r="CK421" s="11"/>
      <c r="CL421" s="11"/>
      <c r="CM421" s="11"/>
      <c r="CN421" s="11"/>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c r="BA422" s="6"/>
      <c r="BB422" s="6"/>
      <c r="BC422" s="6"/>
      <c r="BD422" s="6"/>
      <c r="BE422" s="6"/>
      <c r="BF422" s="6"/>
      <c r="BG422" s="6"/>
      <c r="BH422" s="6"/>
      <c r="BI422" s="6"/>
      <c r="BJ422" s="6"/>
      <c r="BK422" s="6"/>
      <c r="BL422" s="6"/>
      <c r="BM422" s="6"/>
      <c r="BN422" s="6"/>
      <c r="BO422" s="6"/>
      <c r="BP422" s="6"/>
      <c r="BQ422" s="6"/>
      <c r="BR422" s="6"/>
      <c r="BS422" s="6"/>
      <c r="BT422" s="6"/>
      <c r="BU422" s="6"/>
      <c r="BV422" s="6"/>
      <c r="BW422" s="11"/>
      <c r="BX422" s="11"/>
      <c r="BY422" s="11"/>
      <c r="BZ422" s="11"/>
      <c r="CA422" s="11"/>
      <c r="CB422" s="11"/>
      <c r="CC422" s="11"/>
      <c r="CD422" s="11"/>
      <c r="CE422" s="11"/>
      <c r="CF422" s="11"/>
      <c r="CG422" s="11"/>
      <c r="CH422" s="11"/>
      <c r="CI422" s="11"/>
      <c r="CJ422" s="11"/>
      <c r="CK422" s="11"/>
      <c r="CL422" s="11"/>
      <c r="CM422" s="11"/>
      <c r="CN422" s="11"/>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6"/>
      <c r="BA423" s="6"/>
      <c r="BB423" s="6"/>
      <c r="BC423" s="6"/>
      <c r="BD423" s="6"/>
      <c r="BE423" s="6"/>
      <c r="BF423" s="6"/>
      <c r="BG423" s="6"/>
      <c r="BH423" s="6"/>
      <c r="BI423" s="6"/>
      <c r="BJ423" s="6"/>
      <c r="BK423" s="6"/>
      <c r="BL423" s="6"/>
      <c r="BM423" s="6"/>
      <c r="BN423" s="6"/>
      <c r="BO423" s="6"/>
      <c r="BP423" s="6"/>
      <c r="BQ423" s="6"/>
      <c r="BR423" s="6"/>
      <c r="BS423" s="6"/>
      <c r="BT423" s="6"/>
      <c r="BU423" s="6"/>
      <c r="BV423" s="6"/>
      <c r="BW423" s="11"/>
      <c r="BX423" s="11"/>
      <c r="BY423" s="11"/>
      <c r="BZ423" s="11"/>
      <c r="CA423" s="11"/>
      <c r="CB423" s="11"/>
      <c r="CC423" s="11"/>
      <c r="CD423" s="11"/>
      <c r="CE423" s="11"/>
      <c r="CF423" s="11"/>
      <c r="CG423" s="11"/>
      <c r="CH423" s="11"/>
      <c r="CI423" s="11"/>
      <c r="CJ423" s="11"/>
      <c r="CK423" s="11"/>
      <c r="CL423" s="11"/>
      <c r="CM423" s="11"/>
      <c r="CN423" s="11"/>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11"/>
      <c r="BX424" s="11"/>
      <c r="BY424" s="11"/>
      <c r="BZ424" s="11"/>
      <c r="CA424" s="11"/>
      <c r="CB424" s="11"/>
      <c r="CC424" s="11"/>
      <c r="CD424" s="11"/>
      <c r="CE424" s="11"/>
      <c r="CF424" s="11"/>
      <c r="CG424" s="11"/>
      <c r="CH424" s="11"/>
      <c r="CI424" s="11"/>
      <c r="CJ424" s="11"/>
      <c r="CK424" s="11"/>
      <c r="CL424" s="11"/>
      <c r="CM424" s="11"/>
      <c r="CN424" s="11"/>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6"/>
      <c r="BA425" s="6"/>
      <c r="BB425" s="6"/>
      <c r="BC425" s="6"/>
      <c r="BD425" s="6"/>
      <c r="BE425" s="6"/>
      <c r="BF425" s="6"/>
      <c r="BG425" s="6"/>
      <c r="BH425" s="6"/>
      <c r="BI425" s="6"/>
      <c r="BJ425" s="6"/>
      <c r="BK425" s="6"/>
      <c r="BL425" s="6"/>
      <c r="BM425" s="6"/>
      <c r="BN425" s="6"/>
      <c r="BO425" s="6"/>
      <c r="BP425" s="6"/>
      <c r="BQ425" s="6"/>
      <c r="BR425" s="6"/>
      <c r="BS425" s="6"/>
      <c r="BT425" s="6"/>
      <c r="BU425" s="6"/>
      <c r="BV425" s="6"/>
      <c r="BW425" s="11"/>
      <c r="BX425" s="11"/>
      <c r="BY425" s="11"/>
      <c r="BZ425" s="11"/>
      <c r="CA425" s="11"/>
      <c r="CB425" s="11"/>
      <c r="CC425" s="11"/>
      <c r="CD425" s="11"/>
      <c r="CE425" s="11"/>
      <c r="CF425" s="11"/>
      <c r="CG425" s="11"/>
      <c r="CH425" s="11"/>
      <c r="CI425" s="11"/>
      <c r="CJ425" s="11"/>
      <c r="CK425" s="11"/>
      <c r="CL425" s="11"/>
      <c r="CM425" s="11"/>
      <c r="CN425" s="11"/>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c r="BA426" s="6"/>
      <c r="BB426" s="6"/>
      <c r="BC426" s="6"/>
      <c r="BD426" s="6"/>
      <c r="BE426" s="6"/>
      <c r="BF426" s="6"/>
      <c r="BG426" s="6"/>
      <c r="BH426" s="6"/>
      <c r="BI426" s="6"/>
      <c r="BJ426" s="6"/>
      <c r="BK426" s="6"/>
      <c r="BL426" s="6"/>
      <c r="BM426" s="6"/>
      <c r="BN426" s="6"/>
      <c r="BO426" s="6"/>
      <c r="BP426" s="6"/>
      <c r="BQ426" s="6"/>
      <c r="BR426" s="6"/>
      <c r="BS426" s="6"/>
      <c r="BT426" s="6"/>
      <c r="BU426" s="6"/>
      <c r="BV426" s="6"/>
      <c r="BW426" s="11"/>
      <c r="BX426" s="11"/>
      <c r="BY426" s="11"/>
      <c r="BZ426" s="11"/>
      <c r="CA426" s="11"/>
      <c r="CB426" s="11"/>
      <c r="CC426" s="11"/>
      <c r="CD426" s="11"/>
      <c r="CE426" s="11"/>
      <c r="CF426" s="11"/>
      <c r="CG426" s="11"/>
      <c r="CH426" s="11"/>
      <c r="CI426" s="11"/>
      <c r="CJ426" s="11"/>
      <c r="CK426" s="11"/>
      <c r="CL426" s="11"/>
      <c r="CM426" s="11"/>
      <c r="CN426" s="11"/>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6"/>
      <c r="BA427" s="6"/>
      <c r="BB427" s="6"/>
      <c r="BC427" s="6"/>
      <c r="BD427" s="6"/>
      <c r="BE427" s="6"/>
      <c r="BF427" s="6"/>
      <c r="BG427" s="6"/>
      <c r="BH427" s="6"/>
      <c r="BI427" s="6"/>
      <c r="BJ427" s="6"/>
      <c r="BK427" s="6"/>
      <c r="BL427" s="6"/>
      <c r="BM427" s="6"/>
      <c r="BN427" s="6"/>
      <c r="BO427" s="6"/>
      <c r="BP427" s="6"/>
      <c r="BQ427" s="6"/>
      <c r="BR427" s="6"/>
      <c r="BS427" s="6"/>
      <c r="BT427" s="6"/>
      <c r="BU427" s="6"/>
      <c r="BV427" s="6"/>
      <c r="BW427" s="11"/>
      <c r="BX427" s="11"/>
      <c r="BY427" s="11"/>
      <c r="BZ427" s="11"/>
      <c r="CA427" s="11"/>
      <c r="CB427" s="11"/>
      <c r="CC427" s="11"/>
      <c r="CD427" s="11"/>
      <c r="CE427" s="11"/>
      <c r="CF427" s="11"/>
      <c r="CG427" s="11"/>
      <c r="CH427" s="11"/>
      <c r="CI427" s="11"/>
      <c r="CJ427" s="11"/>
      <c r="CK427" s="11"/>
      <c r="CL427" s="11"/>
      <c r="CM427" s="11"/>
      <c r="CN427" s="11"/>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c r="BA428" s="6"/>
      <c r="BB428" s="6"/>
      <c r="BC428" s="6"/>
      <c r="BD428" s="6"/>
      <c r="BE428" s="6"/>
      <c r="BF428" s="6"/>
      <c r="BG428" s="6"/>
      <c r="BH428" s="6"/>
      <c r="BI428" s="6"/>
      <c r="BJ428" s="6"/>
      <c r="BK428" s="6"/>
      <c r="BL428" s="6"/>
      <c r="BM428" s="6"/>
      <c r="BN428" s="6"/>
      <c r="BO428" s="6"/>
      <c r="BP428" s="6"/>
      <c r="BQ428" s="6"/>
      <c r="BR428" s="6"/>
      <c r="BS428" s="6"/>
      <c r="BT428" s="6"/>
      <c r="BU428" s="6"/>
      <c r="BV428" s="6"/>
      <c r="BW428" s="11"/>
      <c r="BX428" s="11"/>
      <c r="BY428" s="11"/>
      <c r="BZ428" s="11"/>
      <c r="CA428" s="11"/>
      <c r="CB428" s="11"/>
      <c r="CC428" s="11"/>
      <c r="CD428" s="11"/>
      <c r="CE428" s="11"/>
      <c r="CF428" s="11"/>
      <c r="CG428" s="11"/>
      <c r="CH428" s="11"/>
      <c r="CI428" s="11"/>
      <c r="CJ428" s="11"/>
      <c r="CK428" s="11"/>
      <c r="CL428" s="11"/>
      <c r="CM428" s="11"/>
      <c r="CN428" s="11"/>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c r="BR429" s="6"/>
      <c r="BS429" s="6"/>
      <c r="BT429" s="6"/>
      <c r="BU429" s="6"/>
      <c r="BV429" s="6"/>
      <c r="BW429" s="11"/>
      <c r="BX429" s="11"/>
      <c r="BY429" s="11"/>
      <c r="BZ429" s="11"/>
      <c r="CA429" s="11"/>
      <c r="CB429" s="11"/>
      <c r="CC429" s="11"/>
      <c r="CD429" s="11"/>
      <c r="CE429" s="11"/>
      <c r="CF429" s="11"/>
      <c r="CG429" s="11"/>
      <c r="CH429" s="11"/>
      <c r="CI429" s="11"/>
      <c r="CJ429" s="11"/>
      <c r="CK429" s="11"/>
      <c r="CL429" s="11"/>
      <c r="CM429" s="11"/>
      <c r="CN429" s="11"/>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c r="BA430" s="6"/>
      <c r="BB430" s="6"/>
      <c r="BC430" s="6"/>
      <c r="BD430" s="6"/>
      <c r="BE430" s="6"/>
      <c r="BF430" s="6"/>
      <c r="BG430" s="6"/>
      <c r="BH430" s="6"/>
      <c r="BI430" s="6"/>
      <c r="BJ430" s="6"/>
      <c r="BK430" s="6"/>
      <c r="BL430" s="6"/>
      <c r="BM430" s="6"/>
      <c r="BN430" s="6"/>
      <c r="BO430" s="6"/>
      <c r="BP430" s="6"/>
      <c r="BQ430" s="6"/>
      <c r="BR430" s="6"/>
      <c r="BS430" s="6"/>
      <c r="BT430" s="6"/>
      <c r="BU430" s="6"/>
      <c r="BV430" s="6"/>
      <c r="BW430" s="11"/>
      <c r="BX430" s="11"/>
      <c r="BY430" s="11"/>
      <c r="BZ430" s="11"/>
      <c r="CA430" s="11"/>
      <c r="CB430" s="11"/>
      <c r="CC430" s="11"/>
      <c r="CD430" s="11"/>
      <c r="CE430" s="11"/>
      <c r="CF430" s="11"/>
      <c r="CG430" s="11"/>
      <c r="CH430" s="11"/>
      <c r="CI430" s="11"/>
      <c r="CJ430" s="11"/>
      <c r="CK430" s="11"/>
      <c r="CL430" s="11"/>
      <c r="CM430" s="11"/>
      <c r="CN430" s="11"/>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6"/>
      <c r="BA431" s="6"/>
      <c r="BB431" s="6"/>
      <c r="BC431" s="6"/>
      <c r="BD431" s="6"/>
      <c r="BE431" s="6"/>
      <c r="BF431" s="6"/>
      <c r="BG431" s="6"/>
      <c r="BH431" s="6"/>
      <c r="BI431" s="6"/>
      <c r="BJ431" s="6"/>
      <c r="BK431" s="6"/>
      <c r="BL431" s="6"/>
      <c r="BM431" s="6"/>
      <c r="BN431" s="6"/>
      <c r="BO431" s="6"/>
      <c r="BP431" s="6"/>
      <c r="BQ431" s="6"/>
      <c r="BR431" s="6"/>
      <c r="BS431" s="6"/>
      <c r="BT431" s="6"/>
      <c r="BU431" s="6"/>
      <c r="BV431" s="6"/>
      <c r="BW431" s="11"/>
      <c r="BX431" s="11"/>
      <c r="BY431" s="11"/>
      <c r="BZ431" s="11"/>
      <c r="CA431" s="11"/>
      <c r="CB431" s="11"/>
      <c r="CC431" s="11"/>
      <c r="CD431" s="11"/>
      <c r="CE431" s="11"/>
      <c r="CF431" s="11"/>
      <c r="CG431" s="11"/>
      <c r="CH431" s="11"/>
      <c r="CI431" s="11"/>
      <c r="CJ431" s="11"/>
      <c r="CK431" s="11"/>
      <c r="CL431" s="11"/>
      <c r="CM431" s="11"/>
      <c r="CN431" s="11"/>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c r="BA432" s="6"/>
      <c r="BB432" s="6"/>
      <c r="BC432" s="6"/>
      <c r="BD432" s="6"/>
      <c r="BE432" s="6"/>
      <c r="BF432" s="6"/>
      <c r="BG432" s="6"/>
      <c r="BH432" s="6"/>
      <c r="BI432" s="6"/>
      <c r="BJ432" s="6"/>
      <c r="BK432" s="6"/>
      <c r="BL432" s="6"/>
      <c r="BM432" s="6"/>
      <c r="BN432" s="6"/>
      <c r="BO432" s="6"/>
      <c r="BP432" s="6"/>
      <c r="BQ432" s="6"/>
      <c r="BR432" s="6"/>
      <c r="BS432" s="6"/>
      <c r="BT432" s="6"/>
      <c r="BU432" s="6"/>
      <c r="BV432" s="6"/>
      <c r="BW432" s="11"/>
      <c r="BX432" s="11"/>
      <c r="BY432" s="11"/>
      <c r="BZ432" s="11"/>
      <c r="CA432" s="11"/>
      <c r="CB432" s="11"/>
      <c r="CC432" s="11"/>
      <c r="CD432" s="11"/>
      <c r="CE432" s="11"/>
      <c r="CF432" s="11"/>
      <c r="CG432" s="11"/>
      <c r="CH432" s="11"/>
      <c r="CI432" s="11"/>
      <c r="CJ432" s="11"/>
      <c r="CK432" s="11"/>
      <c r="CL432" s="11"/>
      <c r="CM432" s="11"/>
      <c r="CN432" s="11"/>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6"/>
      <c r="BA433" s="6"/>
      <c r="BB433" s="6"/>
      <c r="BC433" s="6"/>
      <c r="BD433" s="6"/>
      <c r="BE433" s="6"/>
      <c r="BF433" s="6"/>
      <c r="BG433" s="6"/>
      <c r="BH433" s="6"/>
      <c r="BI433" s="6"/>
      <c r="BJ433" s="6"/>
      <c r="BK433" s="6"/>
      <c r="BL433" s="6"/>
      <c r="BM433" s="6"/>
      <c r="BN433" s="6"/>
      <c r="BO433" s="6"/>
      <c r="BP433" s="6"/>
      <c r="BQ433" s="6"/>
      <c r="BR433" s="6"/>
      <c r="BS433" s="6"/>
      <c r="BT433" s="6"/>
      <c r="BU433" s="6"/>
      <c r="BV433" s="6"/>
      <c r="BW433" s="11"/>
      <c r="BX433" s="11"/>
      <c r="BY433" s="11"/>
      <c r="BZ433" s="11"/>
      <c r="CA433" s="11"/>
      <c r="CB433" s="11"/>
      <c r="CC433" s="11"/>
      <c r="CD433" s="11"/>
      <c r="CE433" s="11"/>
      <c r="CF433" s="11"/>
      <c r="CG433" s="11"/>
      <c r="CH433" s="11"/>
      <c r="CI433" s="11"/>
      <c r="CJ433" s="11"/>
      <c r="CK433" s="11"/>
      <c r="CL433" s="11"/>
      <c r="CM433" s="11"/>
      <c r="CN433" s="11"/>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c r="BA434" s="6"/>
      <c r="BB434" s="6"/>
      <c r="BC434" s="6"/>
      <c r="BD434" s="6"/>
      <c r="BE434" s="6"/>
      <c r="BF434" s="6"/>
      <c r="BG434" s="6"/>
      <c r="BH434" s="6"/>
      <c r="BI434" s="6"/>
      <c r="BJ434" s="6"/>
      <c r="BK434" s="6"/>
      <c r="BL434" s="6"/>
      <c r="BM434" s="6"/>
      <c r="BN434" s="6"/>
      <c r="BO434" s="6"/>
      <c r="BP434" s="6"/>
      <c r="BQ434" s="6"/>
      <c r="BR434" s="6"/>
      <c r="BS434" s="6"/>
      <c r="BT434" s="6"/>
      <c r="BU434" s="6"/>
      <c r="BV434" s="6"/>
      <c r="BW434" s="11"/>
      <c r="BX434" s="11"/>
      <c r="BY434" s="11"/>
      <c r="BZ434" s="11"/>
      <c r="CA434" s="11"/>
      <c r="CB434" s="11"/>
      <c r="CC434" s="11"/>
      <c r="CD434" s="11"/>
      <c r="CE434" s="11"/>
      <c r="CF434" s="11"/>
      <c r="CG434" s="11"/>
      <c r="CH434" s="11"/>
      <c r="CI434" s="11"/>
      <c r="CJ434" s="11"/>
      <c r="CK434" s="11"/>
      <c r="CL434" s="11"/>
      <c r="CM434" s="11"/>
      <c r="CN434" s="11"/>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6"/>
      <c r="BA435" s="6"/>
      <c r="BB435" s="6"/>
      <c r="BC435" s="6"/>
      <c r="BD435" s="6"/>
      <c r="BE435" s="6"/>
      <c r="BF435" s="6"/>
      <c r="BG435" s="6"/>
      <c r="BH435" s="6"/>
      <c r="BI435" s="6"/>
      <c r="BJ435" s="6"/>
      <c r="BK435" s="6"/>
      <c r="BL435" s="6"/>
      <c r="BM435" s="6"/>
      <c r="BN435" s="6"/>
      <c r="BO435" s="6"/>
      <c r="BP435" s="6"/>
      <c r="BQ435" s="6"/>
      <c r="BR435" s="6"/>
      <c r="BS435" s="6"/>
      <c r="BT435" s="6"/>
      <c r="BU435" s="6"/>
      <c r="BV435" s="6"/>
      <c r="BW435" s="11"/>
      <c r="BX435" s="11"/>
      <c r="BY435" s="11"/>
      <c r="BZ435" s="11"/>
      <c r="CA435" s="11"/>
      <c r="CB435" s="11"/>
      <c r="CC435" s="11"/>
      <c r="CD435" s="11"/>
      <c r="CE435" s="11"/>
      <c r="CF435" s="11"/>
      <c r="CG435" s="11"/>
      <c r="CH435" s="11"/>
      <c r="CI435" s="11"/>
      <c r="CJ435" s="11"/>
      <c r="CK435" s="11"/>
      <c r="CL435" s="11"/>
      <c r="CM435" s="11"/>
      <c r="CN435" s="11"/>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c r="BA436" s="6"/>
      <c r="BB436" s="6"/>
      <c r="BC436" s="6"/>
      <c r="BD436" s="6"/>
      <c r="BE436" s="6"/>
      <c r="BF436" s="6"/>
      <c r="BG436" s="6"/>
      <c r="BH436" s="6"/>
      <c r="BI436" s="6"/>
      <c r="BJ436" s="6"/>
      <c r="BK436" s="6"/>
      <c r="BL436" s="6"/>
      <c r="BM436" s="6"/>
      <c r="BN436" s="6"/>
      <c r="BO436" s="6"/>
      <c r="BP436" s="6"/>
      <c r="BQ436" s="6"/>
      <c r="BR436" s="6"/>
      <c r="BS436" s="6"/>
      <c r="BT436" s="6"/>
      <c r="BU436" s="6"/>
      <c r="BV436" s="6"/>
      <c r="BW436" s="11"/>
      <c r="BX436" s="11"/>
      <c r="BY436" s="11"/>
      <c r="BZ436" s="11"/>
      <c r="CA436" s="11"/>
      <c r="CB436" s="11"/>
      <c r="CC436" s="11"/>
      <c r="CD436" s="11"/>
      <c r="CE436" s="11"/>
      <c r="CF436" s="11"/>
      <c r="CG436" s="11"/>
      <c r="CH436" s="11"/>
      <c r="CI436" s="11"/>
      <c r="CJ436" s="11"/>
      <c r="CK436" s="11"/>
      <c r="CL436" s="11"/>
      <c r="CM436" s="11"/>
      <c r="CN436" s="11"/>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6"/>
      <c r="BA437" s="6"/>
      <c r="BB437" s="6"/>
      <c r="BC437" s="6"/>
      <c r="BD437" s="6"/>
      <c r="BE437" s="6"/>
      <c r="BF437" s="6"/>
      <c r="BG437" s="6"/>
      <c r="BH437" s="6"/>
      <c r="BI437" s="6"/>
      <c r="BJ437" s="6"/>
      <c r="BK437" s="6"/>
      <c r="BL437" s="6"/>
      <c r="BM437" s="6"/>
      <c r="BN437" s="6"/>
      <c r="BO437" s="6"/>
      <c r="BP437" s="6"/>
      <c r="BQ437" s="6"/>
      <c r="BR437" s="6"/>
      <c r="BS437" s="6"/>
      <c r="BT437" s="6"/>
      <c r="BU437" s="6"/>
      <c r="BV437" s="6"/>
      <c r="BW437" s="11"/>
      <c r="BX437" s="11"/>
      <c r="BY437" s="11"/>
      <c r="BZ437" s="11"/>
      <c r="CA437" s="11"/>
      <c r="CB437" s="11"/>
      <c r="CC437" s="11"/>
      <c r="CD437" s="11"/>
      <c r="CE437" s="11"/>
      <c r="CF437" s="11"/>
      <c r="CG437" s="11"/>
      <c r="CH437" s="11"/>
      <c r="CI437" s="11"/>
      <c r="CJ437" s="11"/>
      <c r="CK437" s="11"/>
      <c r="CL437" s="11"/>
      <c r="CM437" s="11"/>
      <c r="CN437" s="11"/>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c r="BR438" s="6"/>
      <c r="BS438" s="6"/>
      <c r="BT438" s="6"/>
      <c r="BU438" s="6"/>
      <c r="BV438" s="6"/>
      <c r="BW438" s="11"/>
      <c r="BX438" s="11"/>
      <c r="BY438" s="11"/>
      <c r="BZ438" s="11"/>
      <c r="CA438" s="11"/>
      <c r="CB438" s="11"/>
      <c r="CC438" s="11"/>
      <c r="CD438" s="11"/>
      <c r="CE438" s="11"/>
      <c r="CF438" s="11"/>
      <c r="CG438" s="11"/>
      <c r="CH438" s="11"/>
      <c r="CI438" s="11"/>
      <c r="CJ438" s="11"/>
      <c r="CK438" s="11"/>
      <c r="CL438" s="11"/>
      <c r="CM438" s="11"/>
      <c r="CN438" s="11"/>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6"/>
      <c r="BA439" s="6"/>
      <c r="BB439" s="6"/>
      <c r="BC439" s="6"/>
      <c r="BD439" s="6"/>
      <c r="BE439" s="6"/>
      <c r="BF439" s="6"/>
      <c r="BG439" s="6"/>
      <c r="BH439" s="6"/>
      <c r="BI439" s="6"/>
      <c r="BJ439" s="6"/>
      <c r="BK439" s="6"/>
      <c r="BL439" s="6"/>
      <c r="BM439" s="6"/>
      <c r="BN439" s="6"/>
      <c r="BO439" s="6"/>
      <c r="BP439" s="6"/>
      <c r="BQ439" s="6"/>
      <c r="BR439" s="6"/>
      <c r="BS439" s="6"/>
      <c r="BT439" s="6"/>
      <c r="BU439" s="6"/>
      <c r="BV439" s="6"/>
      <c r="BW439" s="11"/>
      <c r="BX439" s="11"/>
      <c r="BY439" s="11"/>
      <c r="BZ439" s="11"/>
      <c r="CA439" s="11"/>
      <c r="CB439" s="11"/>
      <c r="CC439" s="11"/>
      <c r="CD439" s="11"/>
      <c r="CE439" s="11"/>
      <c r="CF439" s="11"/>
      <c r="CG439" s="11"/>
      <c r="CH439" s="11"/>
      <c r="CI439" s="11"/>
      <c r="CJ439" s="11"/>
      <c r="CK439" s="11"/>
      <c r="CL439" s="11"/>
      <c r="CM439" s="11"/>
      <c r="CN439" s="11"/>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c r="BA440" s="6"/>
      <c r="BB440" s="6"/>
      <c r="BC440" s="6"/>
      <c r="BD440" s="6"/>
      <c r="BE440" s="6"/>
      <c r="BF440" s="6"/>
      <c r="BG440" s="6"/>
      <c r="BH440" s="6"/>
      <c r="BI440" s="6"/>
      <c r="BJ440" s="6"/>
      <c r="BK440" s="6"/>
      <c r="BL440" s="6"/>
      <c r="BM440" s="6"/>
      <c r="BN440" s="6"/>
      <c r="BO440" s="6"/>
      <c r="BP440" s="6"/>
      <c r="BQ440" s="6"/>
      <c r="BR440" s="6"/>
      <c r="BS440" s="6"/>
      <c r="BT440" s="6"/>
      <c r="BU440" s="6"/>
      <c r="BV440" s="6"/>
      <c r="BW440" s="11"/>
      <c r="BX440" s="11"/>
      <c r="BY440" s="11"/>
      <c r="BZ440" s="11"/>
      <c r="CA440" s="11"/>
      <c r="CB440" s="11"/>
      <c r="CC440" s="11"/>
      <c r="CD440" s="11"/>
      <c r="CE440" s="11"/>
      <c r="CF440" s="11"/>
      <c r="CG440" s="11"/>
      <c r="CH440" s="11"/>
      <c r="CI440" s="11"/>
      <c r="CJ440" s="11"/>
      <c r="CK440" s="11"/>
      <c r="CL440" s="11"/>
      <c r="CM440" s="11"/>
      <c r="CN440" s="11"/>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6"/>
      <c r="BA441" s="6"/>
      <c r="BB441" s="6"/>
      <c r="BC441" s="6"/>
      <c r="BD441" s="6"/>
      <c r="BE441" s="6"/>
      <c r="BF441" s="6"/>
      <c r="BG441" s="6"/>
      <c r="BH441" s="6"/>
      <c r="BI441" s="6"/>
      <c r="BJ441" s="6"/>
      <c r="BK441" s="6"/>
      <c r="BL441" s="6"/>
      <c r="BM441" s="6"/>
      <c r="BN441" s="6"/>
      <c r="BO441" s="6"/>
      <c r="BP441" s="6"/>
      <c r="BQ441" s="6"/>
      <c r="BR441" s="6"/>
      <c r="BS441" s="6"/>
      <c r="BT441" s="6"/>
      <c r="BU441" s="6"/>
      <c r="BV441" s="6"/>
      <c r="BW441" s="11"/>
      <c r="BX441" s="11"/>
      <c r="BY441" s="11"/>
      <c r="BZ441" s="11"/>
      <c r="CA441" s="11"/>
      <c r="CB441" s="11"/>
      <c r="CC441" s="11"/>
      <c r="CD441" s="11"/>
      <c r="CE441" s="11"/>
      <c r="CF441" s="11"/>
      <c r="CG441" s="11"/>
      <c r="CH441" s="11"/>
      <c r="CI441" s="11"/>
      <c r="CJ441" s="11"/>
      <c r="CK441" s="11"/>
      <c r="CL441" s="11"/>
      <c r="CM441" s="11"/>
      <c r="CN441" s="11"/>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c r="BA442" s="6"/>
      <c r="BB442" s="6"/>
      <c r="BC442" s="6"/>
      <c r="BD442" s="6"/>
      <c r="BE442" s="6"/>
      <c r="BF442" s="6"/>
      <c r="BG442" s="6"/>
      <c r="BH442" s="6"/>
      <c r="BI442" s="6"/>
      <c r="BJ442" s="6"/>
      <c r="BK442" s="6"/>
      <c r="BL442" s="6"/>
      <c r="BM442" s="6"/>
      <c r="BN442" s="6"/>
      <c r="BO442" s="6"/>
      <c r="BP442" s="6"/>
      <c r="BQ442" s="6"/>
      <c r="BR442" s="6"/>
      <c r="BS442" s="6"/>
      <c r="BT442" s="6"/>
      <c r="BU442" s="6"/>
      <c r="BV442" s="6"/>
      <c r="BW442" s="11"/>
      <c r="BX442" s="11"/>
      <c r="BY442" s="11"/>
      <c r="BZ442" s="11"/>
      <c r="CA442" s="11"/>
      <c r="CB442" s="11"/>
      <c r="CC442" s="11"/>
      <c r="CD442" s="11"/>
      <c r="CE442" s="11"/>
      <c r="CF442" s="11"/>
      <c r="CG442" s="11"/>
      <c r="CH442" s="11"/>
      <c r="CI442" s="11"/>
      <c r="CJ442" s="11"/>
      <c r="CK442" s="11"/>
      <c r="CL442" s="11"/>
      <c r="CM442" s="11"/>
      <c r="CN442" s="11"/>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6"/>
      <c r="BA443" s="6"/>
      <c r="BB443" s="6"/>
      <c r="BC443" s="6"/>
      <c r="BD443" s="6"/>
      <c r="BE443" s="6"/>
      <c r="BF443" s="6"/>
      <c r="BG443" s="6"/>
      <c r="BH443" s="6"/>
      <c r="BI443" s="6"/>
      <c r="BJ443" s="6"/>
      <c r="BK443" s="6"/>
      <c r="BL443" s="6"/>
      <c r="BM443" s="6"/>
      <c r="BN443" s="6"/>
      <c r="BO443" s="6"/>
      <c r="BP443" s="6"/>
      <c r="BQ443" s="6"/>
      <c r="BR443" s="6"/>
      <c r="BS443" s="6"/>
      <c r="BT443" s="6"/>
      <c r="BU443" s="6"/>
      <c r="BV443" s="6"/>
      <c r="BW443" s="11"/>
      <c r="BX443" s="11"/>
      <c r="BY443" s="11"/>
      <c r="BZ443" s="11"/>
      <c r="CA443" s="11"/>
      <c r="CB443" s="11"/>
      <c r="CC443" s="11"/>
      <c r="CD443" s="11"/>
      <c r="CE443" s="11"/>
      <c r="CF443" s="11"/>
      <c r="CG443" s="11"/>
      <c r="CH443" s="11"/>
      <c r="CI443" s="11"/>
      <c r="CJ443" s="11"/>
      <c r="CK443" s="11"/>
      <c r="CL443" s="11"/>
      <c r="CM443" s="11"/>
      <c r="CN443" s="11"/>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c r="BA444" s="6"/>
      <c r="BB444" s="6"/>
      <c r="BC444" s="6"/>
      <c r="BD444" s="6"/>
      <c r="BE444" s="6"/>
      <c r="BF444" s="6"/>
      <c r="BG444" s="6"/>
      <c r="BH444" s="6"/>
      <c r="BI444" s="6"/>
      <c r="BJ444" s="6"/>
      <c r="BK444" s="6"/>
      <c r="BL444" s="6"/>
      <c r="BM444" s="6"/>
      <c r="BN444" s="6"/>
      <c r="BO444" s="6"/>
      <c r="BP444" s="6"/>
      <c r="BQ444" s="6"/>
      <c r="BR444" s="6"/>
      <c r="BS444" s="6"/>
      <c r="BT444" s="6"/>
      <c r="BU444" s="6"/>
      <c r="BV444" s="6"/>
      <c r="BW444" s="11"/>
      <c r="BX444" s="11"/>
      <c r="BY444" s="11"/>
      <c r="BZ444" s="11"/>
      <c r="CA444" s="11"/>
      <c r="CB444" s="11"/>
      <c r="CC444" s="11"/>
      <c r="CD444" s="11"/>
      <c r="CE444" s="11"/>
      <c r="CF444" s="11"/>
      <c r="CG444" s="11"/>
      <c r="CH444" s="11"/>
      <c r="CI444" s="11"/>
      <c r="CJ444" s="11"/>
      <c r="CK444" s="11"/>
      <c r="CL444" s="11"/>
      <c r="CM444" s="11"/>
      <c r="CN444" s="11"/>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11"/>
      <c r="BX445" s="11"/>
      <c r="BY445" s="11"/>
      <c r="BZ445" s="11"/>
      <c r="CA445" s="11"/>
      <c r="CB445" s="11"/>
      <c r="CC445" s="11"/>
      <c r="CD445" s="11"/>
      <c r="CE445" s="11"/>
      <c r="CF445" s="11"/>
      <c r="CG445" s="11"/>
      <c r="CH445" s="11"/>
      <c r="CI445" s="11"/>
      <c r="CJ445" s="11"/>
      <c r="CK445" s="11"/>
      <c r="CL445" s="11"/>
      <c r="CM445" s="11"/>
      <c r="CN445" s="11"/>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c r="BA446" s="6"/>
      <c r="BB446" s="6"/>
      <c r="BC446" s="6"/>
      <c r="BD446" s="6"/>
      <c r="BE446" s="6"/>
      <c r="BF446" s="6"/>
      <c r="BG446" s="6"/>
      <c r="BH446" s="6"/>
      <c r="BI446" s="6"/>
      <c r="BJ446" s="6"/>
      <c r="BK446" s="6"/>
      <c r="BL446" s="6"/>
      <c r="BM446" s="6"/>
      <c r="BN446" s="6"/>
      <c r="BO446" s="6"/>
      <c r="BP446" s="6"/>
      <c r="BQ446" s="6"/>
      <c r="BR446" s="6"/>
      <c r="BS446" s="6"/>
      <c r="BT446" s="6"/>
      <c r="BU446" s="6"/>
      <c r="BV446" s="6"/>
      <c r="BW446" s="11"/>
      <c r="BX446" s="11"/>
      <c r="BY446" s="11"/>
      <c r="BZ446" s="11"/>
      <c r="CA446" s="11"/>
      <c r="CB446" s="11"/>
      <c r="CC446" s="11"/>
      <c r="CD446" s="11"/>
      <c r="CE446" s="11"/>
      <c r="CF446" s="11"/>
      <c r="CG446" s="11"/>
      <c r="CH446" s="11"/>
      <c r="CI446" s="11"/>
      <c r="CJ446" s="11"/>
      <c r="CK446" s="11"/>
      <c r="CL446" s="11"/>
      <c r="CM446" s="11"/>
      <c r="CN446" s="11"/>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6"/>
      <c r="BA447" s="6"/>
      <c r="BB447" s="6"/>
      <c r="BC447" s="6"/>
      <c r="BD447" s="6"/>
      <c r="BE447" s="6"/>
      <c r="BF447" s="6"/>
      <c r="BG447" s="6"/>
      <c r="BH447" s="6"/>
      <c r="BI447" s="6"/>
      <c r="BJ447" s="6"/>
      <c r="BK447" s="6"/>
      <c r="BL447" s="6"/>
      <c r="BM447" s="6"/>
      <c r="BN447" s="6"/>
      <c r="BO447" s="6"/>
      <c r="BP447" s="6"/>
      <c r="BQ447" s="6"/>
      <c r="BR447" s="6"/>
      <c r="BS447" s="6"/>
      <c r="BT447" s="6"/>
      <c r="BU447" s="6"/>
      <c r="BV447" s="6"/>
      <c r="BW447" s="11"/>
      <c r="BX447" s="11"/>
      <c r="BY447" s="11"/>
      <c r="BZ447" s="11"/>
      <c r="CA447" s="11"/>
      <c r="CB447" s="11"/>
      <c r="CC447" s="11"/>
      <c r="CD447" s="11"/>
      <c r="CE447" s="11"/>
      <c r="CF447" s="11"/>
      <c r="CG447" s="11"/>
      <c r="CH447" s="11"/>
      <c r="CI447" s="11"/>
      <c r="CJ447" s="11"/>
      <c r="CK447" s="11"/>
      <c r="CL447" s="11"/>
      <c r="CM447" s="11"/>
      <c r="CN447" s="11"/>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c r="BA448" s="6"/>
      <c r="BB448" s="6"/>
      <c r="BC448" s="6"/>
      <c r="BD448" s="6"/>
      <c r="BE448" s="6"/>
      <c r="BF448" s="6"/>
      <c r="BG448" s="6"/>
      <c r="BH448" s="6"/>
      <c r="BI448" s="6"/>
      <c r="BJ448" s="6"/>
      <c r="BK448" s="6"/>
      <c r="BL448" s="6"/>
      <c r="BM448" s="6"/>
      <c r="BN448" s="6"/>
      <c r="BO448" s="6"/>
      <c r="BP448" s="6"/>
      <c r="BQ448" s="6"/>
      <c r="BR448" s="6"/>
      <c r="BS448" s="6"/>
      <c r="BT448" s="6"/>
      <c r="BU448" s="6"/>
      <c r="BV448" s="6"/>
      <c r="BW448" s="11"/>
      <c r="BX448" s="11"/>
      <c r="BY448" s="11"/>
      <c r="BZ448" s="11"/>
      <c r="CA448" s="11"/>
      <c r="CB448" s="11"/>
      <c r="CC448" s="11"/>
      <c r="CD448" s="11"/>
      <c r="CE448" s="11"/>
      <c r="CF448" s="11"/>
      <c r="CG448" s="11"/>
      <c r="CH448" s="11"/>
      <c r="CI448" s="11"/>
      <c r="CJ448" s="11"/>
      <c r="CK448" s="11"/>
      <c r="CL448" s="11"/>
      <c r="CM448" s="11"/>
      <c r="CN448" s="11"/>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6"/>
      <c r="BA449" s="6"/>
      <c r="BB449" s="6"/>
      <c r="BC449" s="6"/>
      <c r="BD449" s="6"/>
      <c r="BE449" s="6"/>
      <c r="BF449" s="6"/>
      <c r="BG449" s="6"/>
      <c r="BH449" s="6"/>
      <c r="BI449" s="6"/>
      <c r="BJ449" s="6"/>
      <c r="BK449" s="6"/>
      <c r="BL449" s="6"/>
      <c r="BM449" s="6"/>
      <c r="BN449" s="6"/>
      <c r="BO449" s="6"/>
      <c r="BP449" s="6"/>
      <c r="BQ449" s="6"/>
      <c r="BR449" s="6"/>
      <c r="BS449" s="6"/>
      <c r="BT449" s="6"/>
      <c r="BU449" s="6"/>
      <c r="BV449" s="6"/>
      <c r="BW449" s="11"/>
      <c r="BX449" s="11"/>
      <c r="BY449" s="11"/>
      <c r="BZ449" s="11"/>
      <c r="CA449" s="11"/>
      <c r="CB449" s="11"/>
      <c r="CC449" s="11"/>
      <c r="CD449" s="11"/>
      <c r="CE449" s="11"/>
      <c r="CF449" s="11"/>
      <c r="CG449" s="11"/>
      <c r="CH449" s="11"/>
      <c r="CI449" s="11"/>
      <c r="CJ449" s="11"/>
      <c r="CK449" s="11"/>
      <c r="CL449" s="11"/>
      <c r="CM449" s="11"/>
      <c r="CN449" s="11"/>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c r="BA450" s="6"/>
      <c r="BB450" s="6"/>
      <c r="BC450" s="6"/>
      <c r="BD450" s="6"/>
      <c r="BE450" s="6"/>
      <c r="BF450" s="6"/>
      <c r="BG450" s="6"/>
      <c r="BH450" s="6"/>
      <c r="BI450" s="6"/>
      <c r="BJ450" s="6"/>
      <c r="BK450" s="6"/>
      <c r="BL450" s="6"/>
      <c r="BM450" s="6"/>
      <c r="BN450" s="6"/>
      <c r="BO450" s="6"/>
      <c r="BP450" s="6"/>
      <c r="BQ450" s="6"/>
      <c r="BR450" s="6"/>
      <c r="BS450" s="6"/>
      <c r="BT450" s="6"/>
      <c r="BU450" s="6"/>
      <c r="BV450" s="6"/>
      <c r="BW450" s="11"/>
      <c r="BX450" s="11"/>
      <c r="BY450" s="11"/>
      <c r="BZ450" s="11"/>
      <c r="CA450" s="11"/>
      <c r="CB450" s="11"/>
      <c r="CC450" s="11"/>
      <c r="CD450" s="11"/>
      <c r="CE450" s="11"/>
      <c r="CF450" s="11"/>
      <c r="CG450" s="11"/>
      <c r="CH450" s="11"/>
      <c r="CI450" s="11"/>
      <c r="CJ450" s="11"/>
      <c r="CK450" s="11"/>
      <c r="CL450" s="11"/>
      <c r="CM450" s="11"/>
      <c r="CN450" s="11"/>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6"/>
      <c r="BA451" s="6"/>
      <c r="BB451" s="6"/>
      <c r="BC451" s="6"/>
      <c r="BD451" s="6"/>
      <c r="BE451" s="6"/>
      <c r="BF451" s="6"/>
      <c r="BG451" s="6"/>
      <c r="BH451" s="6"/>
      <c r="BI451" s="6"/>
      <c r="BJ451" s="6"/>
      <c r="BK451" s="6"/>
      <c r="BL451" s="6"/>
      <c r="BM451" s="6"/>
      <c r="BN451" s="6"/>
      <c r="BO451" s="6"/>
      <c r="BP451" s="6"/>
      <c r="BQ451" s="6"/>
      <c r="BR451" s="6"/>
      <c r="BS451" s="6"/>
      <c r="BT451" s="6"/>
      <c r="BU451" s="6"/>
      <c r="BV451" s="6"/>
      <c r="BW451" s="11"/>
      <c r="BX451" s="11"/>
      <c r="BY451" s="11"/>
      <c r="BZ451" s="11"/>
      <c r="CA451" s="11"/>
      <c r="CB451" s="11"/>
      <c r="CC451" s="11"/>
      <c r="CD451" s="11"/>
      <c r="CE451" s="11"/>
      <c r="CF451" s="11"/>
      <c r="CG451" s="11"/>
      <c r="CH451" s="11"/>
      <c r="CI451" s="11"/>
      <c r="CJ451" s="11"/>
      <c r="CK451" s="11"/>
      <c r="CL451" s="11"/>
      <c r="CM451" s="11"/>
      <c r="CN451" s="11"/>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c r="BA452" s="6"/>
      <c r="BB452" s="6"/>
      <c r="BC452" s="6"/>
      <c r="BD452" s="6"/>
      <c r="BE452" s="6"/>
      <c r="BF452" s="6"/>
      <c r="BG452" s="6"/>
      <c r="BH452" s="6"/>
      <c r="BI452" s="6"/>
      <c r="BJ452" s="6"/>
      <c r="BK452" s="6"/>
      <c r="BL452" s="6"/>
      <c r="BM452" s="6"/>
      <c r="BN452" s="6"/>
      <c r="BO452" s="6"/>
      <c r="BP452" s="6"/>
      <c r="BQ452" s="6"/>
      <c r="BR452" s="6"/>
      <c r="BS452" s="6"/>
      <c r="BT452" s="6"/>
      <c r="BU452" s="6"/>
      <c r="BV452" s="6"/>
      <c r="BW452" s="11"/>
      <c r="BX452" s="11"/>
      <c r="BY452" s="11"/>
      <c r="BZ452" s="11"/>
      <c r="CA452" s="11"/>
      <c r="CB452" s="11"/>
      <c r="CC452" s="11"/>
      <c r="CD452" s="11"/>
      <c r="CE452" s="11"/>
      <c r="CF452" s="11"/>
      <c r="CG452" s="11"/>
      <c r="CH452" s="11"/>
      <c r="CI452" s="11"/>
      <c r="CJ452" s="11"/>
      <c r="CK452" s="11"/>
      <c r="CL452" s="11"/>
      <c r="CM452" s="11"/>
      <c r="CN452" s="11"/>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6"/>
      <c r="BA453" s="6"/>
      <c r="BB453" s="6"/>
      <c r="BC453" s="6"/>
      <c r="BD453" s="6"/>
      <c r="BE453" s="6"/>
      <c r="BF453" s="6"/>
      <c r="BG453" s="6"/>
      <c r="BH453" s="6"/>
      <c r="BI453" s="6"/>
      <c r="BJ453" s="6"/>
      <c r="BK453" s="6"/>
      <c r="BL453" s="6"/>
      <c r="BM453" s="6"/>
      <c r="BN453" s="6"/>
      <c r="BO453" s="6"/>
      <c r="BP453" s="6"/>
      <c r="BQ453" s="6"/>
      <c r="BR453" s="6"/>
      <c r="BS453" s="6"/>
      <c r="BT453" s="6"/>
      <c r="BU453" s="6"/>
      <c r="BV453" s="6"/>
      <c r="BW453" s="11"/>
      <c r="BX453" s="11"/>
      <c r="BY453" s="11"/>
      <c r="BZ453" s="11"/>
      <c r="CA453" s="11"/>
      <c r="CB453" s="11"/>
      <c r="CC453" s="11"/>
      <c r="CD453" s="11"/>
      <c r="CE453" s="11"/>
      <c r="CF453" s="11"/>
      <c r="CG453" s="11"/>
      <c r="CH453" s="11"/>
      <c r="CI453" s="11"/>
      <c r="CJ453" s="11"/>
      <c r="CK453" s="11"/>
      <c r="CL453" s="11"/>
      <c r="CM453" s="11"/>
      <c r="CN453" s="11"/>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11"/>
      <c r="BX454" s="11"/>
      <c r="BY454" s="11"/>
      <c r="BZ454" s="11"/>
      <c r="CA454" s="11"/>
      <c r="CB454" s="11"/>
      <c r="CC454" s="11"/>
      <c r="CD454" s="11"/>
      <c r="CE454" s="11"/>
      <c r="CF454" s="11"/>
      <c r="CG454" s="11"/>
      <c r="CH454" s="11"/>
      <c r="CI454" s="11"/>
      <c r="CJ454" s="11"/>
      <c r="CK454" s="11"/>
      <c r="CL454" s="11"/>
      <c r="CM454" s="11"/>
      <c r="CN454" s="11"/>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6"/>
      <c r="BA455" s="6"/>
      <c r="BB455" s="6"/>
      <c r="BC455" s="6"/>
      <c r="BD455" s="6"/>
      <c r="BE455" s="6"/>
      <c r="BF455" s="6"/>
      <c r="BG455" s="6"/>
      <c r="BH455" s="6"/>
      <c r="BI455" s="6"/>
      <c r="BJ455" s="6"/>
      <c r="BK455" s="6"/>
      <c r="BL455" s="6"/>
      <c r="BM455" s="6"/>
      <c r="BN455" s="6"/>
      <c r="BO455" s="6"/>
      <c r="BP455" s="6"/>
      <c r="BQ455" s="6"/>
      <c r="BR455" s="6"/>
      <c r="BS455" s="6"/>
      <c r="BT455" s="6"/>
      <c r="BU455" s="6"/>
      <c r="BV455" s="6"/>
      <c r="BW455" s="11"/>
      <c r="BX455" s="11"/>
      <c r="BY455" s="11"/>
      <c r="BZ455" s="11"/>
      <c r="CA455" s="11"/>
      <c r="CB455" s="11"/>
      <c r="CC455" s="11"/>
      <c r="CD455" s="11"/>
      <c r="CE455" s="11"/>
      <c r="CF455" s="11"/>
      <c r="CG455" s="11"/>
      <c r="CH455" s="11"/>
      <c r="CI455" s="11"/>
      <c r="CJ455" s="11"/>
      <c r="CK455" s="11"/>
      <c r="CL455" s="11"/>
      <c r="CM455" s="11"/>
      <c r="CN455" s="11"/>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c r="BA456" s="6"/>
      <c r="BB456" s="6"/>
      <c r="BC456" s="6"/>
      <c r="BD456" s="6"/>
      <c r="BE456" s="6"/>
      <c r="BF456" s="6"/>
      <c r="BG456" s="6"/>
      <c r="BH456" s="6"/>
      <c r="BI456" s="6"/>
      <c r="BJ456" s="6"/>
      <c r="BK456" s="6"/>
      <c r="BL456" s="6"/>
      <c r="BM456" s="6"/>
      <c r="BN456" s="6"/>
      <c r="BO456" s="6"/>
      <c r="BP456" s="6"/>
      <c r="BQ456" s="6"/>
      <c r="BR456" s="6"/>
      <c r="BS456" s="6"/>
      <c r="BT456" s="6"/>
      <c r="BU456" s="6"/>
      <c r="BV456" s="6"/>
      <c r="BW456" s="11"/>
      <c r="BX456" s="11"/>
      <c r="BY456" s="11"/>
      <c r="BZ456" s="11"/>
      <c r="CA456" s="11"/>
      <c r="CB456" s="11"/>
      <c r="CC456" s="11"/>
      <c r="CD456" s="11"/>
      <c r="CE456" s="11"/>
      <c r="CF456" s="11"/>
      <c r="CG456" s="11"/>
      <c r="CH456" s="11"/>
      <c r="CI456" s="11"/>
      <c r="CJ456" s="11"/>
      <c r="CK456" s="11"/>
      <c r="CL456" s="11"/>
      <c r="CM456" s="11"/>
      <c r="CN456" s="11"/>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6"/>
      <c r="BA457" s="6"/>
      <c r="BB457" s="6"/>
      <c r="BC457" s="6"/>
      <c r="BD457" s="6"/>
      <c r="BE457" s="6"/>
      <c r="BF457" s="6"/>
      <c r="BG457" s="6"/>
      <c r="BH457" s="6"/>
      <c r="BI457" s="6"/>
      <c r="BJ457" s="6"/>
      <c r="BK457" s="6"/>
      <c r="BL457" s="6"/>
      <c r="BM457" s="6"/>
      <c r="BN457" s="6"/>
      <c r="BO457" s="6"/>
      <c r="BP457" s="6"/>
      <c r="BQ457" s="6"/>
      <c r="BR457" s="6"/>
      <c r="BS457" s="6"/>
      <c r="BT457" s="6"/>
      <c r="BU457" s="6"/>
      <c r="BV457" s="6"/>
      <c r="BW457" s="11"/>
      <c r="BX457" s="11"/>
      <c r="BY457" s="11"/>
      <c r="BZ457" s="11"/>
      <c r="CA457" s="11"/>
      <c r="CB457" s="11"/>
      <c r="CC457" s="11"/>
      <c r="CD457" s="11"/>
      <c r="CE457" s="11"/>
      <c r="CF457" s="11"/>
      <c r="CG457" s="11"/>
      <c r="CH457" s="11"/>
      <c r="CI457" s="11"/>
      <c r="CJ457" s="11"/>
      <c r="CK457" s="11"/>
      <c r="CL457" s="11"/>
      <c r="CM457" s="11"/>
      <c r="CN457" s="11"/>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c r="BA458" s="6"/>
      <c r="BB458" s="6"/>
      <c r="BC458" s="6"/>
      <c r="BD458" s="6"/>
      <c r="BE458" s="6"/>
      <c r="BF458" s="6"/>
      <c r="BG458" s="6"/>
      <c r="BH458" s="6"/>
      <c r="BI458" s="6"/>
      <c r="BJ458" s="6"/>
      <c r="BK458" s="6"/>
      <c r="BL458" s="6"/>
      <c r="BM458" s="6"/>
      <c r="BN458" s="6"/>
      <c r="BO458" s="6"/>
      <c r="BP458" s="6"/>
      <c r="BQ458" s="6"/>
      <c r="BR458" s="6"/>
      <c r="BS458" s="6"/>
      <c r="BT458" s="6"/>
      <c r="BU458" s="6"/>
      <c r="BV458" s="6"/>
      <c r="BW458" s="11"/>
      <c r="BX458" s="11"/>
      <c r="BY458" s="11"/>
      <c r="BZ458" s="11"/>
      <c r="CA458" s="11"/>
      <c r="CB458" s="11"/>
      <c r="CC458" s="11"/>
      <c r="CD458" s="11"/>
      <c r="CE458" s="11"/>
      <c r="CF458" s="11"/>
      <c r="CG458" s="11"/>
      <c r="CH458" s="11"/>
      <c r="CI458" s="11"/>
      <c r="CJ458" s="11"/>
      <c r="CK458" s="11"/>
      <c r="CL458" s="11"/>
      <c r="CM458" s="11"/>
      <c r="CN458" s="11"/>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11"/>
      <c r="BX459" s="11"/>
      <c r="BY459" s="11"/>
      <c r="BZ459" s="11"/>
      <c r="CA459" s="11"/>
      <c r="CB459" s="11"/>
      <c r="CC459" s="11"/>
      <c r="CD459" s="11"/>
      <c r="CE459" s="11"/>
      <c r="CF459" s="11"/>
      <c r="CG459" s="11"/>
      <c r="CH459" s="11"/>
      <c r="CI459" s="11"/>
      <c r="CJ459" s="11"/>
      <c r="CK459" s="11"/>
      <c r="CL459" s="11"/>
      <c r="CM459" s="11"/>
      <c r="CN459" s="11"/>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11"/>
      <c r="BX460" s="11"/>
      <c r="BY460" s="11"/>
      <c r="BZ460" s="11"/>
      <c r="CA460" s="11"/>
      <c r="CB460" s="11"/>
      <c r="CC460" s="11"/>
      <c r="CD460" s="11"/>
      <c r="CE460" s="11"/>
      <c r="CF460" s="11"/>
      <c r="CG460" s="11"/>
      <c r="CH460" s="11"/>
      <c r="CI460" s="11"/>
      <c r="CJ460" s="11"/>
      <c r="CK460" s="11"/>
      <c r="CL460" s="11"/>
      <c r="CM460" s="11"/>
      <c r="CN460" s="11"/>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c r="AO461" s="6"/>
      <c r="AP461" s="6"/>
      <c r="AQ461" s="6"/>
      <c r="AR461" s="6"/>
      <c r="AS461" s="6"/>
      <c r="AT461" s="6"/>
      <c r="AU461" s="6"/>
      <c r="AV461" s="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11"/>
      <c r="BX461" s="11"/>
      <c r="BY461" s="11"/>
      <c r="BZ461" s="11"/>
      <c r="CA461" s="11"/>
      <c r="CB461" s="11"/>
      <c r="CC461" s="11"/>
      <c r="CD461" s="11"/>
      <c r="CE461" s="11"/>
      <c r="CF461" s="11"/>
      <c r="CG461" s="11"/>
      <c r="CH461" s="11"/>
      <c r="CI461" s="11"/>
      <c r="CJ461" s="11"/>
      <c r="CK461" s="11"/>
      <c r="CL461" s="11"/>
      <c r="CM461" s="11"/>
      <c r="CN461" s="11"/>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11"/>
      <c r="BX462" s="11"/>
      <c r="BY462" s="11"/>
      <c r="BZ462" s="11"/>
      <c r="CA462" s="11"/>
      <c r="CB462" s="11"/>
      <c r="CC462" s="11"/>
      <c r="CD462" s="11"/>
      <c r="CE462" s="11"/>
      <c r="CF462" s="11"/>
      <c r="CG462" s="11"/>
      <c r="CH462" s="11"/>
      <c r="CI462" s="11"/>
      <c r="CJ462" s="11"/>
      <c r="CK462" s="11"/>
      <c r="CL462" s="11"/>
      <c r="CM462" s="11"/>
      <c r="CN462" s="11"/>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c r="AO463" s="6"/>
      <c r="AP463" s="6"/>
      <c r="AQ463" s="6"/>
      <c r="AR463" s="6"/>
      <c r="AS463" s="6"/>
      <c r="AT463" s="6"/>
      <c r="AU463" s="6"/>
      <c r="AV463" s="6"/>
      <c r="AW463" s="6"/>
      <c r="AX463" s="6"/>
      <c r="AY463" s="6"/>
      <c r="AZ463" s="6"/>
      <c r="BA463" s="6"/>
      <c r="BB463" s="6"/>
      <c r="BC463" s="6"/>
      <c r="BD463" s="6"/>
      <c r="BE463" s="6"/>
      <c r="BF463" s="6"/>
      <c r="BG463" s="6"/>
      <c r="BH463" s="6"/>
      <c r="BI463" s="6"/>
      <c r="BJ463" s="6"/>
      <c r="BK463" s="6"/>
      <c r="BL463" s="6"/>
      <c r="BM463" s="6"/>
      <c r="BN463" s="6"/>
      <c r="BO463" s="6"/>
      <c r="BP463" s="6"/>
      <c r="BQ463" s="6"/>
      <c r="BR463" s="6"/>
      <c r="BS463" s="6"/>
      <c r="BT463" s="6"/>
      <c r="BU463" s="6"/>
      <c r="BV463" s="6"/>
      <c r="BW463" s="11"/>
      <c r="BX463" s="11"/>
      <c r="BY463" s="11"/>
      <c r="BZ463" s="11"/>
      <c r="CA463" s="11"/>
      <c r="CB463" s="11"/>
      <c r="CC463" s="11"/>
      <c r="CD463" s="11"/>
      <c r="CE463" s="11"/>
      <c r="CF463" s="11"/>
      <c r="CG463" s="11"/>
      <c r="CH463" s="11"/>
      <c r="CI463" s="11"/>
      <c r="CJ463" s="11"/>
      <c r="CK463" s="11"/>
      <c r="CL463" s="11"/>
      <c r="CM463" s="11"/>
      <c r="CN463" s="11"/>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11"/>
      <c r="BX464" s="11"/>
      <c r="BY464" s="11"/>
      <c r="BZ464" s="11"/>
      <c r="CA464" s="11"/>
      <c r="CB464" s="11"/>
      <c r="CC464" s="11"/>
      <c r="CD464" s="11"/>
      <c r="CE464" s="11"/>
      <c r="CF464" s="11"/>
      <c r="CG464" s="11"/>
      <c r="CH464" s="11"/>
      <c r="CI464" s="11"/>
      <c r="CJ464" s="11"/>
      <c r="CK464" s="11"/>
      <c r="CL464" s="11"/>
      <c r="CM464" s="11"/>
      <c r="CN464" s="11"/>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c r="AO465" s="6"/>
      <c r="AP465" s="6"/>
      <c r="AQ465" s="6"/>
      <c r="AR465" s="6"/>
      <c r="AS465" s="6"/>
      <c r="AT465" s="6"/>
      <c r="AU465" s="6"/>
      <c r="AV465" s="6"/>
      <c r="AW465" s="6"/>
      <c r="AX465" s="6"/>
      <c r="AY465" s="6"/>
      <c r="AZ465" s="6"/>
      <c r="BA465" s="6"/>
      <c r="BB465" s="6"/>
      <c r="BC465" s="6"/>
      <c r="BD465" s="6"/>
      <c r="BE465" s="6"/>
      <c r="BF465" s="6"/>
      <c r="BG465" s="6"/>
      <c r="BH465" s="6"/>
      <c r="BI465" s="6"/>
      <c r="BJ465" s="6"/>
      <c r="BK465" s="6"/>
      <c r="BL465" s="6"/>
      <c r="BM465" s="6"/>
      <c r="BN465" s="6"/>
      <c r="BO465" s="6"/>
      <c r="BP465" s="6"/>
      <c r="BQ465" s="6"/>
      <c r="BR465" s="6"/>
      <c r="BS465" s="6"/>
      <c r="BT465" s="6"/>
      <c r="BU465" s="6"/>
      <c r="BV465" s="6"/>
      <c r="BW465" s="11"/>
      <c r="BX465" s="11"/>
      <c r="BY465" s="11"/>
      <c r="BZ465" s="11"/>
      <c r="CA465" s="11"/>
      <c r="CB465" s="11"/>
      <c r="CC465" s="11"/>
      <c r="CD465" s="11"/>
      <c r="CE465" s="11"/>
      <c r="CF465" s="11"/>
      <c r="CG465" s="11"/>
      <c r="CH465" s="11"/>
      <c r="CI465" s="11"/>
      <c r="CJ465" s="11"/>
      <c r="CK465" s="11"/>
      <c r="CL465" s="11"/>
      <c r="CM465" s="11"/>
      <c r="CN465" s="11"/>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c r="BA466" s="6"/>
      <c r="BB466" s="6"/>
      <c r="BC466" s="6"/>
      <c r="BD466" s="6"/>
      <c r="BE466" s="6"/>
      <c r="BF466" s="6"/>
      <c r="BG466" s="6"/>
      <c r="BH466" s="6"/>
      <c r="BI466" s="6"/>
      <c r="BJ466" s="6"/>
      <c r="BK466" s="6"/>
      <c r="BL466" s="6"/>
      <c r="BM466" s="6"/>
      <c r="BN466" s="6"/>
      <c r="BO466" s="6"/>
      <c r="BP466" s="6"/>
      <c r="BQ466" s="6"/>
      <c r="BR466" s="6"/>
      <c r="BS466" s="6"/>
      <c r="BT466" s="6"/>
      <c r="BU466" s="6"/>
      <c r="BV466" s="6"/>
      <c r="BW466" s="11"/>
      <c r="BX466" s="11"/>
      <c r="BY466" s="11"/>
      <c r="BZ466" s="11"/>
      <c r="CA466" s="11"/>
      <c r="CB466" s="11"/>
      <c r="CC466" s="11"/>
      <c r="CD466" s="11"/>
      <c r="CE466" s="11"/>
      <c r="CF466" s="11"/>
      <c r="CG466" s="11"/>
      <c r="CH466" s="11"/>
      <c r="CI466" s="11"/>
      <c r="CJ466" s="11"/>
      <c r="CK466" s="11"/>
      <c r="CL466" s="11"/>
      <c r="CM466" s="11"/>
      <c r="CN466" s="11"/>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c r="AO467" s="6"/>
      <c r="AP467" s="6"/>
      <c r="AQ467" s="6"/>
      <c r="AR467" s="6"/>
      <c r="AS467" s="6"/>
      <c r="AT467" s="6"/>
      <c r="AU467" s="6"/>
      <c r="AV467" s="6"/>
      <c r="AW467" s="6"/>
      <c r="AX467" s="6"/>
      <c r="AY467" s="6"/>
      <c r="AZ467" s="6"/>
      <c r="BA467" s="6"/>
      <c r="BB467" s="6"/>
      <c r="BC467" s="6"/>
      <c r="BD467" s="6"/>
      <c r="BE467" s="6"/>
      <c r="BF467" s="6"/>
      <c r="BG467" s="6"/>
      <c r="BH467" s="6"/>
      <c r="BI467" s="6"/>
      <c r="BJ467" s="6"/>
      <c r="BK467" s="6"/>
      <c r="BL467" s="6"/>
      <c r="BM467" s="6"/>
      <c r="BN467" s="6"/>
      <c r="BO467" s="6"/>
      <c r="BP467" s="6"/>
      <c r="BQ467" s="6"/>
      <c r="BR467" s="6"/>
      <c r="BS467" s="6"/>
      <c r="BT467" s="6"/>
      <c r="BU467" s="6"/>
      <c r="BV467" s="6"/>
      <c r="BW467" s="11"/>
      <c r="BX467" s="11"/>
      <c r="BY467" s="11"/>
      <c r="BZ467" s="11"/>
      <c r="CA467" s="11"/>
      <c r="CB467" s="11"/>
      <c r="CC467" s="11"/>
      <c r="CD467" s="11"/>
      <c r="CE467" s="11"/>
      <c r="CF467" s="11"/>
      <c r="CG467" s="11"/>
      <c r="CH467" s="11"/>
      <c r="CI467" s="11"/>
      <c r="CJ467" s="11"/>
      <c r="CK467" s="11"/>
      <c r="CL467" s="11"/>
      <c r="CM467" s="11"/>
      <c r="CN467" s="11"/>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c r="BA468" s="6"/>
      <c r="BB468" s="6"/>
      <c r="BC468" s="6"/>
      <c r="BD468" s="6"/>
      <c r="BE468" s="6"/>
      <c r="BF468" s="6"/>
      <c r="BG468" s="6"/>
      <c r="BH468" s="6"/>
      <c r="BI468" s="6"/>
      <c r="BJ468" s="6"/>
      <c r="BK468" s="6"/>
      <c r="BL468" s="6"/>
      <c r="BM468" s="6"/>
      <c r="BN468" s="6"/>
      <c r="BO468" s="6"/>
      <c r="BP468" s="6"/>
      <c r="BQ468" s="6"/>
      <c r="BR468" s="6"/>
      <c r="BS468" s="6"/>
      <c r="BT468" s="6"/>
      <c r="BU468" s="6"/>
      <c r="BV468" s="6"/>
      <c r="BW468" s="11"/>
      <c r="BX468" s="11"/>
      <c r="BY468" s="11"/>
      <c r="BZ468" s="11"/>
      <c r="CA468" s="11"/>
      <c r="CB468" s="11"/>
      <c r="CC468" s="11"/>
      <c r="CD468" s="11"/>
      <c r="CE468" s="11"/>
      <c r="CF468" s="11"/>
      <c r="CG468" s="11"/>
      <c r="CH468" s="11"/>
      <c r="CI468" s="11"/>
      <c r="CJ468" s="11"/>
      <c r="CK468" s="11"/>
      <c r="CL468" s="11"/>
      <c r="CM468" s="11"/>
      <c r="CN468" s="11"/>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c r="AO469" s="6"/>
      <c r="AP469" s="6"/>
      <c r="AQ469" s="6"/>
      <c r="AR469" s="6"/>
      <c r="AS469" s="6"/>
      <c r="AT469" s="6"/>
      <c r="AU469" s="6"/>
      <c r="AV469" s="6"/>
      <c r="AW469" s="6"/>
      <c r="AX469" s="6"/>
      <c r="AY469" s="6"/>
      <c r="AZ469" s="6"/>
      <c r="BA469" s="6"/>
      <c r="BB469" s="6"/>
      <c r="BC469" s="6"/>
      <c r="BD469" s="6"/>
      <c r="BE469" s="6"/>
      <c r="BF469" s="6"/>
      <c r="BG469" s="6"/>
      <c r="BH469" s="6"/>
      <c r="BI469" s="6"/>
      <c r="BJ469" s="6"/>
      <c r="BK469" s="6"/>
      <c r="BL469" s="6"/>
      <c r="BM469" s="6"/>
      <c r="BN469" s="6"/>
      <c r="BO469" s="6"/>
      <c r="BP469" s="6"/>
      <c r="BQ469" s="6"/>
      <c r="BR469" s="6"/>
      <c r="BS469" s="6"/>
      <c r="BT469" s="6"/>
      <c r="BU469" s="6"/>
      <c r="BV469" s="6"/>
      <c r="BW469" s="11"/>
      <c r="BX469" s="11"/>
      <c r="BY469" s="11"/>
      <c r="BZ469" s="11"/>
      <c r="CA469" s="11"/>
      <c r="CB469" s="11"/>
      <c r="CC469" s="11"/>
      <c r="CD469" s="11"/>
      <c r="CE469" s="11"/>
      <c r="CF469" s="11"/>
      <c r="CG469" s="11"/>
      <c r="CH469" s="11"/>
      <c r="CI469" s="11"/>
      <c r="CJ469" s="11"/>
      <c r="CK469" s="11"/>
      <c r="CL469" s="11"/>
      <c r="CM469" s="11"/>
      <c r="CN469" s="11"/>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c r="BA470" s="6"/>
      <c r="BB470" s="6"/>
      <c r="BC470" s="6"/>
      <c r="BD470" s="6"/>
      <c r="BE470" s="6"/>
      <c r="BF470" s="6"/>
      <c r="BG470" s="6"/>
      <c r="BH470" s="6"/>
      <c r="BI470" s="6"/>
      <c r="BJ470" s="6"/>
      <c r="BK470" s="6"/>
      <c r="BL470" s="6"/>
      <c r="BM470" s="6"/>
      <c r="BN470" s="6"/>
      <c r="BO470" s="6"/>
      <c r="BP470" s="6"/>
      <c r="BQ470" s="6"/>
      <c r="BR470" s="6"/>
      <c r="BS470" s="6"/>
      <c r="BT470" s="6"/>
      <c r="BU470" s="6"/>
      <c r="BV470" s="6"/>
      <c r="BW470" s="11"/>
      <c r="BX470" s="11"/>
      <c r="BY470" s="11"/>
      <c r="BZ470" s="11"/>
      <c r="CA470" s="11"/>
      <c r="CB470" s="11"/>
      <c r="CC470" s="11"/>
      <c r="CD470" s="11"/>
      <c r="CE470" s="11"/>
      <c r="CF470" s="11"/>
      <c r="CG470" s="11"/>
      <c r="CH470" s="11"/>
      <c r="CI470" s="11"/>
      <c r="CJ470" s="11"/>
      <c r="CK470" s="11"/>
      <c r="CL470" s="11"/>
      <c r="CM470" s="11"/>
      <c r="CN470" s="11"/>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c r="AO471" s="6"/>
      <c r="AP471" s="6"/>
      <c r="AQ471" s="6"/>
      <c r="AR471" s="6"/>
      <c r="AS471" s="6"/>
      <c r="AT471" s="6"/>
      <c r="AU471" s="6"/>
      <c r="AV471" s="6"/>
      <c r="AW471" s="6"/>
      <c r="AX471" s="6"/>
      <c r="AY471" s="6"/>
      <c r="AZ471" s="6"/>
      <c r="BA471" s="6"/>
      <c r="BB471" s="6"/>
      <c r="BC471" s="6"/>
      <c r="BD471" s="6"/>
      <c r="BE471" s="6"/>
      <c r="BF471" s="6"/>
      <c r="BG471" s="6"/>
      <c r="BH471" s="6"/>
      <c r="BI471" s="6"/>
      <c r="BJ471" s="6"/>
      <c r="BK471" s="6"/>
      <c r="BL471" s="6"/>
      <c r="BM471" s="6"/>
      <c r="BN471" s="6"/>
      <c r="BO471" s="6"/>
      <c r="BP471" s="6"/>
      <c r="BQ471" s="6"/>
      <c r="BR471" s="6"/>
      <c r="BS471" s="6"/>
      <c r="BT471" s="6"/>
      <c r="BU471" s="6"/>
      <c r="BV471" s="6"/>
      <c r="BW471" s="11"/>
      <c r="BX471" s="11"/>
      <c r="BY471" s="11"/>
      <c r="BZ471" s="11"/>
      <c r="CA471" s="11"/>
      <c r="CB471" s="11"/>
      <c r="CC471" s="11"/>
      <c r="CD471" s="11"/>
      <c r="CE471" s="11"/>
      <c r="CF471" s="11"/>
      <c r="CG471" s="11"/>
      <c r="CH471" s="11"/>
      <c r="CI471" s="11"/>
      <c r="CJ471" s="11"/>
      <c r="CK471" s="11"/>
      <c r="CL471" s="11"/>
      <c r="CM471" s="11"/>
      <c r="CN471" s="11"/>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c r="BA472" s="6"/>
      <c r="BB472" s="6"/>
      <c r="BC472" s="6"/>
      <c r="BD472" s="6"/>
      <c r="BE472" s="6"/>
      <c r="BF472" s="6"/>
      <c r="BG472" s="6"/>
      <c r="BH472" s="6"/>
      <c r="BI472" s="6"/>
      <c r="BJ472" s="6"/>
      <c r="BK472" s="6"/>
      <c r="BL472" s="6"/>
      <c r="BM472" s="6"/>
      <c r="BN472" s="6"/>
      <c r="BO472" s="6"/>
      <c r="BP472" s="6"/>
      <c r="BQ472" s="6"/>
      <c r="BR472" s="6"/>
      <c r="BS472" s="6"/>
      <c r="BT472" s="6"/>
      <c r="BU472" s="6"/>
      <c r="BV472" s="6"/>
      <c r="BW472" s="11"/>
      <c r="BX472" s="11"/>
      <c r="BY472" s="11"/>
      <c r="BZ472" s="11"/>
      <c r="CA472" s="11"/>
      <c r="CB472" s="11"/>
      <c r="CC472" s="11"/>
      <c r="CD472" s="11"/>
      <c r="CE472" s="11"/>
      <c r="CF472" s="11"/>
      <c r="CG472" s="11"/>
      <c r="CH472" s="11"/>
      <c r="CI472" s="11"/>
      <c r="CJ472" s="11"/>
      <c r="CK472" s="11"/>
      <c r="CL472" s="11"/>
      <c r="CM472" s="11"/>
      <c r="CN472" s="11"/>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c r="AO473" s="6"/>
      <c r="AP473" s="6"/>
      <c r="AQ473" s="6"/>
      <c r="AR473" s="6"/>
      <c r="AS473" s="6"/>
      <c r="AT473" s="6"/>
      <c r="AU473" s="6"/>
      <c r="AV473" s="6"/>
      <c r="AW473" s="6"/>
      <c r="AX473" s="6"/>
      <c r="AY473" s="6"/>
      <c r="AZ473" s="6"/>
      <c r="BA473" s="6"/>
      <c r="BB473" s="6"/>
      <c r="BC473" s="6"/>
      <c r="BD473" s="6"/>
      <c r="BE473" s="6"/>
      <c r="BF473" s="6"/>
      <c r="BG473" s="6"/>
      <c r="BH473" s="6"/>
      <c r="BI473" s="6"/>
      <c r="BJ473" s="6"/>
      <c r="BK473" s="6"/>
      <c r="BL473" s="6"/>
      <c r="BM473" s="6"/>
      <c r="BN473" s="6"/>
      <c r="BO473" s="6"/>
      <c r="BP473" s="6"/>
      <c r="BQ473" s="6"/>
      <c r="BR473" s="6"/>
      <c r="BS473" s="6"/>
      <c r="BT473" s="6"/>
      <c r="BU473" s="6"/>
      <c r="BV473" s="6"/>
      <c r="BW473" s="11"/>
      <c r="BX473" s="11"/>
      <c r="BY473" s="11"/>
      <c r="BZ473" s="11"/>
      <c r="CA473" s="11"/>
      <c r="CB473" s="11"/>
      <c r="CC473" s="11"/>
      <c r="CD473" s="11"/>
      <c r="CE473" s="11"/>
      <c r="CF473" s="11"/>
      <c r="CG473" s="11"/>
      <c r="CH473" s="11"/>
      <c r="CI473" s="11"/>
      <c r="CJ473" s="11"/>
      <c r="CK473" s="11"/>
      <c r="CL473" s="11"/>
      <c r="CM473" s="11"/>
      <c r="CN473" s="11"/>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c r="BA474" s="6"/>
      <c r="BB474" s="6"/>
      <c r="BC474" s="6"/>
      <c r="BD474" s="6"/>
      <c r="BE474" s="6"/>
      <c r="BF474" s="6"/>
      <c r="BG474" s="6"/>
      <c r="BH474" s="6"/>
      <c r="BI474" s="6"/>
      <c r="BJ474" s="6"/>
      <c r="BK474" s="6"/>
      <c r="BL474" s="6"/>
      <c r="BM474" s="6"/>
      <c r="BN474" s="6"/>
      <c r="BO474" s="6"/>
      <c r="BP474" s="6"/>
      <c r="BQ474" s="6"/>
      <c r="BR474" s="6"/>
      <c r="BS474" s="6"/>
      <c r="BT474" s="6"/>
      <c r="BU474" s="6"/>
      <c r="BV474" s="6"/>
      <c r="BW474" s="11"/>
      <c r="BX474" s="11"/>
      <c r="BY474" s="11"/>
      <c r="BZ474" s="11"/>
      <c r="CA474" s="11"/>
      <c r="CB474" s="11"/>
      <c r="CC474" s="11"/>
      <c r="CD474" s="11"/>
      <c r="CE474" s="11"/>
      <c r="CF474" s="11"/>
      <c r="CG474" s="11"/>
      <c r="CH474" s="11"/>
      <c r="CI474" s="11"/>
      <c r="CJ474" s="11"/>
      <c r="CK474" s="11"/>
      <c r="CL474" s="11"/>
      <c r="CM474" s="11"/>
      <c r="CN474" s="11"/>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c r="BC475" s="6"/>
      <c r="BD475" s="6"/>
      <c r="BE475" s="6"/>
      <c r="BF475" s="6"/>
      <c r="BG475" s="6"/>
      <c r="BH475" s="6"/>
      <c r="BI475" s="6"/>
      <c r="BJ475" s="6"/>
      <c r="BK475" s="6"/>
      <c r="BL475" s="6"/>
      <c r="BM475" s="6"/>
      <c r="BN475" s="6"/>
      <c r="BO475" s="6"/>
      <c r="BP475" s="6"/>
      <c r="BQ475" s="6"/>
      <c r="BR475" s="6"/>
      <c r="BS475" s="6"/>
      <c r="BT475" s="6"/>
      <c r="BU475" s="6"/>
      <c r="BV475" s="6"/>
      <c r="BW475" s="11"/>
      <c r="BX475" s="11"/>
      <c r="BY475" s="11"/>
      <c r="BZ475" s="11"/>
      <c r="CA475" s="11"/>
      <c r="CB475" s="11"/>
      <c r="CC475" s="11"/>
      <c r="CD475" s="11"/>
      <c r="CE475" s="11"/>
      <c r="CF475" s="11"/>
      <c r="CG475" s="11"/>
      <c r="CH475" s="11"/>
      <c r="CI475" s="11"/>
      <c r="CJ475" s="11"/>
      <c r="CK475" s="11"/>
      <c r="CL475" s="11"/>
      <c r="CM475" s="11"/>
      <c r="CN475" s="11"/>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c r="BA476" s="6"/>
      <c r="BB476" s="6"/>
      <c r="BC476" s="6"/>
      <c r="BD476" s="6"/>
      <c r="BE476" s="6"/>
      <c r="BF476" s="6"/>
      <c r="BG476" s="6"/>
      <c r="BH476" s="6"/>
      <c r="BI476" s="6"/>
      <c r="BJ476" s="6"/>
      <c r="BK476" s="6"/>
      <c r="BL476" s="6"/>
      <c r="BM476" s="6"/>
      <c r="BN476" s="6"/>
      <c r="BO476" s="6"/>
      <c r="BP476" s="6"/>
      <c r="BQ476" s="6"/>
      <c r="BR476" s="6"/>
      <c r="BS476" s="6"/>
      <c r="BT476" s="6"/>
      <c r="BU476" s="6"/>
      <c r="BV476" s="6"/>
      <c r="BW476" s="11"/>
      <c r="BX476" s="11"/>
      <c r="BY476" s="11"/>
      <c r="BZ476" s="11"/>
      <c r="CA476" s="11"/>
      <c r="CB476" s="11"/>
      <c r="CC476" s="11"/>
      <c r="CD476" s="11"/>
      <c r="CE476" s="11"/>
      <c r="CF476" s="11"/>
      <c r="CG476" s="11"/>
      <c r="CH476" s="11"/>
      <c r="CI476" s="11"/>
      <c r="CJ476" s="11"/>
      <c r="CK476" s="11"/>
      <c r="CL476" s="11"/>
      <c r="CM476" s="11"/>
      <c r="CN476" s="11"/>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c r="AO477" s="6"/>
      <c r="AP477" s="6"/>
      <c r="AQ477" s="6"/>
      <c r="AR477" s="6"/>
      <c r="AS477" s="6"/>
      <c r="AT477" s="6"/>
      <c r="AU477" s="6"/>
      <c r="AV477" s="6"/>
      <c r="AW477" s="6"/>
      <c r="AX477" s="6"/>
      <c r="AY477" s="6"/>
      <c r="AZ477" s="6"/>
      <c r="BA477" s="6"/>
      <c r="BB477" s="6"/>
      <c r="BC477" s="6"/>
      <c r="BD477" s="6"/>
      <c r="BE477" s="6"/>
      <c r="BF477" s="6"/>
      <c r="BG477" s="6"/>
      <c r="BH477" s="6"/>
      <c r="BI477" s="6"/>
      <c r="BJ477" s="6"/>
      <c r="BK477" s="6"/>
      <c r="BL477" s="6"/>
      <c r="BM477" s="6"/>
      <c r="BN477" s="6"/>
      <c r="BO477" s="6"/>
      <c r="BP477" s="6"/>
      <c r="BQ477" s="6"/>
      <c r="BR477" s="6"/>
      <c r="BS477" s="6"/>
      <c r="BT477" s="6"/>
      <c r="BU477" s="6"/>
      <c r="BV477" s="6"/>
      <c r="BW477" s="11"/>
      <c r="BX477" s="11"/>
      <c r="BY477" s="11"/>
      <c r="BZ477" s="11"/>
      <c r="CA477" s="11"/>
      <c r="CB477" s="11"/>
      <c r="CC477" s="11"/>
      <c r="CD477" s="11"/>
      <c r="CE477" s="11"/>
      <c r="CF477" s="11"/>
      <c r="CG477" s="11"/>
      <c r="CH477" s="11"/>
      <c r="CI477" s="11"/>
      <c r="CJ477" s="11"/>
      <c r="CK477" s="11"/>
      <c r="CL477" s="11"/>
      <c r="CM477" s="11"/>
      <c r="CN477" s="11"/>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c r="BA478" s="6"/>
      <c r="BB478" s="6"/>
      <c r="BC478" s="6"/>
      <c r="BD478" s="6"/>
      <c r="BE478" s="6"/>
      <c r="BF478" s="6"/>
      <c r="BG478" s="6"/>
      <c r="BH478" s="6"/>
      <c r="BI478" s="6"/>
      <c r="BJ478" s="6"/>
      <c r="BK478" s="6"/>
      <c r="BL478" s="6"/>
      <c r="BM478" s="6"/>
      <c r="BN478" s="6"/>
      <c r="BO478" s="6"/>
      <c r="BP478" s="6"/>
      <c r="BQ478" s="6"/>
      <c r="BR478" s="6"/>
      <c r="BS478" s="6"/>
      <c r="BT478" s="6"/>
      <c r="BU478" s="6"/>
      <c r="BV478" s="6"/>
      <c r="BW478" s="11"/>
      <c r="BX478" s="11"/>
      <c r="BY478" s="11"/>
      <c r="BZ478" s="11"/>
      <c r="CA478" s="11"/>
      <c r="CB478" s="11"/>
      <c r="CC478" s="11"/>
      <c r="CD478" s="11"/>
      <c r="CE478" s="11"/>
      <c r="CF478" s="11"/>
      <c r="CG478" s="11"/>
      <c r="CH478" s="11"/>
      <c r="CI478" s="11"/>
      <c r="CJ478" s="11"/>
      <c r="CK478" s="11"/>
      <c r="CL478" s="11"/>
      <c r="CM478" s="11"/>
      <c r="CN478" s="11"/>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c r="AO479" s="6"/>
      <c r="AP479" s="6"/>
      <c r="AQ479" s="6"/>
      <c r="AR479" s="6"/>
      <c r="AS479" s="6"/>
      <c r="AT479" s="6"/>
      <c r="AU479" s="6"/>
      <c r="AV479" s="6"/>
      <c r="AW479" s="6"/>
      <c r="AX479" s="6"/>
      <c r="AY479" s="6"/>
      <c r="AZ479" s="6"/>
      <c r="BA479" s="6"/>
      <c r="BB479" s="6"/>
      <c r="BC479" s="6"/>
      <c r="BD479" s="6"/>
      <c r="BE479" s="6"/>
      <c r="BF479" s="6"/>
      <c r="BG479" s="6"/>
      <c r="BH479" s="6"/>
      <c r="BI479" s="6"/>
      <c r="BJ479" s="6"/>
      <c r="BK479" s="6"/>
      <c r="BL479" s="6"/>
      <c r="BM479" s="6"/>
      <c r="BN479" s="6"/>
      <c r="BO479" s="6"/>
      <c r="BP479" s="6"/>
      <c r="BQ479" s="6"/>
      <c r="BR479" s="6"/>
      <c r="BS479" s="6"/>
      <c r="BT479" s="6"/>
      <c r="BU479" s="6"/>
      <c r="BV479" s="6"/>
      <c r="BW479" s="11"/>
      <c r="BX479" s="11"/>
      <c r="BY479" s="11"/>
      <c r="BZ479" s="11"/>
      <c r="CA479" s="11"/>
      <c r="CB479" s="11"/>
      <c r="CC479" s="11"/>
      <c r="CD479" s="11"/>
      <c r="CE479" s="11"/>
      <c r="CF479" s="11"/>
      <c r="CG479" s="11"/>
      <c r="CH479" s="11"/>
      <c r="CI479" s="11"/>
      <c r="CJ479" s="11"/>
      <c r="CK479" s="11"/>
      <c r="CL479" s="11"/>
      <c r="CM479" s="11"/>
      <c r="CN479" s="11"/>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c r="BA480" s="6"/>
      <c r="BB480" s="6"/>
      <c r="BC480" s="6"/>
      <c r="BD480" s="6"/>
      <c r="BE480" s="6"/>
      <c r="BF480" s="6"/>
      <c r="BG480" s="6"/>
      <c r="BH480" s="6"/>
      <c r="BI480" s="6"/>
      <c r="BJ480" s="6"/>
      <c r="BK480" s="6"/>
      <c r="BL480" s="6"/>
      <c r="BM480" s="6"/>
      <c r="BN480" s="6"/>
      <c r="BO480" s="6"/>
      <c r="BP480" s="6"/>
      <c r="BQ480" s="6"/>
      <c r="BR480" s="6"/>
      <c r="BS480" s="6"/>
      <c r="BT480" s="6"/>
      <c r="BU480" s="6"/>
      <c r="BV480" s="6"/>
      <c r="BW480" s="11"/>
      <c r="BX480" s="11"/>
      <c r="BY480" s="11"/>
      <c r="BZ480" s="11"/>
      <c r="CA480" s="11"/>
      <c r="CB480" s="11"/>
      <c r="CC480" s="11"/>
      <c r="CD480" s="11"/>
      <c r="CE480" s="11"/>
      <c r="CF480" s="11"/>
      <c r="CG480" s="11"/>
      <c r="CH480" s="11"/>
      <c r="CI480" s="11"/>
      <c r="CJ480" s="11"/>
      <c r="CK480" s="11"/>
      <c r="CL480" s="11"/>
      <c r="CM480" s="11"/>
      <c r="CN480" s="11"/>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c r="AX481" s="6"/>
      <c r="AY481" s="6"/>
      <c r="AZ481" s="6"/>
      <c r="BA481" s="6"/>
      <c r="BB481" s="6"/>
      <c r="BC481" s="6"/>
      <c r="BD481" s="6"/>
      <c r="BE481" s="6"/>
      <c r="BF481" s="6"/>
      <c r="BG481" s="6"/>
      <c r="BH481" s="6"/>
      <c r="BI481" s="6"/>
      <c r="BJ481" s="6"/>
      <c r="BK481" s="6"/>
      <c r="BL481" s="6"/>
      <c r="BM481" s="6"/>
      <c r="BN481" s="6"/>
      <c r="BO481" s="6"/>
      <c r="BP481" s="6"/>
      <c r="BQ481" s="6"/>
      <c r="BR481" s="6"/>
      <c r="BS481" s="6"/>
      <c r="BT481" s="6"/>
      <c r="BU481" s="6"/>
      <c r="BV481" s="6"/>
      <c r="BW481" s="11"/>
      <c r="BX481" s="11"/>
      <c r="BY481" s="11"/>
      <c r="BZ481" s="11"/>
      <c r="CA481" s="11"/>
      <c r="CB481" s="11"/>
      <c r="CC481" s="11"/>
      <c r="CD481" s="11"/>
      <c r="CE481" s="11"/>
      <c r="CF481" s="11"/>
      <c r="CG481" s="11"/>
      <c r="CH481" s="11"/>
      <c r="CI481" s="11"/>
      <c r="CJ481" s="11"/>
      <c r="CK481" s="11"/>
      <c r="CL481" s="11"/>
      <c r="CM481" s="11"/>
      <c r="CN481" s="11"/>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c r="BA482" s="6"/>
      <c r="BB482" s="6"/>
      <c r="BC482" s="6"/>
      <c r="BD482" s="6"/>
      <c r="BE482" s="6"/>
      <c r="BF482" s="6"/>
      <c r="BG482" s="6"/>
      <c r="BH482" s="6"/>
      <c r="BI482" s="6"/>
      <c r="BJ482" s="6"/>
      <c r="BK482" s="6"/>
      <c r="BL482" s="6"/>
      <c r="BM482" s="6"/>
      <c r="BN482" s="6"/>
      <c r="BO482" s="6"/>
      <c r="BP482" s="6"/>
      <c r="BQ482" s="6"/>
      <c r="BR482" s="6"/>
      <c r="BS482" s="6"/>
      <c r="BT482" s="6"/>
      <c r="BU482" s="6"/>
      <c r="BV482" s="6"/>
      <c r="BW482" s="11"/>
      <c r="BX482" s="11"/>
      <c r="BY482" s="11"/>
      <c r="BZ482" s="11"/>
      <c r="CA482" s="11"/>
      <c r="CB482" s="11"/>
      <c r="CC482" s="11"/>
      <c r="CD482" s="11"/>
      <c r="CE482" s="11"/>
      <c r="CF482" s="11"/>
      <c r="CG482" s="11"/>
      <c r="CH482" s="11"/>
      <c r="CI482" s="11"/>
      <c r="CJ482" s="11"/>
      <c r="CK482" s="11"/>
      <c r="CL482" s="11"/>
      <c r="CM482" s="11"/>
      <c r="CN482" s="11"/>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c r="AX483" s="6"/>
      <c r="AY483" s="6"/>
      <c r="AZ483" s="6"/>
      <c r="BA483" s="6"/>
      <c r="BB483" s="6"/>
      <c r="BC483" s="6"/>
      <c r="BD483" s="6"/>
      <c r="BE483" s="6"/>
      <c r="BF483" s="6"/>
      <c r="BG483" s="6"/>
      <c r="BH483" s="6"/>
      <c r="BI483" s="6"/>
      <c r="BJ483" s="6"/>
      <c r="BK483" s="6"/>
      <c r="BL483" s="6"/>
      <c r="BM483" s="6"/>
      <c r="BN483" s="6"/>
      <c r="BO483" s="6"/>
      <c r="BP483" s="6"/>
      <c r="BQ483" s="6"/>
      <c r="BR483" s="6"/>
      <c r="BS483" s="6"/>
      <c r="BT483" s="6"/>
      <c r="BU483" s="6"/>
      <c r="BV483" s="6"/>
      <c r="BW483" s="11"/>
      <c r="BX483" s="11"/>
      <c r="BY483" s="11"/>
      <c r="BZ483" s="11"/>
      <c r="CA483" s="11"/>
      <c r="CB483" s="11"/>
      <c r="CC483" s="11"/>
      <c r="CD483" s="11"/>
      <c r="CE483" s="11"/>
      <c r="CF483" s="11"/>
      <c r="CG483" s="11"/>
      <c r="CH483" s="11"/>
      <c r="CI483" s="11"/>
      <c r="CJ483" s="11"/>
      <c r="CK483" s="11"/>
      <c r="CL483" s="11"/>
      <c r="CM483" s="11"/>
      <c r="CN483" s="11"/>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11"/>
      <c r="BX484" s="11"/>
      <c r="BY484" s="11"/>
      <c r="BZ484" s="11"/>
      <c r="CA484" s="11"/>
      <c r="CB484" s="11"/>
      <c r="CC484" s="11"/>
      <c r="CD484" s="11"/>
      <c r="CE484" s="11"/>
      <c r="CF484" s="11"/>
      <c r="CG484" s="11"/>
      <c r="CH484" s="11"/>
      <c r="CI484" s="11"/>
      <c r="CJ484" s="11"/>
      <c r="CK484" s="11"/>
      <c r="CL484" s="11"/>
      <c r="CM484" s="11"/>
      <c r="CN484" s="11"/>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c r="AX485" s="6"/>
      <c r="AY485" s="6"/>
      <c r="AZ485" s="6"/>
      <c r="BA485" s="6"/>
      <c r="BB485" s="6"/>
      <c r="BC485" s="6"/>
      <c r="BD485" s="6"/>
      <c r="BE485" s="6"/>
      <c r="BF485" s="6"/>
      <c r="BG485" s="6"/>
      <c r="BH485" s="6"/>
      <c r="BI485" s="6"/>
      <c r="BJ485" s="6"/>
      <c r="BK485" s="6"/>
      <c r="BL485" s="6"/>
      <c r="BM485" s="6"/>
      <c r="BN485" s="6"/>
      <c r="BO485" s="6"/>
      <c r="BP485" s="6"/>
      <c r="BQ485" s="6"/>
      <c r="BR485" s="6"/>
      <c r="BS485" s="6"/>
      <c r="BT485" s="6"/>
      <c r="BU485" s="6"/>
      <c r="BV485" s="6"/>
      <c r="BW485" s="11"/>
      <c r="BX485" s="11"/>
      <c r="BY485" s="11"/>
      <c r="BZ485" s="11"/>
      <c r="CA485" s="11"/>
      <c r="CB485" s="11"/>
      <c r="CC485" s="11"/>
      <c r="CD485" s="11"/>
      <c r="CE485" s="11"/>
      <c r="CF485" s="11"/>
      <c r="CG485" s="11"/>
      <c r="CH485" s="11"/>
      <c r="CI485" s="11"/>
      <c r="CJ485" s="11"/>
      <c r="CK485" s="11"/>
      <c r="CL485" s="11"/>
      <c r="CM485" s="11"/>
      <c r="CN485" s="11"/>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c r="BA486" s="6"/>
      <c r="BB486" s="6"/>
      <c r="BC486" s="6"/>
      <c r="BD486" s="6"/>
      <c r="BE486" s="6"/>
      <c r="BF486" s="6"/>
      <c r="BG486" s="6"/>
      <c r="BH486" s="6"/>
      <c r="BI486" s="6"/>
      <c r="BJ486" s="6"/>
      <c r="BK486" s="6"/>
      <c r="BL486" s="6"/>
      <c r="BM486" s="6"/>
      <c r="BN486" s="6"/>
      <c r="BO486" s="6"/>
      <c r="BP486" s="6"/>
      <c r="BQ486" s="6"/>
      <c r="BR486" s="6"/>
      <c r="BS486" s="6"/>
      <c r="BT486" s="6"/>
      <c r="BU486" s="6"/>
      <c r="BV486" s="6"/>
      <c r="BW486" s="11"/>
      <c r="BX486" s="11"/>
      <c r="BY486" s="11"/>
      <c r="BZ486" s="11"/>
      <c r="CA486" s="11"/>
      <c r="CB486" s="11"/>
      <c r="CC486" s="11"/>
      <c r="CD486" s="11"/>
      <c r="CE486" s="11"/>
      <c r="CF486" s="11"/>
      <c r="CG486" s="11"/>
      <c r="CH486" s="11"/>
      <c r="CI486" s="11"/>
      <c r="CJ486" s="11"/>
      <c r="CK486" s="11"/>
      <c r="CL486" s="11"/>
      <c r="CM486" s="11"/>
      <c r="CN486" s="11"/>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11"/>
      <c r="BX487" s="11"/>
      <c r="BY487" s="11"/>
      <c r="BZ487" s="11"/>
      <c r="CA487" s="11"/>
      <c r="CB487" s="11"/>
      <c r="CC487" s="11"/>
      <c r="CD487" s="11"/>
      <c r="CE487" s="11"/>
      <c r="CF487" s="11"/>
      <c r="CG487" s="11"/>
      <c r="CH487" s="11"/>
      <c r="CI487" s="11"/>
      <c r="CJ487" s="11"/>
      <c r="CK487" s="11"/>
      <c r="CL487" s="11"/>
      <c r="CM487" s="11"/>
      <c r="CN487" s="11"/>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c r="BA488" s="6"/>
      <c r="BB488" s="6"/>
      <c r="BC488" s="6"/>
      <c r="BD488" s="6"/>
      <c r="BE488" s="6"/>
      <c r="BF488" s="6"/>
      <c r="BG488" s="6"/>
      <c r="BH488" s="6"/>
      <c r="BI488" s="6"/>
      <c r="BJ488" s="6"/>
      <c r="BK488" s="6"/>
      <c r="BL488" s="6"/>
      <c r="BM488" s="6"/>
      <c r="BN488" s="6"/>
      <c r="BO488" s="6"/>
      <c r="BP488" s="6"/>
      <c r="BQ488" s="6"/>
      <c r="BR488" s="6"/>
      <c r="BS488" s="6"/>
      <c r="BT488" s="6"/>
      <c r="BU488" s="6"/>
      <c r="BV488" s="6"/>
      <c r="BW488" s="11"/>
      <c r="BX488" s="11"/>
      <c r="BY488" s="11"/>
      <c r="BZ488" s="11"/>
      <c r="CA488" s="11"/>
      <c r="CB488" s="11"/>
      <c r="CC488" s="11"/>
      <c r="CD488" s="11"/>
      <c r="CE488" s="11"/>
      <c r="CF488" s="11"/>
      <c r="CG488" s="11"/>
      <c r="CH488" s="11"/>
      <c r="CI488" s="11"/>
      <c r="CJ488" s="11"/>
      <c r="CK488" s="11"/>
      <c r="CL488" s="11"/>
      <c r="CM488" s="11"/>
      <c r="CN488" s="11"/>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c r="AX489" s="6"/>
      <c r="AY489" s="6"/>
      <c r="AZ489" s="6"/>
      <c r="BA489" s="6"/>
      <c r="BB489" s="6"/>
      <c r="BC489" s="6"/>
      <c r="BD489" s="6"/>
      <c r="BE489" s="6"/>
      <c r="BF489" s="6"/>
      <c r="BG489" s="6"/>
      <c r="BH489" s="6"/>
      <c r="BI489" s="6"/>
      <c r="BJ489" s="6"/>
      <c r="BK489" s="6"/>
      <c r="BL489" s="6"/>
      <c r="BM489" s="6"/>
      <c r="BN489" s="6"/>
      <c r="BO489" s="6"/>
      <c r="BP489" s="6"/>
      <c r="BQ489" s="6"/>
      <c r="BR489" s="6"/>
      <c r="BS489" s="6"/>
      <c r="BT489" s="6"/>
      <c r="BU489" s="6"/>
      <c r="BV489" s="6"/>
      <c r="BW489" s="11"/>
      <c r="BX489" s="11"/>
      <c r="BY489" s="11"/>
      <c r="BZ489" s="11"/>
      <c r="CA489" s="11"/>
      <c r="CB489" s="11"/>
      <c r="CC489" s="11"/>
      <c r="CD489" s="11"/>
      <c r="CE489" s="11"/>
      <c r="CF489" s="11"/>
      <c r="CG489" s="11"/>
      <c r="CH489" s="11"/>
      <c r="CI489" s="11"/>
      <c r="CJ489" s="11"/>
      <c r="CK489" s="11"/>
      <c r="CL489" s="11"/>
      <c r="CM489" s="11"/>
      <c r="CN489" s="11"/>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c r="BA490" s="6"/>
      <c r="BB490" s="6"/>
      <c r="BC490" s="6"/>
      <c r="BD490" s="6"/>
      <c r="BE490" s="6"/>
      <c r="BF490" s="6"/>
      <c r="BG490" s="6"/>
      <c r="BH490" s="6"/>
      <c r="BI490" s="6"/>
      <c r="BJ490" s="6"/>
      <c r="BK490" s="6"/>
      <c r="BL490" s="6"/>
      <c r="BM490" s="6"/>
      <c r="BN490" s="6"/>
      <c r="BO490" s="6"/>
      <c r="BP490" s="6"/>
      <c r="BQ490" s="6"/>
      <c r="BR490" s="6"/>
      <c r="BS490" s="6"/>
      <c r="BT490" s="6"/>
      <c r="BU490" s="6"/>
      <c r="BV490" s="6"/>
      <c r="BW490" s="11"/>
      <c r="BX490" s="11"/>
      <c r="BY490" s="11"/>
      <c r="BZ490" s="11"/>
      <c r="CA490" s="11"/>
      <c r="CB490" s="11"/>
      <c r="CC490" s="11"/>
      <c r="CD490" s="11"/>
      <c r="CE490" s="11"/>
      <c r="CF490" s="11"/>
      <c r="CG490" s="11"/>
      <c r="CH490" s="11"/>
      <c r="CI490" s="11"/>
      <c r="CJ490" s="11"/>
      <c r="CK490" s="11"/>
      <c r="CL490" s="11"/>
      <c r="CM490" s="11"/>
      <c r="CN490" s="11"/>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c r="AX491" s="6"/>
      <c r="AY491" s="6"/>
      <c r="AZ491" s="6"/>
      <c r="BA491" s="6"/>
      <c r="BB491" s="6"/>
      <c r="BC491" s="6"/>
      <c r="BD491" s="6"/>
      <c r="BE491" s="6"/>
      <c r="BF491" s="6"/>
      <c r="BG491" s="6"/>
      <c r="BH491" s="6"/>
      <c r="BI491" s="6"/>
      <c r="BJ491" s="6"/>
      <c r="BK491" s="6"/>
      <c r="BL491" s="6"/>
      <c r="BM491" s="6"/>
      <c r="BN491" s="6"/>
      <c r="BO491" s="6"/>
      <c r="BP491" s="6"/>
      <c r="BQ491" s="6"/>
      <c r="BR491" s="6"/>
      <c r="BS491" s="6"/>
      <c r="BT491" s="6"/>
      <c r="BU491" s="6"/>
      <c r="BV491" s="6"/>
      <c r="BW491" s="11"/>
      <c r="BX491" s="11"/>
      <c r="BY491" s="11"/>
      <c r="BZ491" s="11"/>
      <c r="CA491" s="11"/>
      <c r="CB491" s="11"/>
      <c r="CC491" s="11"/>
      <c r="CD491" s="11"/>
      <c r="CE491" s="11"/>
      <c r="CF491" s="11"/>
      <c r="CG491" s="11"/>
      <c r="CH491" s="11"/>
      <c r="CI491" s="11"/>
      <c r="CJ491" s="11"/>
      <c r="CK491" s="11"/>
      <c r="CL491" s="11"/>
      <c r="CM491" s="11"/>
      <c r="CN491" s="11"/>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c r="BA492" s="6"/>
      <c r="BB492" s="6"/>
      <c r="BC492" s="6"/>
      <c r="BD492" s="6"/>
      <c r="BE492" s="6"/>
      <c r="BF492" s="6"/>
      <c r="BG492" s="6"/>
      <c r="BH492" s="6"/>
      <c r="BI492" s="6"/>
      <c r="BJ492" s="6"/>
      <c r="BK492" s="6"/>
      <c r="BL492" s="6"/>
      <c r="BM492" s="6"/>
      <c r="BN492" s="6"/>
      <c r="BO492" s="6"/>
      <c r="BP492" s="6"/>
      <c r="BQ492" s="6"/>
      <c r="BR492" s="6"/>
      <c r="BS492" s="6"/>
      <c r="BT492" s="6"/>
      <c r="BU492" s="6"/>
      <c r="BV492" s="6"/>
      <c r="BW492" s="11"/>
      <c r="BX492" s="11"/>
      <c r="BY492" s="11"/>
      <c r="BZ492" s="11"/>
      <c r="CA492" s="11"/>
      <c r="CB492" s="11"/>
      <c r="CC492" s="11"/>
      <c r="CD492" s="11"/>
      <c r="CE492" s="11"/>
      <c r="CF492" s="11"/>
      <c r="CG492" s="11"/>
      <c r="CH492" s="11"/>
      <c r="CI492" s="11"/>
      <c r="CJ492" s="11"/>
      <c r="CK492" s="11"/>
      <c r="CL492" s="11"/>
      <c r="CM492" s="11"/>
      <c r="CN492" s="11"/>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c r="AX493" s="6"/>
      <c r="AY493" s="6"/>
      <c r="AZ493" s="6"/>
      <c r="BA493" s="6"/>
      <c r="BB493" s="6"/>
      <c r="BC493" s="6"/>
      <c r="BD493" s="6"/>
      <c r="BE493" s="6"/>
      <c r="BF493" s="6"/>
      <c r="BG493" s="6"/>
      <c r="BH493" s="6"/>
      <c r="BI493" s="6"/>
      <c r="BJ493" s="6"/>
      <c r="BK493" s="6"/>
      <c r="BL493" s="6"/>
      <c r="BM493" s="6"/>
      <c r="BN493" s="6"/>
      <c r="BO493" s="6"/>
      <c r="BP493" s="6"/>
      <c r="BQ493" s="6"/>
      <c r="BR493" s="6"/>
      <c r="BS493" s="6"/>
      <c r="BT493" s="6"/>
      <c r="BU493" s="6"/>
      <c r="BV493" s="6"/>
      <c r="BW493" s="11"/>
      <c r="BX493" s="11"/>
      <c r="BY493" s="11"/>
      <c r="BZ493" s="11"/>
      <c r="CA493" s="11"/>
      <c r="CB493" s="11"/>
      <c r="CC493" s="11"/>
      <c r="CD493" s="11"/>
      <c r="CE493" s="11"/>
      <c r="CF493" s="11"/>
      <c r="CG493" s="11"/>
      <c r="CH493" s="11"/>
      <c r="CI493" s="11"/>
      <c r="CJ493" s="11"/>
      <c r="CK493" s="11"/>
      <c r="CL493" s="11"/>
      <c r="CM493" s="11"/>
      <c r="CN493" s="11"/>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c r="BA494" s="6"/>
      <c r="BB494" s="6"/>
      <c r="BC494" s="6"/>
      <c r="BD494" s="6"/>
      <c r="BE494" s="6"/>
      <c r="BF494" s="6"/>
      <c r="BG494" s="6"/>
      <c r="BH494" s="6"/>
      <c r="BI494" s="6"/>
      <c r="BJ494" s="6"/>
      <c r="BK494" s="6"/>
      <c r="BL494" s="6"/>
      <c r="BM494" s="6"/>
      <c r="BN494" s="6"/>
      <c r="BO494" s="6"/>
      <c r="BP494" s="6"/>
      <c r="BQ494" s="6"/>
      <c r="BR494" s="6"/>
      <c r="BS494" s="6"/>
      <c r="BT494" s="6"/>
      <c r="BU494" s="6"/>
      <c r="BV494" s="6"/>
      <c r="BW494" s="11"/>
      <c r="BX494" s="11"/>
      <c r="BY494" s="11"/>
      <c r="BZ494" s="11"/>
      <c r="CA494" s="11"/>
      <c r="CB494" s="11"/>
      <c r="CC494" s="11"/>
      <c r="CD494" s="11"/>
      <c r="CE494" s="11"/>
      <c r="CF494" s="11"/>
      <c r="CG494" s="11"/>
      <c r="CH494" s="11"/>
      <c r="CI494" s="11"/>
      <c r="CJ494" s="11"/>
      <c r="CK494" s="11"/>
      <c r="CL494" s="11"/>
      <c r="CM494" s="11"/>
      <c r="CN494" s="11"/>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c r="AX495" s="6"/>
      <c r="AY495" s="6"/>
      <c r="AZ495" s="6"/>
      <c r="BA495" s="6"/>
      <c r="BB495" s="6"/>
      <c r="BC495" s="6"/>
      <c r="BD495" s="6"/>
      <c r="BE495" s="6"/>
      <c r="BF495" s="6"/>
      <c r="BG495" s="6"/>
      <c r="BH495" s="6"/>
      <c r="BI495" s="6"/>
      <c r="BJ495" s="6"/>
      <c r="BK495" s="6"/>
      <c r="BL495" s="6"/>
      <c r="BM495" s="6"/>
      <c r="BN495" s="6"/>
      <c r="BO495" s="6"/>
      <c r="BP495" s="6"/>
      <c r="BQ495" s="6"/>
      <c r="BR495" s="6"/>
      <c r="BS495" s="6"/>
      <c r="BT495" s="6"/>
      <c r="BU495" s="6"/>
      <c r="BV495" s="6"/>
      <c r="BW495" s="11"/>
      <c r="BX495" s="11"/>
      <c r="BY495" s="11"/>
      <c r="BZ495" s="11"/>
      <c r="CA495" s="11"/>
      <c r="CB495" s="11"/>
      <c r="CC495" s="11"/>
      <c r="CD495" s="11"/>
      <c r="CE495" s="11"/>
      <c r="CF495" s="11"/>
      <c r="CG495" s="11"/>
      <c r="CH495" s="11"/>
      <c r="CI495" s="11"/>
      <c r="CJ495" s="11"/>
      <c r="CK495" s="11"/>
      <c r="CL495" s="11"/>
      <c r="CM495" s="11"/>
      <c r="CN495" s="11"/>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c r="BA496" s="6"/>
      <c r="BB496" s="6"/>
      <c r="BC496" s="6"/>
      <c r="BD496" s="6"/>
      <c r="BE496" s="6"/>
      <c r="BF496" s="6"/>
      <c r="BG496" s="6"/>
      <c r="BH496" s="6"/>
      <c r="BI496" s="6"/>
      <c r="BJ496" s="6"/>
      <c r="BK496" s="6"/>
      <c r="BL496" s="6"/>
      <c r="BM496" s="6"/>
      <c r="BN496" s="6"/>
      <c r="BO496" s="6"/>
      <c r="BP496" s="6"/>
      <c r="BQ496" s="6"/>
      <c r="BR496" s="6"/>
      <c r="BS496" s="6"/>
      <c r="BT496" s="6"/>
      <c r="BU496" s="6"/>
      <c r="BV496" s="6"/>
      <c r="BW496" s="11"/>
      <c r="BX496" s="11"/>
      <c r="BY496" s="11"/>
      <c r="BZ496" s="11"/>
      <c r="CA496" s="11"/>
      <c r="CB496" s="11"/>
      <c r="CC496" s="11"/>
      <c r="CD496" s="11"/>
      <c r="CE496" s="11"/>
      <c r="CF496" s="11"/>
      <c r="CG496" s="11"/>
      <c r="CH496" s="11"/>
      <c r="CI496" s="11"/>
      <c r="CJ496" s="11"/>
      <c r="CK496" s="11"/>
      <c r="CL496" s="11"/>
      <c r="CM496" s="11"/>
      <c r="CN496" s="11"/>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c r="AX497" s="6"/>
      <c r="AY497" s="6"/>
      <c r="AZ497" s="6"/>
      <c r="BA497" s="6"/>
      <c r="BB497" s="6"/>
      <c r="BC497" s="6"/>
      <c r="BD497" s="6"/>
      <c r="BE497" s="6"/>
      <c r="BF497" s="6"/>
      <c r="BG497" s="6"/>
      <c r="BH497" s="6"/>
      <c r="BI497" s="6"/>
      <c r="BJ497" s="6"/>
      <c r="BK497" s="6"/>
      <c r="BL497" s="6"/>
      <c r="BM497" s="6"/>
      <c r="BN497" s="6"/>
      <c r="BO497" s="6"/>
      <c r="BP497" s="6"/>
      <c r="BQ497" s="6"/>
      <c r="BR497" s="6"/>
      <c r="BS497" s="6"/>
      <c r="BT497" s="6"/>
      <c r="BU497" s="6"/>
      <c r="BV497" s="6"/>
      <c r="BW497" s="11"/>
      <c r="BX497" s="11"/>
      <c r="BY497" s="11"/>
      <c r="BZ497" s="11"/>
      <c r="CA497" s="11"/>
      <c r="CB497" s="11"/>
      <c r="CC497" s="11"/>
      <c r="CD497" s="11"/>
      <c r="CE497" s="11"/>
      <c r="CF497" s="11"/>
      <c r="CG497" s="11"/>
      <c r="CH497" s="11"/>
      <c r="CI497" s="11"/>
      <c r="CJ497" s="11"/>
      <c r="CK497" s="11"/>
      <c r="CL497" s="11"/>
      <c r="CM497" s="11"/>
      <c r="CN497" s="11"/>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c r="BA498" s="6"/>
      <c r="BB498" s="6"/>
      <c r="BC498" s="6"/>
      <c r="BD498" s="6"/>
      <c r="BE498" s="6"/>
      <c r="BF498" s="6"/>
      <c r="BG498" s="6"/>
      <c r="BH498" s="6"/>
      <c r="BI498" s="6"/>
      <c r="BJ498" s="6"/>
      <c r="BK498" s="6"/>
      <c r="BL498" s="6"/>
      <c r="BM498" s="6"/>
      <c r="BN498" s="6"/>
      <c r="BO498" s="6"/>
      <c r="BP498" s="6"/>
      <c r="BQ498" s="6"/>
      <c r="BR498" s="6"/>
      <c r="BS498" s="6"/>
      <c r="BT498" s="6"/>
      <c r="BU498" s="6"/>
      <c r="BV498" s="6"/>
      <c r="BW498" s="11"/>
      <c r="BX498" s="11"/>
      <c r="BY498" s="11"/>
      <c r="BZ498" s="11"/>
      <c r="CA498" s="11"/>
      <c r="CB498" s="11"/>
      <c r="CC498" s="11"/>
      <c r="CD498" s="11"/>
      <c r="CE498" s="11"/>
      <c r="CF498" s="11"/>
      <c r="CG498" s="11"/>
      <c r="CH498" s="11"/>
      <c r="CI498" s="11"/>
      <c r="CJ498" s="11"/>
      <c r="CK498" s="11"/>
      <c r="CL498" s="11"/>
      <c r="CM498" s="11"/>
      <c r="CN498" s="11"/>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c r="AX499" s="6"/>
      <c r="AY499" s="6"/>
      <c r="AZ499" s="6"/>
      <c r="BA499" s="6"/>
      <c r="BB499" s="6"/>
      <c r="BC499" s="6"/>
      <c r="BD499" s="6"/>
      <c r="BE499" s="6"/>
      <c r="BF499" s="6"/>
      <c r="BG499" s="6"/>
      <c r="BH499" s="6"/>
      <c r="BI499" s="6"/>
      <c r="BJ499" s="6"/>
      <c r="BK499" s="6"/>
      <c r="BL499" s="6"/>
      <c r="BM499" s="6"/>
      <c r="BN499" s="6"/>
      <c r="BO499" s="6"/>
      <c r="BP499" s="6"/>
      <c r="BQ499" s="6"/>
      <c r="BR499" s="6"/>
      <c r="BS499" s="6"/>
      <c r="BT499" s="6"/>
      <c r="BU499" s="6"/>
      <c r="BV499" s="6"/>
      <c r="BW499" s="11"/>
      <c r="BX499" s="11"/>
      <c r="BY499" s="11"/>
      <c r="BZ499" s="11"/>
      <c r="CA499" s="11"/>
      <c r="CB499" s="11"/>
      <c r="CC499" s="11"/>
      <c r="CD499" s="11"/>
      <c r="CE499" s="11"/>
      <c r="CF499" s="11"/>
      <c r="CG499" s="11"/>
      <c r="CH499" s="11"/>
      <c r="CI499" s="11"/>
      <c r="CJ499" s="11"/>
      <c r="CK499" s="11"/>
      <c r="CL499" s="11"/>
      <c r="CM499" s="11"/>
      <c r="CN499" s="11"/>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c r="BA500" s="6"/>
      <c r="BB500" s="6"/>
      <c r="BC500" s="6"/>
      <c r="BD500" s="6"/>
      <c r="BE500" s="6"/>
      <c r="BF500" s="6"/>
      <c r="BG500" s="6"/>
      <c r="BH500" s="6"/>
      <c r="BI500" s="6"/>
      <c r="BJ500" s="6"/>
      <c r="BK500" s="6"/>
      <c r="BL500" s="6"/>
      <c r="BM500" s="6"/>
      <c r="BN500" s="6"/>
      <c r="BO500" s="6"/>
      <c r="BP500" s="6"/>
      <c r="BQ500" s="6"/>
      <c r="BR500" s="6"/>
      <c r="BS500" s="6"/>
      <c r="BT500" s="6"/>
      <c r="BU500" s="6"/>
      <c r="BV500" s="6"/>
      <c r="BW500" s="11"/>
      <c r="BX500" s="11"/>
      <c r="BY500" s="11"/>
      <c r="BZ500" s="11"/>
      <c r="CA500" s="11"/>
      <c r="CB500" s="11"/>
      <c r="CC500" s="11"/>
      <c r="CD500" s="11"/>
      <c r="CE500" s="11"/>
      <c r="CF500" s="11"/>
      <c r="CG500" s="11"/>
      <c r="CH500" s="11"/>
      <c r="CI500" s="11"/>
      <c r="CJ500" s="11"/>
      <c r="CK500" s="11"/>
      <c r="CL500" s="11"/>
      <c r="CM500" s="11"/>
      <c r="CN500" s="11"/>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c r="AX501" s="6"/>
      <c r="AY501" s="6"/>
      <c r="AZ501" s="6"/>
      <c r="BA501" s="6"/>
      <c r="BB501" s="6"/>
      <c r="BC501" s="6"/>
      <c r="BD501" s="6"/>
      <c r="BE501" s="6"/>
      <c r="BF501" s="6"/>
      <c r="BG501" s="6"/>
      <c r="BH501" s="6"/>
      <c r="BI501" s="6"/>
      <c r="BJ501" s="6"/>
      <c r="BK501" s="6"/>
      <c r="BL501" s="6"/>
      <c r="BM501" s="6"/>
      <c r="BN501" s="6"/>
      <c r="BO501" s="6"/>
      <c r="BP501" s="6"/>
      <c r="BQ501" s="6"/>
      <c r="BR501" s="6"/>
      <c r="BS501" s="6"/>
      <c r="BT501" s="6"/>
      <c r="BU501" s="6"/>
      <c r="BV501" s="6"/>
      <c r="BW501" s="11"/>
      <c r="BX501" s="11"/>
      <c r="BY501" s="11"/>
      <c r="BZ501" s="11"/>
      <c r="CA501" s="11"/>
      <c r="CB501" s="11"/>
      <c r="CC501" s="11"/>
      <c r="CD501" s="11"/>
      <c r="CE501" s="11"/>
      <c r="CF501" s="11"/>
      <c r="CG501" s="11"/>
      <c r="CH501" s="11"/>
      <c r="CI501" s="11"/>
      <c r="CJ501" s="11"/>
      <c r="CK501" s="11"/>
      <c r="CL501" s="11"/>
      <c r="CM501" s="11"/>
      <c r="CN501" s="11"/>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c r="BA502" s="6"/>
      <c r="BB502" s="6"/>
      <c r="BC502" s="6"/>
      <c r="BD502" s="6"/>
      <c r="BE502" s="6"/>
      <c r="BF502" s="6"/>
      <c r="BG502" s="6"/>
      <c r="BH502" s="6"/>
      <c r="BI502" s="6"/>
      <c r="BJ502" s="6"/>
      <c r="BK502" s="6"/>
      <c r="BL502" s="6"/>
      <c r="BM502" s="6"/>
      <c r="BN502" s="6"/>
      <c r="BO502" s="6"/>
      <c r="BP502" s="6"/>
      <c r="BQ502" s="6"/>
      <c r="BR502" s="6"/>
      <c r="BS502" s="6"/>
      <c r="BT502" s="6"/>
      <c r="BU502" s="6"/>
      <c r="BV502" s="6"/>
      <c r="BW502" s="11"/>
      <c r="BX502" s="11"/>
      <c r="BY502" s="11"/>
      <c r="BZ502" s="11"/>
      <c r="CA502" s="11"/>
      <c r="CB502" s="11"/>
      <c r="CC502" s="11"/>
      <c r="CD502" s="11"/>
      <c r="CE502" s="11"/>
      <c r="CF502" s="11"/>
      <c r="CG502" s="11"/>
      <c r="CH502" s="11"/>
      <c r="CI502" s="11"/>
      <c r="CJ502" s="11"/>
      <c r="CK502" s="11"/>
      <c r="CL502" s="11"/>
      <c r="CM502" s="11"/>
      <c r="CN502" s="11"/>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c r="AX503" s="6"/>
      <c r="AY503" s="6"/>
      <c r="AZ503" s="6"/>
      <c r="BA503" s="6"/>
      <c r="BB503" s="6"/>
      <c r="BC503" s="6"/>
      <c r="BD503" s="6"/>
      <c r="BE503" s="6"/>
      <c r="BF503" s="6"/>
      <c r="BG503" s="6"/>
      <c r="BH503" s="6"/>
      <c r="BI503" s="6"/>
      <c r="BJ503" s="6"/>
      <c r="BK503" s="6"/>
      <c r="BL503" s="6"/>
      <c r="BM503" s="6"/>
      <c r="BN503" s="6"/>
      <c r="BO503" s="6"/>
      <c r="BP503" s="6"/>
      <c r="BQ503" s="6"/>
      <c r="BR503" s="6"/>
      <c r="BS503" s="6"/>
      <c r="BT503" s="6"/>
      <c r="BU503" s="6"/>
      <c r="BV503" s="6"/>
      <c r="BW503" s="11"/>
      <c r="BX503" s="11"/>
      <c r="BY503" s="11"/>
      <c r="BZ503" s="11"/>
      <c r="CA503" s="11"/>
      <c r="CB503" s="11"/>
      <c r="CC503" s="11"/>
      <c r="CD503" s="11"/>
      <c r="CE503" s="11"/>
      <c r="CF503" s="11"/>
      <c r="CG503" s="11"/>
      <c r="CH503" s="11"/>
      <c r="CI503" s="11"/>
      <c r="CJ503" s="11"/>
      <c r="CK503" s="11"/>
      <c r="CL503" s="11"/>
      <c r="CM503" s="11"/>
      <c r="CN503" s="11"/>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c r="BA504" s="6"/>
      <c r="BB504" s="6"/>
      <c r="BC504" s="6"/>
      <c r="BD504" s="6"/>
      <c r="BE504" s="6"/>
      <c r="BF504" s="6"/>
      <c r="BG504" s="6"/>
      <c r="BH504" s="6"/>
      <c r="BI504" s="6"/>
      <c r="BJ504" s="6"/>
      <c r="BK504" s="6"/>
      <c r="BL504" s="6"/>
      <c r="BM504" s="6"/>
      <c r="BN504" s="6"/>
      <c r="BO504" s="6"/>
      <c r="BP504" s="6"/>
      <c r="BQ504" s="6"/>
      <c r="BR504" s="6"/>
      <c r="BS504" s="6"/>
      <c r="BT504" s="6"/>
      <c r="BU504" s="6"/>
      <c r="BV504" s="6"/>
      <c r="BW504" s="11"/>
      <c r="BX504" s="11"/>
      <c r="BY504" s="11"/>
      <c r="BZ504" s="11"/>
      <c r="CA504" s="11"/>
      <c r="CB504" s="11"/>
      <c r="CC504" s="11"/>
      <c r="CD504" s="11"/>
      <c r="CE504" s="11"/>
      <c r="CF504" s="11"/>
      <c r="CG504" s="11"/>
      <c r="CH504" s="11"/>
      <c r="CI504" s="11"/>
      <c r="CJ504" s="11"/>
      <c r="CK504" s="11"/>
      <c r="CL504" s="11"/>
      <c r="CM504" s="11"/>
      <c r="CN504" s="11"/>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c r="AX505" s="6"/>
      <c r="AY505" s="6"/>
      <c r="AZ505" s="6"/>
      <c r="BA505" s="6"/>
      <c r="BB505" s="6"/>
      <c r="BC505" s="6"/>
      <c r="BD505" s="6"/>
      <c r="BE505" s="6"/>
      <c r="BF505" s="6"/>
      <c r="BG505" s="6"/>
      <c r="BH505" s="6"/>
      <c r="BI505" s="6"/>
      <c r="BJ505" s="6"/>
      <c r="BK505" s="6"/>
      <c r="BL505" s="6"/>
      <c r="BM505" s="6"/>
      <c r="BN505" s="6"/>
      <c r="BO505" s="6"/>
      <c r="BP505" s="6"/>
      <c r="BQ505" s="6"/>
      <c r="BR505" s="6"/>
      <c r="BS505" s="6"/>
      <c r="BT505" s="6"/>
      <c r="BU505" s="6"/>
      <c r="BV505" s="6"/>
      <c r="BW505" s="11"/>
      <c r="BX505" s="11"/>
      <c r="BY505" s="11"/>
      <c r="BZ505" s="11"/>
      <c r="CA505" s="11"/>
      <c r="CB505" s="11"/>
      <c r="CC505" s="11"/>
      <c r="CD505" s="11"/>
      <c r="CE505" s="11"/>
      <c r="CF505" s="11"/>
      <c r="CG505" s="11"/>
      <c r="CH505" s="11"/>
      <c r="CI505" s="11"/>
      <c r="CJ505" s="11"/>
      <c r="CK505" s="11"/>
      <c r="CL505" s="11"/>
      <c r="CM505" s="11"/>
      <c r="CN505" s="11"/>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c r="BA506" s="6"/>
      <c r="BB506" s="6"/>
      <c r="BC506" s="6"/>
      <c r="BD506" s="6"/>
      <c r="BE506" s="6"/>
      <c r="BF506" s="6"/>
      <c r="BG506" s="6"/>
      <c r="BH506" s="6"/>
      <c r="BI506" s="6"/>
      <c r="BJ506" s="6"/>
      <c r="BK506" s="6"/>
      <c r="BL506" s="6"/>
      <c r="BM506" s="6"/>
      <c r="BN506" s="6"/>
      <c r="BO506" s="6"/>
      <c r="BP506" s="6"/>
      <c r="BQ506" s="6"/>
      <c r="BR506" s="6"/>
      <c r="BS506" s="6"/>
      <c r="BT506" s="6"/>
      <c r="BU506" s="6"/>
      <c r="BV506" s="6"/>
      <c r="BW506" s="11"/>
      <c r="BX506" s="11"/>
      <c r="BY506" s="11"/>
      <c r="BZ506" s="11"/>
      <c r="CA506" s="11"/>
      <c r="CB506" s="11"/>
      <c r="CC506" s="11"/>
      <c r="CD506" s="11"/>
      <c r="CE506" s="11"/>
      <c r="CF506" s="11"/>
      <c r="CG506" s="11"/>
      <c r="CH506" s="11"/>
      <c r="CI506" s="11"/>
      <c r="CJ506" s="11"/>
      <c r="CK506" s="11"/>
      <c r="CL506" s="11"/>
      <c r="CM506" s="11"/>
      <c r="CN506" s="11"/>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c r="AX507" s="6"/>
      <c r="AY507" s="6"/>
      <c r="AZ507" s="6"/>
      <c r="BA507" s="6"/>
      <c r="BB507" s="6"/>
      <c r="BC507" s="6"/>
      <c r="BD507" s="6"/>
      <c r="BE507" s="6"/>
      <c r="BF507" s="6"/>
      <c r="BG507" s="6"/>
      <c r="BH507" s="6"/>
      <c r="BI507" s="6"/>
      <c r="BJ507" s="6"/>
      <c r="BK507" s="6"/>
      <c r="BL507" s="6"/>
      <c r="BM507" s="6"/>
      <c r="BN507" s="6"/>
      <c r="BO507" s="6"/>
      <c r="BP507" s="6"/>
      <c r="BQ507" s="6"/>
      <c r="BR507" s="6"/>
      <c r="BS507" s="6"/>
      <c r="BT507" s="6"/>
      <c r="BU507" s="6"/>
      <c r="BV507" s="6"/>
      <c r="BW507" s="11"/>
      <c r="BX507" s="11"/>
      <c r="BY507" s="11"/>
      <c r="BZ507" s="11"/>
      <c r="CA507" s="11"/>
      <c r="CB507" s="11"/>
      <c r="CC507" s="11"/>
      <c r="CD507" s="11"/>
      <c r="CE507" s="11"/>
      <c r="CF507" s="11"/>
      <c r="CG507" s="11"/>
      <c r="CH507" s="11"/>
      <c r="CI507" s="11"/>
      <c r="CJ507" s="11"/>
      <c r="CK507" s="11"/>
      <c r="CL507" s="11"/>
      <c r="CM507" s="11"/>
      <c r="CN507" s="11"/>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c r="BA508" s="6"/>
      <c r="BB508" s="6"/>
      <c r="BC508" s="6"/>
      <c r="BD508" s="6"/>
      <c r="BE508" s="6"/>
      <c r="BF508" s="6"/>
      <c r="BG508" s="6"/>
      <c r="BH508" s="6"/>
      <c r="BI508" s="6"/>
      <c r="BJ508" s="6"/>
      <c r="BK508" s="6"/>
      <c r="BL508" s="6"/>
      <c r="BM508" s="6"/>
      <c r="BN508" s="6"/>
      <c r="BO508" s="6"/>
      <c r="BP508" s="6"/>
      <c r="BQ508" s="6"/>
      <c r="BR508" s="6"/>
      <c r="BS508" s="6"/>
      <c r="BT508" s="6"/>
      <c r="BU508" s="6"/>
      <c r="BV508" s="6"/>
      <c r="BW508" s="11"/>
      <c r="BX508" s="11"/>
      <c r="BY508" s="11"/>
      <c r="BZ508" s="11"/>
      <c r="CA508" s="11"/>
      <c r="CB508" s="11"/>
      <c r="CC508" s="11"/>
      <c r="CD508" s="11"/>
      <c r="CE508" s="11"/>
      <c r="CF508" s="11"/>
      <c r="CG508" s="11"/>
      <c r="CH508" s="11"/>
      <c r="CI508" s="11"/>
      <c r="CJ508" s="11"/>
      <c r="CK508" s="11"/>
      <c r="CL508" s="11"/>
      <c r="CM508" s="11"/>
      <c r="CN508" s="11"/>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c r="AX509" s="6"/>
      <c r="AY509" s="6"/>
      <c r="AZ509" s="6"/>
      <c r="BA509" s="6"/>
      <c r="BB509" s="6"/>
      <c r="BC509" s="6"/>
      <c r="BD509" s="6"/>
      <c r="BE509" s="6"/>
      <c r="BF509" s="6"/>
      <c r="BG509" s="6"/>
      <c r="BH509" s="6"/>
      <c r="BI509" s="6"/>
      <c r="BJ509" s="6"/>
      <c r="BK509" s="6"/>
      <c r="BL509" s="6"/>
      <c r="BM509" s="6"/>
      <c r="BN509" s="6"/>
      <c r="BO509" s="6"/>
      <c r="BP509" s="6"/>
      <c r="BQ509" s="6"/>
      <c r="BR509" s="6"/>
      <c r="BS509" s="6"/>
      <c r="BT509" s="6"/>
      <c r="BU509" s="6"/>
      <c r="BV509" s="6"/>
      <c r="BW509" s="11"/>
      <c r="BX509" s="11"/>
      <c r="BY509" s="11"/>
      <c r="BZ509" s="11"/>
      <c r="CA509" s="11"/>
      <c r="CB509" s="11"/>
      <c r="CC509" s="11"/>
      <c r="CD509" s="11"/>
      <c r="CE509" s="11"/>
      <c r="CF509" s="11"/>
      <c r="CG509" s="11"/>
      <c r="CH509" s="11"/>
      <c r="CI509" s="11"/>
      <c r="CJ509" s="11"/>
      <c r="CK509" s="11"/>
      <c r="CL509" s="11"/>
      <c r="CM509" s="11"/>
      <c r="CN509" s="11"/>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c r="BA510" s="6"/>
      <c r="BB510" s="6"/>
      <c r="BC510" s="6"/>
      <c r="BD510" s="6"/>
      <c r="BE510" s="6"/>
      <c r="BF510" s="6"/>
      <c r="BG510" s="6"/>
      <c r="BH510" s="6"/>
      <c r="BI510" s="6"/>
      <c r="BJ510" s="6"/>
      <c r="BK510" s="6"/>
      <c r="BL510" s="6"/>
      <c r="BM510" s="6"/>
      <c r="BN510" s="6"/>
      <c r="BO510" s="6"/>
      <c r="BP510" s="6"/>
      <c r="BQ510" s="6"/>
      <c r="BR510" s="6"/>
      <c r="BS510" s="6"/>
      <c r="BT510" s="6"/>
      <c r="BU510" s="6"/>
      <c r="BV510" s="6"/>
      <c r="BW510" s="11"/>
      <c r="BX510" s="11"/>
      <c r="BY510" s="11"/>
      <c r="BZ510" s="11"/>
      <c r="CA510" s="11"/>
      <c r="CB510" s="11"/>
      <c r="CC510" s="11"/>
      <c r="CD510" s="11"/>
      <c r="CE510" s="11"/>
      <c r="CF510" s="11"/>
      <c r="CG510" s="11"/>
      <c r="CH510" s="11"/>
      <c r="CI510" s="11"/>
      <c r="CJ510" s="11"/>
      <c r="CK510" s="11"/>
      <c r="CL510" s="11"/>
      <c r="CM510" s="11"/>
      <c r="CN510" s="11"/>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c r="AX511" s="6"/>
      <c r="AY511" s="6"/>
      <c r="AZ511" s="6"/>
      <c r="BA511" s="6"/>
      <c r="BB511" s="6"/>
      <c r="BC511" s="6"/>
      <c r="BD511" s="6"/>
      <c r="BE511" s="6"/>
      <c r="BF511" s="6"/>
      <c r="BG511" s="6"/>
      <c r="BH511" s="6"/>
      <c r="BI511" s="6"/>
      <c r="BJ511" s="6"/>
      <c r="BK511" s="6"/>
      <c r="BL511" s="6"/>
      <c r="BM511" s="6"/>
      <c r="BN511" s="6"/>
      <c r="BO511" s="6"/>
      <c r="BP511" s="6"/>
      <c r="BQ511" s="6"/>
      <c r="BR511" s="6"/>
      <c r="BS511" s="6"/>
      <c r="BT511" s="6"/>
      <c r="BU511" s="6"/>
      <c r="BV511" s="6"/>
      <c r="BW511" s="11"/>
      <c r="BX511" s="11"/>
      <c r="BY511" s="11"/>
      <c r="BZ511" s="11"/>
      <c r="CA511" s="11"/>
      <c r="CB511" s="11"/>
      <c r="CC511" s="11"/>
      <c r="CD511" s="11"/>
      <c r="CE511" s="11"/>
      <c r="CF511" s="11"/>
      <c r="CG511" s="11"/>
      <c r="CH511" s="11"/>
      <c r="CI511" s="11"/>
      <c r="CJ511" s="11"/>
      <c r="CK511" s="11"/>
      <c r="CL511" s="11"/>
      <c r="CM511" s="11"/>
      <c r="CN511" s="11"/>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c r="BA512" s="6"/>
      <c r="BB512" s="6"/>
      <c r="BC512" s="6"/>
      <c r="BD512" s="6"/>
      <c r="BE512" s="6"/>
      <c r="BF512" s="6"/>
      <c r="BG512" s="6"/>
      <c r="BH512" s="6"/>
      <c r="BI512" s="6"/>
      <c r="BJ512" s="6"/>
      <c r="BK512" s="6"/>
      <c r="BL512" s="6"/>
      <c r="BM512" s="6"/>
      <c r="BN512" s="6"/>
      <c r="BO512" s="6"/>
      <c r="BP512" s="6"/>
      <c r="BQ512" s="6"/>
      <c r="BR512" s="6"/>
      <c r="BS512" s="6"/>
      <c r="BT512" s="6"/>
      <c r="BU512" s="6"/>
      <c r="BV512" s="6"/>
      <c r="BW512" s="11"/>
      <c r="BX512" s="11"/>
      <c r="BY512" s="11"/>
      <c r="BZ512" s="11"/>
      <c r="CA512" s="11"/>
      <c r="CB512" s="11"/>
      <c r="CC512" s="11"/>
      <c r="CD512" s="11"/>
      <c r="CE512" s="11"/>
      <c r="CF512" s="11"/>
      <c r="CG512" s="11"/>
      <c r="CH512" s="11"/>
      <c r="CI512" s="11"/>
      <c r="CJ512" s="11"/>
      <c r="CK512" s="11"/>
      <c r="CL512" s="11"/>
      <c r="CM512" s="11"/>
      <c r="CN512" s="11"/>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c r="AX513" s="6"/>
      <c r="AY513" s="6"/>
      <c r="AZ513" s="6"/>
      <c r="BA513" s="6"/>
      <c r="BB513" s="6"/>
      <c r="BC513" s="6"/>
      <c r="BD513" s="6"/>
      <c r="BE513" s="6"/>
      <c r="BF513" s="6"/>
      <c r="BG513" s="6"/>
      <c r="BH513" s="6"/>
      <c r="BI513" s="6"/>
      <c r="BJ513" s="6"/>
      <c r="BK513" s="6"/>
      <c r="BL513" s="6"/>
      <c r="BM513" s="6"/>
      <c r="BN513" s="6"/>
      <c r="BO513" s="6"/>
      <c r="BP513" s="6"/>
      <c r="BQ513" s="6"/>
      <c r="BR513" s="6"/>
      <c r="BS513" s="6"/>
      <c r="BT513" s="6"/>
      <c r="BU513" s="6"/>
      <c r="BV513" s="6"/>
      <c r="BW513" s="11"/>
      <c r="BX513" s="11"/>
      <c r="BY513" s="11"/>
      <c r="BZ513" s="11"/>
      <c r="CA513" s="11"/>
      <c r="CB513" s="11"/>
      <c r="CC513" s="11"/>
      <c r="CD513" s="11"/>
      <c r="CE513" s="11"/>
      <c r="CF513" s="11"/>
      <c r="CG513" s="11"/>
      <c r="CH513" s="11"/>
      <c r="CI513" s="11"/>
      <c r="CJ513" s="11"/>
      <c r="CK513" s="11"/>
      <c r="CL513" s="11"/>
      <c r="CM513" s="11"/>
      <c r="CN513" s="11"/>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c r="BA514" s="6"/>
      <c r="BB514" s="6"/>
      <c r="BC514" s="6"/>
      <c r="BD514" s="6"/>
      <c r="BE514" s="6"/>
      <c r="BF514" s="6"/>
      <c r="BG514" s="6"/>
      <c r="BH514" s="6"/>
      <c r="BI514" s="6"/>
      <c r="BJ514" s="6"/>
      <c r="BK514" s="6"/>
      <c r="BL514" s="6"/>
      <c r="BM514" s="6"/>
      <c r="BN514" s="6"/>
      <c r="BO514" s="6"/>
      <c r="BP514" s="6"/>
      <c r="BQ514" s="6"/>
      <c r="BR514" s="6"/>
      <c r="BS514" s="6"/>
      <c r="BT514" s="6"/>
      <c r="BU514" s="6"/>
      <c r="BV514" s="6"/>
      <c r="BW514" s="11"/>
      <c r="BX514" s="11"/>
      <c r="BY514" s="11"/>
      <c r="BZ514" s="11"/>
      <c r="CA514" s="11"/>
      <c r="CB514" s="11"/>
      <c r="CC514" s="11"/>
      <c r="CD514" s="11"/>
      <c r="CE514" s="11"/>
      <c r="CF514" s="11"/>
      <c r="CG514" s="11"/>
      <c r="CH514" s="11"/>
      <c r="CI514" s="11"/>
      <c r="CJ514" s="11"/>
      <c r="CK514" s="11"/>
      <c r="CL514" s="11"/>
      <c r="CM514" s="11"/>
      <c r="CN514" s="11"/>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c r="AX515" s="6"/>
      <c r="AY515" s="6"/>
      <c r="AZ515" s="6"/>
      <c r="BA515" s="6"/>
      <c r="BB515" s="6"/>
      <c r="BC515" s="6"/>
      <c r="BD515" s="6"/>
      <c r="BE515" s="6"/>
      <c r="BF515" s="6"/>
      <c r="BG515" s="6"/>
      <c r="BH515" s="6"/>
      <c r="BI515" s="6"/>
      <c r="BJ515" s="6"/>
      <c r="BK515" s="6"/>
      <c r="BL515" s="6"/>
      <c r="BM515" s="6"/>
      <c r="BN515" s="6"/>
      <c r="BO515" s="6"/>
      <c r="BP515" s="6"/>
      <c r="BQ515" s="6"/>
      <c r="BR515" s="6"/>
      <c r="BS515" s="6"/>
      <c r="BT515" s="6"/>
      <c r="BU515" s="6"/>
      <c r="BV515" s="6"/>
      <c r="BW515" s="11"/>
      <c r="BX515" s="11"/>
      <c r="BY515" s="11"/>
      <c r="BZ515" s="11"/>
      <c r="CA515" s="11"/>
      <c r="CB515" s="11"/>
      <c r="CC515" s="11"/>
      <c r="CD515" s="11"/>
      <c r="CE515" s="11"/>
      <c r="CF515" s="11"/>
      <c r="CG515" s="11"/>
      <c r="CH515" s="11"/>
      <c r="CI515" s="11"/>
      <c r="CJ515" s="11"/>
      <c r="CK515" s="11"/>
      <c r="CL515" s="11"/>
      <c r="CM515" s="11"/>
      <c r="CN515" s="11"/>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c r="BA516" s="6"/>
      <c r="BB516" s="6"/>
      <c r="BC516" s="6"/>
      <c r="BD516" s="6"/>
      <c r="BE516" s="6"/>
      <c r="BF516" s="6"/>
      <c r="BG516" s="6"/>
      <c r="BH516" s="6"/>
      <c r="BI516" s="6"/>
      <c r="BJ516" s="6"/>
      <c r="BK516" s="6"/>
      <c r="BL516" s="6"/>
      <c r="BM516" s="6"/>
      <c r="BN516" s="6"/>
      <c r="BO516" s="6"/>
      <c r="BP516" s="6"/>
      <c r="BQ516" s="6"/>
      <c r="BR516" s="6"/>
      <c r="BS516" s="6"/>
      <c r="BT516" s="6"/>
      <c r="BU516" s="6"/>
      <c r="BV516" s="6"/>
      <c r="BW516" s="11"/>
      <c r="BX516" s="11"/>
      <c r="BY516" s="11"/>
      <c r="BZ516" s="11"/>
      <c r="CA516" s="11"/>
      <c r="CB516" s="11"/>
      <c r="CC516" s="11"/>
      <c r="CD516" s="11"/>
      <c r="CE516" s="11"/>
      <c r="CF516" s="11"/>
      <c r="CG516" s="11"/>
      <c r="CH516" s="11"/>
      <c r="CI516" s="11"/>
      <c r="CJ516" s="11"/>
      <c r="CK516" s="11"/>
      <c r="CL516" s="11"/>
      <c r="CM516" s="11"/>
      <c r="CN516" s="11"/>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c r="AX517" s="6"/>
      <c r="AY517" s="6"/>
      <c r="AZ517" s="6"/>
      <c r="BA517" s="6"/>
      <c r="BB517" s="6"/>
      <c r="BC517" s="6"/>
      <c r="BD517" s="6"/>
      <c r="BE517" s="6"/>
      <c r="BF517" s="6"/>
      <c r="BG517" s="6"/>
      <c r="BH517" s="6"/>
      <c r="BI517" s="6"/>
      <c r="BJ517" s="6"/>
      <c r="BK517" s="6"/>
      <c r="BL517" s="6"/>
      <c r="BM517" s="6"/>
      <c r="BN517" s="6"/>
      <c r="BO517" s="6"/>
      <c r="BP517" s="6"/>
      <c r="BQ517" s="6"/>
      <c r="BR517" s="6"/>
      <c r="BS517" s="6"/>
      <c r="BT517" s="6"/>
      <c r="BU517" s="6"/>
      <c r="BV517" s="6"/>
      <c r="BW517" s="11"/>
      <c r="BX517" s="11"/>
      <c r="BY517" s="11"/>
      <c r="BZ517" s="11"/>
      <c r="CA517" s="11"/>
      <c r="CB517" s="11"/>
      <c r="CC517" s="11"/>
      <c r="CD517" s="11"/>
      <c r="CE517" s="11"/>
      <c r="CF517" s="11"/>
      <c r="CG517" s="11"/>
      <c r="CH517" s="11"/>
      <c r="CI517" s="11"/>
      <c r="CJ517" s="11"/>
      <c r="CK517" s="11"/>
      <c r="CL517" s="11"/>
      <c r="CM517" s="11"/>
      <c r="CN517" s="11"/>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c r="BA518" s="6"/>
      <c r="BB518" s="6"/>
      <c r="BC518" s="6"/>
      <c r="BD518" s="6"/>
      <c r="BE518" s="6"/>
      <c r="BF518" s="6"/>
      <c r="BG518" s="6"/>
      <c r="BH518" s="6"/>
      <c r="BI518" s="6"/>
      <c r="BJ518" s="6"/>
      <c r="BK518" s="6"/>
      <c r="BL518" s="6"/>
      <c r="BM518" s="6"/>
      <c r="BN518" s="6"/>
      <c r="BO518" s="6"/>
      <c r="BP518" s="6"/>
      <c r="BQ518" s="6"/>
      <c r="BR518" s="6"/>
      <c r="BS518" s="6"/>
      <c r="BT518" s="6"/>
      <c r="BU518" s="6"/>
      <c r="BV518" s="6"/>
      <c r="BW518" s="11"/>
      <c r="BX518" s="11"/>
      <c r="BY518" s="11"/>
      <c r="BZ518" s="11"/>
      <c r="CA518" s="11"/>
      <c r="CB518" s="11"/>
      <c r="CC518" s="11"/>
      <c r="CD518" s="11"/>
      <c r="CE518" s="11"/>
      <c r="CF518" s="11"/>
      <c r="CG518" s="11"/>
      <c r="CH518" s="11"/>
      <c r="CI518" s="11"/>
      <c r="CJ518" s="11"/>
      <c r="CK518" s="11"/>
      <c r="CL518" s="11"/>
      <c r="CM518" s="11"/>
      <c r="CN518" s="11"/>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c r="AX519" s="6"/>
      <c r="AY519" s="6"/>
      <c r="AZ519" s="6"/>
      <c r="BA519" s="6"/>
      <c r="BB519" s="6"/>
      <c r="BC519" s="6"/>
      <c r="BD519" s="6"/>
      <c r="BE519" s="6"/>
      <c r="BF519" s="6"/>
      <c r="BG519" s="6"/>
      <c r="BH519" s="6"/>
      <c r="BI519" s="6"/>
      <c r="BJ519" s="6"/>
      <c r="BK519" s="6"/>
      <c r="BL519" s="6"/>
      <c r="BM519" s="6"/>
      <c r="BN519" s="6"/>
      <c r="BO519" s="6"/>
      <c r="BP519" s="6"/>
      <c r="BQ519" s="6"/>
      <c r="BR519" s="6"/>
      <c r="BS519" s="6"/>
      <c r="BT519" s="6"/>
      <c r="BU519" s="6"/>
      <c r="BV519" s="6"/>
      <c r="BW519" s="11"/>
      <c r="BX519" s="11"/>
      <c r="BY519" s="11"/>
      <c r="BZ519" s="11"/>
      <c r="CA519" s="11"/>
      <c r="CB519" s="11"/>
      <c r="CC519" s="11"/>
      <c r="CD519" s="11"/>
      <c r="CE519" s="11"/>
      <c r="CF519" s="11"/>
      <c r="CG519" s="11"/>
      <c r="CH519" s="11"/>
      <c r="CI519" s="11"/>
      <c r="CJ519" s="11"/>
      <c r="CK519" s="11"/>
      <c r="CL519" s="11"/>
      <c r="CM519" s="11"/>
      <c r="CN519" s="11"/>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c r="BA520" s="6"/>
      <c r="BB520" s="6"/>
      <c r="BC520" s="6"/>
      <c r="BD520" s="6"/>
      <c r="BE520" s="6"/>
      <c r="BF520" s="6"/>
      <c r="BG520" s="6"/>
      <c r="BH520" s="6"/>
      <c r="BI520" s="6"/>
      <c r="BJ520" s="6"/>
      <c r="BK520" s="6"/>
      <c r="BL520" s="6"/>
      <c r="BM520" s="6"/>
      <c r="BN520" s="6"/>
      <c r="BO520" s="6"/>
      <c r="BP520" s="6"/>
      <c r="BQ520" s="6"/>
      <c r="BR520" s="6"/>
      <c r="BS520" s="6"/>
      <c r="BT520" s="6"/>
      <c r="BU520" s="6"/>
      <c r="BV520" s="6"/>
      <c r="BW520" s="11"/>
      <c r="BX520" s="11"/>
      <c r="BY520" s="11"/>
      <c r="BZ520" s="11"/>
      <c r="CA520" s="11"/>
      <c r="CB520" s="11"/>
      <c r="CC520" s="11"/>
      <c r="CD520" s="11"/>
      <c r="CE520" s="11"/>
      <c r="CF520" s="11"/>
      <c r="CG520" s="11"/>
      <c r="CH520" s="11"/>
      <c r="CI520" s="11"/>
      <c r="CJ520" s="11"/>
      <c r="CK520" s="11"/>
      <c r="CL520" s="11"/>
      <c r="CM520" s="11"/>
      <c r="CN520" s="11"/>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c r="AX521" s="6"/>
      <c r="AY521" s="6"/>
      <c r="AZ521" s="6"/>
      <c r="BA521" s="6"/>
      <c r="BB521" s="6"/>
      <c r="BC521" s="6"/>
      <c r="BD521" s="6"/>
      <c r="BE521" s="6"/>
      <c r="BF521" s="6"/>
      <c r="BG521" s="6"/>
      <c r="BH521" s="6"/>
      <c r="BI521" s="6"/>
      <c r="BJ521" s="6"/>
      <c r="BK521" s="6"/>
      <c r="BL521" s="6"/>
      <c r="BM521" s="6"/>
      <c r="BN521" s="6"/>
      <c r="BO521" s="6"/>
      <c r="BP521" s="6"/>
      <c r="BQ521" s="6"/>
      <c r="BR521" s="6"/>
      <c r="BS521" s="6"/>
      <c r="BT521" s="6"/>
      <c r="BU521" s="6"/>
      <c r="BV521" s="6"/>
      <c r="BW521" s="11"/>
      <c r="BX521" s="11"/>
      <c r="BY521" s="11"/>
      <c r="BZ521" s="11"/>
      <c r="CA521" s="11"/>
      <c r="CB521" s="11"/>
      <c r="CC521" s="11"/>
      <c r="CD521" s="11"/>
      <c r="CE521" s="11"/>
      <c r="CF521" s="11"/>
      <c r="CG521" s="11"/>
      <c r="CH521" s="11"/>
      <c r="CI521" s="11"/>
      <c r="CJ521" s="11"/>
      <c r="CK521" s="11"/>
      <c r="CL521" s="11"/>
      <c r="CM521" s="11"/>
      <c r="CN521" s="11"/>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c r="BA522" s="6"/>
      <c r="BB522" s="6"/>
      <c r="BC522" s="6"/>
      <c r="BD522" s="6"/>
      <c r="BE522" s="6"/>
      <c r="BF522" s="6"/>
      <c r="BG522" s="6"/>
      <c r="BH522" s="6"/>
      <c r="BI522" s="6"/>
      <c r="BJ522" s="6"/>
      <c r="BK522" s="6"/>
      <c r="BL522" s="6"/>
      <c r="BM522" s="6"/>
      <c r="BN522" s="6"/>
      <c r="BO522" s="6"/>
      <c r="BP522" s="6"/>
      <c r="BQ522" s="6"/>
      <c r="BR522" s="6"/>
      <c r="BS522" s="6"/>
      <c r="BT522" s="6"/>
      <c r="BU522" s="6"/>
      <c r="BV522" s="6"/>
      <c r="BW522" s="11"/>
      <c r="BX522" s="11"/>
      <c r="BY522" s="11"/>
      <c r="BZ522" s="11"/>
      <c r="CA522" s="11"/>
      <c r="CB522" s="11"/>
      <c r="CC522" s="11"/>
      <c r="CD522" s="11"/>
      <c r="CE522" s="11"/>
      <c r="CF522" s="11"/>
      <c r="CG522" s="11"/>
      <c r="CH522" s="11"/>
      <c r="CI522" s="11"/>
      <c r="CJ522" s="11"/>
      <c r="CK522" s="11"/>
      <c r="CL522" s="11"/>
      <c r="CM522" s="11"/>
      <c r="CN522" s="11"/>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c r="AX523" s="6"/>
      <c r="AY523" s="6"/>
      <c r="AZ523" s="6"/>
      <c r="BA523" s="6"/>
      <c r="BB523" s="6"/>
      <c r="BC523" s="6"/>
      <c r="BD523" s="6"/>
      <c r="BE523" s="6"/>
      <c r="BF523" s="6"/>
      <c r="BG523" s="6"/>
      <c r="BH523" s="6"/>
      <c r="BI523" s="6"/>
      <c r="BJ523" s="6"/>
      <c r="BK523" s="6"/>
      <c r="BL523" s="6"/>
      <c r="BM523" s="6"/>
      <c r="BN523" s="6"/>
      <c r="BO523" s="6"/>
      <c r="BP523" s="6"/>
      <c r="BQ523" s="6"/>
      <c r="BR523" s="6"/>
      <c r="BS523" s="6"/>
      <c r="BT523" s="6"/>
      <c r="BU523" s="6"/>
      <c r="BV523" s="6"/>
      <c r="BW523" s="11"/>
      <c r="BX523" s="11"/>
      <c r="BY523" s="11"/>
      <c r="BZ523" s="11"/>
      <c r="CA523" s="11"/>
      <c r="CB523" s="11"/>
      <c r="CC523" s="11"/>
      <c r="CD523" s="11"/>
      <c r="CE523" s="11"/>
      <c r="CF523" s="11"/>
      <c r="CG523" s="11"/>
      <c r="CH523" s="11"/>
      <c r="CI523" s="11"/>
      <c r="CJ523" s="11"/>
      <c r="CK523" s="11"/>
      <c r="CL523" s="11"/>
      <c r="CM523" s="11"/>
      <c r="CN523" s="11"/>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c r="BA524" s="6"/>
      <c r="BB524" s="6"/>
      <c r="BC524" s="6"/>
      <c r="BD524" s="6"/>
      <c r="BE524" s="6"/>
      <c r="BF524" s="6"/>
      <c r="BG524" s="6"/>
      <c r="BH524" s="6"/>
      <c r="BI524" s="6"/>
      <c r="BJ524" s="6"/>
      <c r="BK524" s="6"/>
      <c r="BL524" s="6"/>
      <c r="BM524" s="6"/>
      <c r="BN524" s="6"/>
      <c r="BO524" s="6"/>
      <c r="BP524" s="6"/>
      <c r="BQ524" s="6"/>
      <c r="BR524" s="6"/>
      <c r="BS524" s="6"/>
      <c r="BT524" s="6"/>
      <c r="BU524" s="6"/>
      <c r="BV524" s="6"/>
      <c r="BW524" s="11"/>
      <c r="BX524" s="11"/>
      <c r="BY524" s="11"/>
      <c r="BZ524" s="11"/>
      <c r="CA524" s="11"/>
      <c r="CB524" s="11"/>
      <c r="CC524" s="11"/>
      <c r="CD524" s="11"/>
      <c r="CE524" s="11"/>
      <c r="CF524" s="11"/>
      <c r="CG524" s="11"/>
      <c r="CH524" s="11"/>
      <c r="CI524" s="11"/>
      <c r="CJ524" s="11"/>
      <c r="CK524" s="11"/>
      <c r="CL524" s="11"/>
      <c r="CM524" s="11"/>
      <c r="CN524" s="11"/>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c r="AX525" s="6"/>
      <c r="AY525" s="6"/>
      <c r="AZ525" s="6"/>
      <c r="BA525" s="6"/>
      <c r="BB525" s="6"/>
      <c r="BC525" s="6"/>
      <c r="BD525" s="6"/>
      <c r="BE525" s="6"/>
      <c r="BF525" s="6"/>
      <c r="BG525" s="6"/>
      <c r="BH525" s="6"/>
      <c r="BI525" s="6"/>
      <c r="BJ525" s="6"/>
      <c r="BK525" s="6"/>
      <c r="BL525" s="6"/>
      <c r="BM525" s="6"/>
      <c r="BN525" s="6"/>
      <c r="BO525" s="6"/>
      <c r="BP525" s="6"/>
      <c r="BQ525" s="6"/>
      <c r="BR525" s="6"/>
      <c r="BS525" s="6"/>
      <c r="BT525" s="6"/>
      <c r="BU525" s="6"/>
      <c r="BV525" s="6"/>
      <c r="BW525" s="11"/>
      <c r="BX525" s="11"/>
      <c r="BY525" s="11"/>
      <c r="BZ525" s="11"/>
      <c r="CA525" s="11"/>
      <c r="CB525" s="11"/>
      <c r="CC525" s="11"/>
      <c r="CD525" s="11"/>
      <c r="CE525" s="11"/>
      <c r="CF525" s="11"/>
      <c r="CG525" s="11"/>
      <c r="CH525" s="11"/>
      <c r="CI525" s="11"/>
      <c r="CJ525" s="11"/>
      <c r="CK525" s="11"/>
      <c r="CL525" s="11"/>
      <c r="CM525" s="11"/>
      <c r="CN525" s="11"/>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c r="BA526" s="6"/>
      <c r="BB526" s="6"/>
      <c r="BC526" s="6"/>
      <c r="BD526" s="6"/>
      <c r="BE526" s="6"/>
      <c r="BF526" s="6"/>
      <c r="BG526" s="6"/>
      <c r="BH526" s="6"/>
      <c r="BI526" s="6"/>
      <c r="BJ526" s="6"/>
      <c r="BK526" s="6"/>
      <c r="BL526" s="6"/>
      <c r="BM526" s="6"/>
      <c r="BN526" s="6"/>
      <c r="BO526" s="6"/>
      <c r="BP526" s="6"/>
      <c r="BQ526" s="6"/>
      <c r="BR526" s="6"/>
      <c r="BS526" s="6"/>
      <c r="BT526" s="6"/>
      <c r="BU526" s="6"/>
      <c r="BV526" s="6"/>
      <c r="BW526" s="11"/>
      <c r="BX526" s="11"/>
      <c r="BY526" s="11"/>
      <c r="BZ526" s="11"/>
      <c r="CA526" s="11"/>
      <c r="CB526" s="11"/>
      <c r="CC526" s="11"/>
      <c r="CD526" s="11"/>
      <c r="CE526" s="11"/>
      <c r="CF526" s="11"/>
      <c r="CG526" s="11"/>
      <c r="CH526" s="11"/>
      <c r="CI526" s="11"/>
      <c r="CJ526" s="11"/>
      <c r="CK526" s="11"/>
      <c r="CL526" s="11"/>
      <c r="CM526" s="11"/>
      <c r="CN526" s="11"/>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c r="AX527" s="6"/>
      <c r="AY527" s="6"/>
      <c r="AZ527" s="6"/>
      <c r="BA527" s="6"/>
      <c r="BB527" s="6"/>
      <c r="BC527" s="6"/>
      <c r="BD527" s="6"/>
      <c r="BE527" s="6"/>
      <c r="BF527" s="6"/>
      <c r="BG527" s="6"/>
      <c r="BH527" s="6"/>
      <c r="BI527" s="6"/>
      <c r="BJ527" s="6"/>
      <c r="BK527" s="6"/>
      <c r="BL527" s="6"/>
      <c r="BM527" s="6"/>
      <c r="BN527" s="6"/>
      <c r="BO527" s="6"/>
      <c r="BP527" s="6"/>
      <c r="BQ527" s="6"/>
      <c r="BR527" s="6"/>
      <c r="BS527" s="6"/>
      <c r="BT527" s="6"/>
      <c r="BU527" s="6"/>
      <c r="BV527" s="6"/>
      <c r="BW527" s="11"/>
      <c r="BX527" s="11"/>
      <c r="BY527" s="11"/>
      <c r="BZ527" s="11"/>
      <c r="CA527" s="11"/>
      <c r="CB527" s="11"/>
      <c r="CC527" s="11"/>
      <c r="CD527" s="11"/>
      <c r="CE527" s="11"/>
      <c r="CF527" s="11"/>
      <c r="CG527" s="11"/>
      <c r="CH527" s="11"/>
      <c r="CI527" s="11"/>
      <c r="CJ527" s="11"/>
      <c r="CK527" s="11"/>
      <c r="CL527" s="11"/>
      <c r="CM527" s="11"/>
      <c r="CN527" s="11"/>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c r="BA528" s="6"/>
      <c r="BB528" s="6"/>
      <c r="BC528" s="6"/>
      <c r="BD528" s="6"/>
      <c r="BE528" s="6"/>
      <c r="BF528" s="6"/>
      <c r="BG528" s="6"/>
      <c r="BH528" s="6"/>
      <c r="BI528" s="6"/>
      <c r="BJ528" s="6"/>
      <c r="BK528" s="6"/>
      <c r="BL528" s="6"/>
      <c r="BM528" s="6"/>
      <c r="BN528" s="6"/>
      <c r="BO528" s="6"/>
      <c r="BP528" s="6"/>
      <c r="BQ528" s="6"/>
      <c r="BR528" s="6"/>
      <c r="BS528" s="6"/>
      <c r="BT528" s="6"/>
      <c r="BU528" s="6"/>
      <c r="BV528" s="6"/>
      <c r="BW528" s="11"/>
      <c r="BX528" s="11"/>
      <c r="BY528" s="11"/>
      <c r="BZ528" s="11"/>
      <c r="CA528" s="11"/>
      <c r="CB528" s="11"/>
      <c r="CC528" s="11"/>
      <c r="CD528" s="11"/>
      <c r="CE528" s="11"/>
      <c r="CF528" s="11"/>
      <c r="CG528" s="11"/>
      <c r="CH528" s="11"/>
      <c r="CI528" s="11"/>
      <c r="CJ528" s="11"/>
      <c r="CK528" s="11"/>
      <c r="CL528" s="11"/>
      <c r="CM528" s="11"/>
      <c r="CN528" s="11"/>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c r="AX529" s="6"/>
      <c r="AY529" s="6"/>
      <c r="AZ529" s="6"/>
      <c r="BA529" s="6"/>
      <c r="BB529" s="6"/>
      <c r="BC529" s="6"/>
      <c r="BD529" s="6"/>
      <c r="BE529" s="6"/>
      <c r="BF529" s="6"/>
      <c r="BG529" s="6"/>
      <c r="BH529" s="6"/>
      <c r="BI529" s="6"/>
      <c r="BJ529" s="6"/>
      <c r="BK529" s="6"/>
      <c r="BL529" s="6"/>
      <c r="BM529" s="6"/>
      <c r="BN529" s="6"/>
      <c r="BO529" s="6"/>
      <c r="BP529" s="6"/>
      <c r="BQ529" s="6"/>
      <c r="BR529" s="6"/>
      <c r="BS529" s="6"/>
      <c r="BT529" s="6"/>
      <c r="BU529" s="6"/>
      <c r="BV529" s="6"/>
      <c r="BW529" s="11"/>
      <c r="BX529" s="11"/>
      <c r="BY529" s="11"/>
      <c r="BZ529" s="11"/>
      <c r="CA529" s="11"/>
      <c r="CB529" s="11"/>
      <c r="CC529" s="11"/>
      <c r="CD529" s="11"/>
      <c r="CE529" s="11"/>
      <c r="CF529" s="11"/>
      <c r="CG529" s="11"/>
      <c r="CH529" s="11"/>
      <c r="CI529" s="11"/>
      <c r="CJ529" s="11"/>
      <c r="CK529" s="11"/>
      <c r="CL529" s="11"/>
      <c r="CM529" s="11"/>
      <c r="CN529" s="11"/>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c r="BA530" s="6"/>
      <c r="BB530" s="6"/>
      <c r="BC530" s="6"/>
      <c r="BD530" s="6"/>
      <c r="BE530" s="6"/>
      <c r="BF530" s="6"/>
      <c r="BG530" s="6"/>
      <c r="BH530" s="6"/>
      <c r="BI530" s="6"/>
      <c r="BJ530" s="6"/>
      <c r="BK530" s="6"/>
      <c r="BL530" s="6"/>
      <c r="BM530" s="6"/>
      <c r="BN530" s="6"/>
      <c r="BO530" s="6"/>
      <c r="BP530" s="6"/>
      <c r="BQ530" s="6"/>
      <c r="BR530" s="6"/>
      <c r="BS530" s="6"/>
      <c r="BT530" s="6"/>
      <c r="BU530" s="6"/>
      <c r="BV530" s="6"/>
      <c r="BW530" s="11"/>
      <c r="BX530" s="11"/>
      <c r="BY530" s="11"/>
      <c r="BZ530" s="11"/>
      <c r="CA530" s="11"/>
      <c r="CB530" s="11"/>
      <c r="CC530" s="11"/>
      <c r="CD530" s="11"/>
      <c r="CE530" s="11"/>
      <c r="CF530" s="11"/>
      <c r="CG530" s="11"/>
      <c r="CH530" s="11"/>
      <c r="CI530" s="11"/>
      <c r="CJ530" s="11"/>
      <c r="CK530" s="11"/>
      <c r="CL530" s="11"/>
      <c r="CM530" s="11"/>
      <c r="CN530" s="11"/>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11"/>
      <c r="BX531" s="11"/>
      <c r="BY531" s="11"/>
      <c r="BZ531" s="11"/>
      <c r="CA531" s="11"/>
      <c r="CB531" s="11"/>
      <c r="CC531" s="11"/>
      <c r="CD531" s="11"/>
      <c r="CE531" s="11"/>
      <c r="CF531" s="11"/>
      <c r="CG531" s="11"/>
      <c r="CH531" s="11"/>
      <c r="CI531" s="11"/>
      <c r="CJ531" s="11"/>
      <c r="CK531" s="11"/>
      <c r="CL531" s="11"/>
      <c r="CM531" s="11"/>
      <c r="CN531" s="11"/>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c r="BA532" s="6"/>
      <c r="BB532" s="6"/>
      <c r="BC532" s="6"/>
      <c r="BD532" s="6"/>
      <c r="BE532" s="6"/>
      <c r="BF532" s="6"/>
      <c r="BG532" s="6"/>
      <c r="BH532" s="6"/>
      <c r="BI532" s="6"/>
      <c r="BJ532" s="6"/>
      <c r="BK532" s="6"/>
      <c r="BL532" s="6"/>
      <c r="BM532" s="6"/>
      <c r="BN532" s="6"/>
      <c r="BO532" s="6"/>
      <c r="BP532" s="6"/>
      <c r="BQ532" s="6"/>
      <c r="BR532" s="6"/>
      <c r="BS532" s="6"/>
      <c r="BT532" s="6"/>
      <c r="BU532" s="6"/>
      <c r="BV532" s="6"/>
      <c r="BW532" s="11"/>
      <c r="BX532" s="11"/>
      <c r="BY532" s="11"/>
      <c r="BZ532" s="11"/>
      <c r="CA532" s="11"/>
      <c r="CB532" s="11"/>
      <c r="CC532" s="11"/>
      <c r="CD532" s="11"/>
      <c r="CE532" s="11"/>
      <c r="CF532" s="11"/>
      <c r="CG532" s="11"/>
      <c r="CH532" s="11"/>
      <c r="CI532" s="11"/>
      <c r="CJ532" s="11"/>
      <c r="CK532" s="11"/>
      <c r="CL532" s="11"/>
      <c r="CM532" s="11"/>
      <c r="CN532" s="11"/>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11"/>
      <c r="BX533" s="11"/>
      <c r="BY533" s="11"/>
      <c r="BZ533" s="11"/>
      <c r="CA533" s="11"/>
      <c r="CB533" s="11"/>
      <c r="CC533" s="11"/>
      <c r="CD533" s="11"/>
      <c r="CE533" s="11"/>
      <c r="CF533" s="11"/>
      <c r="CG533" s="11"/>
      <c r="CH533" s="11"/>
      <c r="CI533" s="11"/>
      <c r="CJ533" s="11"/>
      <c r="CK533" s="11"/>
      <c r="CL533" s="11"/>
      <c r="CM533" s="11"/>
      <c r="CN533" s="11"/>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c r="BA534" s="6"/>
      <c r="BB534" s="6"/>
      <c r="BC534" s="6"/>
      <c r="BD534" s="6"/>
      <c r="BE534" s="6"/>
      <c r="BF534" s="6"/>
      <c r="BG534" s="6"/>
      <c r="BH534" s="6"/>
      <c r="BI534" s="6"/>
      <c r="BJ534" s="6"/>
      <c r="BK534" s="6"/>
      <c r="BL534" s="6"/>
      <c r="BM534" s="6"/>
      <c r="BN534" s="6"/>
      <c r="BO534" s="6"/>
      <c r="BP534" s="6"/>
      <c r="BQ534" s="6"/>
      <c r="BR534" s="6"/>
      <c r="BS534" s="6"/>
      <c r="BT534" s="6"/>
      <c r="BU534" s="6"/>
      <c r="BV534" s="6"/>
      <c r="BW534" s="11"/>
      <c r="BX534" s="11"/>
      <c r="BY534" s="11"/>
      <c r="BZ534" s="11"/>
      <c r="CA534" s="11"/>
      <c r="CB534" s="11"/>
      <c r="CC534" s="11"/>
      <c r="CD534" s="11"/>
      <c r="CE534" s="11"/>
      <c r="CF534" s="11"/>
      <c r="CG534" s="11"/>
      <c r="CH534" s="11"/>
      <c r="CI534" s="11"/>
      <c r="CJ534" s="11"/>
      <c r="CK534" s="11"/>
      <c r="CL534" s="11"/>
      <c r="CM534" s="11"/>
      <c r="CN534" s="11"/>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c r="AX535" s="6"/>
      <c r="AY535" s="6"/>
      <c r="AZ535" s="6"/>
      <c r="BA535" s="6"/>
      <c r="BB535" s="6"/>
      <c r="BC535" s="6"/>
      <c r="BD535" s="6"/>
      <c r="BE535" s="6"/>
      <c r="BF535" s="6"/>
      <c r="BG535" s="6"/>
      <c r="BH535" s="6"/>
      <c r="BI535" s="6"/>
      <c r="BJ535" s="6"/>
      <c r="BK535" s="6"/>
      <c r="BL535" s="6"/>
      <c r="BM535" s="6"/>
      <c r="BN535" s="6"/>
      <c r="BO535" s="6"/>
      <c r="BP535" s="6"/>
      <c r="BQ535" s="6"/>
      <c r="BR535" s="6"/>
      <c r="BS535" s="6"/>
      <c r="BT535" s="6"/>
      <c r="BU535" s="6"/>
      <c r="BV535" s="6"/>
      <c r="BW535" s="11"/>
      <c r="BX535" s="11"/>
      <c r="BY535" s="11"/>
      <c r="BZ535" s="11"/>
      <c r="CA535" s="11"/>
      <c r="CB535" s="11"/>
      <c r="CC535" s="11"/>
      <c r="CD535" s="11"/>
      <c r="CE535" s="11"/>
      <c r="CF535" s="11"/>
      <c r="CG535" s="11"/>
      <c r="CH535" s="11"/>
      <c r="CI535" s="11"/>
      <c r="CJ535" s="11"/>
      <c r="CK535" s="11"/>
      <c r="CL535" s="11"/>
      <c r="CM535" s="11"/>
      <c r="CN535" s="11"/>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c r="BA536" s="6"/>
      <c r="BB536" s="6"/>
      <c r="BC536" s="6"/>
      <c r="BD536" s="6"/>
      <c r="BE536" s="6"/>
      <c r="BF536" s="6"/>
      <c r="BG536" s="6"/>
      <c r="BH536" s="6"/>
      <c r="BI536" s="6"/>
      <c r="BJ536" s="6"/>
      <c r="BK536" s="6"/>
      <c r="BL536" s="6"/>
      <c r="BM536" s="6"/>
      <c r="BN536" s="6"/>
      <c r="BO536" s="6"/>
      <c r="BP536" s="6"/>
      <c r="BQ536" s="6"/>
      <c r="BR536" s="6"/>
      <c r="BS536" s="6"/>
      <c r="BT536" s="6"/>
      <c r="BU536" s="6"/>
      <c r="BV536" s="6"/>
      <c r="BW536" s="11"/>
      <c r="BX536" s="11"/>
      <c r="BY536" s="11"/>
      <c r="BZ536" s="11"/>
      <c r="CA536" s="11"/>
      <c r="CB536" s="11"/>
      <c r="CC536" s="11"/>
      <c r="CD536" s="11"/>
      <c r="CE536" s="11"/>
      <c r="CF536" s="11"/>
      <c r="CG536" s="11"/>
      <c r="CH536" s="11"/>
      <c r="CI536" s="11"/>
      <c r="CJ536" s="11"/>
      <c r="CK536" s="11"/>
      <c r="CL536" s="11"/>
      <c r="CM536" s="11"/>
      <c r="CN536" s="11"/>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c r="AX537" s="6"/>
      <c r="AY537" s="6"/>
      <c r="AZ537" s="6"/>
      <c r="BA537" s="6"/>
      <c r="BB537" s="6"/>
      <c r="BC537" s="6"/>
      <c r="BD537" s="6"/>
      <c r="BE537" s="6"/>
      <c r="BF537" s="6"/>
      <c r="BG537" s="6"/>
      <c r="BH537" s="6"/>
      <c r="BI537" s="6"/>
      <c r="BJ537" s="6"/>
      <c r="BK537" s="6"/>
      <c r="BL537" s="6"/>
      <c r="BM537" s="6"/>
      <c r="BN537" s="6"/>
      <c r="BO537" s="6"/>
      <c r="BP537" s="6"/>
      <c r="BQ537" s="6"/>
      <c r="BR537" s="6"/>
      <c r="BS537" s="6"/>
      <c r="BT537" s="6"/>
      <c r="BU537" s="6"/>
      <c r="BV537" s="6"/>
      <c r="BW537" s="11"/>
      <c r="BX537" s="11"/>
      <c r="BY537" s="11"/>
      <c r="BZ537" s="11"/>
      <c r="CA537" s="11"/>
      <c r="CB537" s="11"/>
      <c r="CC537" s="11"/>
      <c r="CD537" s="11"/>
      <c r="CE537" s="11"/>
      <c r="CF537" s="11"/>
      <c r="CG537" s="11"/>
      <c r="CH537" s="11"/>
      <c r="CI537" s="11"/>
      <c r="CJ537" s="11"/>
      <c r="CK537" s="11"/>
      <c r="CL537" s="11"/>
      <c r="CM537" s="11"/>
      <c r="CN537" s="11"/>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c r="BA538" s="6"/>
      <c r="BB538" s="6"/>
      <c r="BC538" s="6"/>
      <c r="BD538" s="6"/>
      <c r="BE538" s="6"/>
      <c r="BF538" s="6"/>
      <c r="BG538" s="6"/>
      <c r="BH538" s="6"/>
      <c r="BI538" s="6"/>
      <c r="BJ538" s="6"/>
      <c r="BK538" s="6"/>
      <c r="BL538" s="6"/>
      <c r="BM538" s="6"/>
      <c r="BN538" s="6"/>
      <c r="BO538" s="6"/>
      <c r="BP538" s="6"/>
      <c r="BQ538" s="6"/>
      <c r="BR538" s="6"/>
      <c r="BS538" s="6"/>
      <c r="BT538" s="6"/>
      <c r="BU538" s="6"/>
      <c r="BV538" s="6"/>
      <c r="BW538" s="11"/>
      <c r="BX538" s="11"/>
      <c r="BY538" s="11"/>
      <c r="BZ538" s="11"/>
      <c r="CA538" s="11"/>
      <c r="CB538" s="11"/>
      <c r="CC538" s="11"/>
      <c r="CD538" s="11"/>
      <c r="CE538" s="11"/>
      <c r="CF538" s="11"/>
      <c r="CG538" s="11"/>
      <c r="CH538" s="11"/>
      <c r="CI538" s="11"/>
      <c r="CJ538" s="11"/>
      <c r="CK538" s="11"/>
      <c r="CL538" s="11"/>
      <c r="CM538" s="11"/>
      <c r="CN538" s="11"/>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c r="AO539" s="6"/>
      <c r="AP539" s="6"/>
      <c r="AQ539" s="6"/>
      <c r="AR539" s="6"/>
      <c r="AS539" s="6"/>
      <c r="AT539" s="6"/>
      <c r="AU539" s="6"/>
      <c r="AV539" s="6"/>
      <c r="AW539" s="6"/>
      <c r="AX539" s="6"/>
      <c r="AY539" s="6"/>
      <c r="AZ539" s="6"/>
      <c r="BA539" s="6"/>
      <c r="BB539" s="6"/>
      <c r="BC539" s="6"/>
      <c r="BD539" s="6"/>
      <c r="BE539" s="6"/>
      <c r="BF539" s="6"/>
      <c r="BG539" s="6"/>
      <c r="BH539" s="6"/>
      <c r="BI539" s="6"/>
      <c r="BJ539" s="6"/>
      <c r="BK539" s="6"/>
      <c r="BL539" s="6"/>
      <c r="BM539" s="6"/>
      <c r="BN539" s="6"/>
      <c r="BO539" s="6"/>
      <c r="BP539" s="6"/>
      <c r="BQ539" s="6"/>
      <c r="BR539" s="6"/>
      <c r="BS539" s="6"/>
      <c r="BT539" s="6"/>
      <c r="BU539" s="6"/>
      <c r="BV539" s="6"/>
      <c r="BW539" s="11"/>
      <c r="BX539" s="11"/>
      <c r="BY539" s="11"/>
      <c r="BZ539" s="11"/>
      <c r="CA539" s="11"/>
      <c r="CB539" s="11"/>
      <c r="CC539" s="11"/>
      <c r="CD539" s="11"/>
      <c r="CE539" s="11"/>
      <c r="CF539" s="11"/>
      <c r="CG539" s="11"/>
      <c r="CH539" s="11"/>
      <c r="CI539" s="11"/>
      <c r="CJ539" s="11"/>
      <c r="CK539" s="11"/>
      <c r="CL539" s="11"/>
      <c r="CM539" s="11"/>
      <c r="CN539" s="11"/>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c r="BA540" s="6"/>
      <c r="BB540" s="6"/>
      <c r="BC540" s="6"/>
      <c r="BD540" s="6"/>
      <c r="BE540" s="6"/>
      <c r="BF540" s="6"/>
      <c r="BG540" s="6"/>
      <c r="BH540" s="6"/>
      <c r="BI540" s="6"/>
      <c r="BJ540" s="6"/>
      <c r="BK540" s="6"/>
      <c r="BL540" s="6"/>
      <c r="BM540" s="6"/>
      <c r="BN540" s="6"/>
      <c r="BO540" s="6"/>
      <c r="BP540" s="6"/>
      <c r="BQ540" s="6"/>
      <c r="BR540" s="6"/>
      <c r="BS540" s="6"/>
      <c r="BT540" s="6"/>
      <c r="BU540" s="6"/>
      <c r="BV540" s="6"/>
      <c r="BW540" s="11"/>
      <c r="BX540" s="11"/>
      <c r="BY540" s="11"/>
      <c r="BZ540" s="11"/>
      <c r="CA540" s="11"/>
      <c r="CB540" s="11"/>
      <c r="CC540" s="11"/>
      <c r="CD540" s="11"/>
      <c r="CE540" s="11"/>
      <c r="CF540" s="11"/>
      <c r="CG540" s="11"/>
      <c r="CH540" s="11"/>
      <c r="CI540" s="11"/>
      <c r="CJ540" s="11"/>
      <c r="CK540" s="11"/>
      <c r="CL540" s="11"/>
      <c r="CM540" s="11"/>
      <c r="CN540" s="11"/>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c r="AO541" s="6"/>
      <c r="AP541" s="6"/>
      <c r="AQ541" s="6"/>
      <c r="AR541" s="6"/>
      <c r="AS541" s="6"/>
      <c r="AT541" s="6"/>
      <c r="AU541" s="6"/>
      <c r="AV541" s="6"/>
      <c r="AW541" s="6"/>
      <c r="AX541" s="6"/>
      <c r="AY541" s="6"/>
      <c r="AZ541" s="6"/>
      <c r="BA541" s="6"/>
      <c r="BB541" s="6"/>
      <c r="BC541" s="6"/>
      <c r="BD541" s="6"/>
      <c r="BE541" s="6"/>
      <c r="BF541" s="6"/>
      <c r="BG541" s="6"/>
      <c r="BH541" s="6"/>
      <c r="BI541" s="6"/>
      <c r="BJ541" s="6"/>
      <c r="BK541" s="6"/>
      <c r="BL541" s="6"/>
      <c r="BM541" s="6"/>
      <c r="BN541" s="6"/>
      <c r="BO541" s="6"/>
      <c r="BP541" s="6"/>
      <c r="BQ541" s="6"/>
      <c r="BR541" s="6"/>
      <c r="BS541" s="6"/>
      <c r="BT541" s="6"/>
      <c r="BU541" s="6"/>
      <c r="BV541" s="6"/>
      <c r="BW541" s="11"/>
      <c r="BX541" s="11"/>
      <c r="BY541" s="11"/>
      <c r="BZ541" s="11"/>
      <c r="CA541" s="11"/>
      <c r="CB541" s="11"/>
      <c r="CC541" s="11"/>
      <c r="CD541" s="11"/>
      <c r="CE541" s="11"/>
      <c r="CF541" s="11"/>
      <c r="CG541" s="11"/>
      <c r="CH541" s="11"/>
      <c r="CI541" s="11"/>
      <c r="CJ541" s="11"/>
      <c r="CK541" s="11"/>
      <c r="CL541" s="11"/>
      <c r="CM541" s="11"/>
      <c r="CN541" s="11"/>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c r="BA542" s="6"/>
      <c r="BB542" s="6"/>
      <c r="BC542" s="6"/>
      <c r="BD542" s="6"/>
      <c r="BE542" s="6"/>
      <c r="BF542" s="6"/>
      <c r="BG542" s="6"/>
      <c r="BH542" s="6"/>
      <c r="BI542" s="6"/>
      <c r="BJ542" s="6"/>
      <c r="BK542" s="6"/>
      <c r="BL542" s="6"/>
      <c r="BM542" s="6"/>
      <c r="BN542" s="6"/>
      <c r="BO542" s="6"/>
      <c r="BP542" s="6"/>
      <c r="BQ542" s="6"/>
      <c r="BR542" s="6"/>
      <c r="BS542" s="6"/>
      <c r="BT542" s="6"/>
      <c r="BU542" s="6"/>
      <c r="BV542" s="6"/>
      <c r="BW542" s="11"/>
      <c r="BX542" s="11"/>
      <c r="BY542" s="11"/>
      <c r="BZ542" s="11"/>
      <c r="CA542" s="11"/>
      <c r="CB542" s="11"/>
      <c r="CC542" s="11"/>
      <c r="CD542" s="11"/>
      <c r="CE542" s="11"/>
      <c r="CF542" s="11"/>
      <c r="CG542" s="11"/>
      <c r="CH542" s="11"/>
      <c r="CI542" s="11"/>
      <c r="CJ542" s="11"/>
      <c r="CK542" s="11"/>
      <c r="CL542" s="11"/>
      <c r="CM542" s="11"/>
      <c r="CN542" s="11"/>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c r="AO543" s="6"/>
      <c r="AP543" s="6"/>
      <c r="AQ543" s="6"/>
      <c r="AR543" s="6"/>
      <c r="AS543" s="6"/>
      <c r="AT543" s="6"/>
      <c r="AU543" s="6"/>
      <c r="AV543" s="6"/>
      <c r="AW543" s="6"/>
      <c r="AX543" s="6"/>
      <c r="AY543" s="6"/>
      <c r="AZ543" s="6"/>
      <c r="BA543" s="6"/>
      <c r="BB543" s="6"/>
      <c r="BC543" s="6"/>
      <c r="BD543" s="6"/>
      <c r="BE543" s="6"/>
      <c r="BF543" s="6"/>
      <c r="BG543" s="6"/>
      <c r="BH543" s="6"/>
      <c r="BI543" s="6"/>
      <c r="BJ543" s="6"/>
      <c r="BK543" s="6"/>
      <c r="BL543" s="6"/>
      <c r="BM543" s="6"/>
      <c r="BN543" s="6"/>
      <c r="BO543" s="6"/>
      <c r="BP543" s="6"/>
      <c r="BQ543" s="6"/>
      <c r="BR543" s="6"/>
      <c r="BS543" s="6"/>
      <c r="BT543" s="6"/>
      <c r="BU543" s="6"/>
      <c r="BV543" s="6"/>
      <c r="BW543" s="11"/>
      <c r="BX543" s="11"/>
      <c r="BY543" s="11"/>
      <c r="BZ543" s="11"/>
      <c r="CA543" s="11"/>
      <c r="CB543" s="11"/>
      <c r="CC543" s="11"/>
      <c r="CD543" s="11"/>
      <c r="CE543" s="11"/>
      <c r="CF543" s="11"/>
      <c r="CG543" s="11"/>
      <c r="CH543" s="11"/>
      <c r="CI543" s="11"/>
      <c r="CJ543" s="11"/>
      <c r="CK543" s="11"/>
      <c r="CL543" s="11"/>
      <c r="CM543" s="11"/>
      <c r="CN543" s="11"/>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c r="BA544" s="6"/>
      <c r="BB544" s="6"/>
      <c r="BC544" s="6"/>
      <c r="BD544" s="6"/>
      <c r="BE544" s="6"/>
      <c r="BF544" s="6"/>
      <c r="BG544" s="6"/>
      <c r="BH544" s="6"/>
      <c r="BI544" s="6"/>
      <c r="BJ544" s="6"/>
      <c r="BK544" s="6"/>
      <c r="BL544" s="6"/>
      <c r="BM544" s="6"/>
      <c r="BN544" s="6"/>
      <c r="BO544" s="6"/>
      <c r="BP544" s="6"/>
      <c r="BQ544" s="6"/>
      <c r="BR544" s="6"/>
      <c r="BS544" s="6"/>
      <c r="BT544" s="6"/>
      <c r="BU544" s="6"/>
      <c r="BV544" s="6"/>
      <c r="BW544" s="11"/>
      <c r="BX544" s="11"/>
      <c r="BY544" s="11"/>
      <c r="BZ544" s="11"/>
      <c r="CA544" s="11"/>
      <c r="CB544" s="11"/>
      <c r="CC544" s="11"/>
      <c r="CD544" s="11"/>
      <c r="CE544" s="11"/>
      <c r="CF544" s="11"/>
      <c r="CG544" s="11"/>
      <c r="CH544" s="11"/>
      <c r="CI544" s="11"/>
      <c r="CJ544" s="11"/>
      <c r="CK544" s="11"/>
      <c r="CL544" s="11"/>
      <c r="CM544" s="11"/>
      <c r="CN544" s="11"/>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c r="AO545" s="6"/>
      <c r="AP545" s="6"/>
      <c r="AQ545" s="6"/>
      <c r="AR545" s="6"/>
      <c r="AS545" s="6"/>
      <c r="AT545" s="6"/>
      <c r="AU545" s="6"/>
      <c r="AV545" s="6"/>
      <c r="AW545" s="6"/>
      <c r="AX545" s="6"/>
      <c r="AY545" s="6"/>
      <c r="AZ545" s="6"/>
      <c r="BA545" s="6"/>
      <c r="BB545" s="6"/>
      <c r="BC545" s="6"/>
      <c r="BD545" s="6"/>
      <c r="BE545" s="6"/>
      <c r="BF545" s="6"/>
      <c r="BG545" s="6"/>
      <c r="BH545" s="6"/>
      <c r="BI545" s="6"/>
      <c r="BJ545" s="6"/>
      <c r="BK545" s="6"/>
      <c r="BL545" s="6"/>
      <c r="BM545" s="6"/>
      <c r="BN545" s="6"/>
      <c r="BO545" s="6"/>
      <c r="BP545" s="6"/>
      <c r="BQ545" s="6"/>
      <c r="BR545" s="6"/>
      <c r="BS545" s="6"/>
      <c r="BT545" s="6"/>
      <c r="BU545" s="6"/>
      <c r="BV545" s="6"/>
      <c r="BW545" s="11"/>
      <c r="BX545" s="11"/>
      <c r="BY545" s="11"/>
      <c r="BZ545" s="11"/>
      <c r="CA545" s="11"/>
      <c r="CB545" s="11"/>
      <c r="CC545" s="11"/>
      <c r="CD545" s="11"/>
      <c r="CE545" s="11"/>
      <c r="CF545" s="11"/>
      <c r="CG545" s="11"/>
      <c r="CH545" s="11"/>
      <c r="CI545" s="11"/>
      <c r="CJ545" s="11"/>
      <c r="CK545" s="11"/>
      <c r="CL545" s="11"/>
      <c r="CM545" s="11"/>
      <c r="CN545" s="11"/>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c r="BA546" s="6"/>
      <c r="BB546" s="6"/>
      <c r="BC546" s="6"/>
      <c r="BD546" s="6"/>
      <c r="BE546" s="6"/>
      <c r="BF546" s="6"/>
      <c r="BG546" s="6"/>
      <c r="BH546" s="6"/>
      <c r="BI546" s="6"/>
      <c r="BJ546" s="6"/>
      <c r="BK546" s="6"/>
      <c r="BL546" s="6"/>
      <c r="BM546" s="6"/>
      <c r="BN546" s="6"/>
      <c r="BO546" s="6"/>
      <c r="BP546" s="6"/>
      <c r="BQ546" s="6"/>
      <c r="BR546" s="6"/>
      <c r="BS546" s="6"/>
      <c r="BT546" s="6"/>
      <c r="BU546" s="6"/>
      <c r="BV546" s="6"/>
      <c r="BW546" s="11"/>
      <c r="BX546" s="11"/>
      <c r="BY546" s="11"/>
      <c r="BZ546" s="11"/>
      <c r="CA546" s="11"/>
      <c r="CB546" s="11"/>
      <c r="CC546" s="11"/>
      <c r="CD546" s="11"/>
      <c r="CE546" s="11"/>
      <c r="CF546" s="11"/>
      <c r="CG546" s="11"/>
      <c r="CH546" s="11"/>
      <c r="CI546" s="11"/>
      <c r="CJ546" s="11"/>
      <c r="CK546" s="11"/>
      <c r="CL546" s="11"/>
      <c r="CM546" s="11"/>
      <c r="CN546" s="11"/>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c r="AO547" s="6"/>
      <c r="AP547" s="6"/>
      <c r="AQ547" s="6"/>
      <c r="AR547" s="6"/>
      <c r="AS547" s="6"/>
      <c r="AT547" s="6"/>
      <c r="AU547" s="6"/>
      <c r="AV547" s="6"/>
      <c r="AW547" s="6"/>
      <c r="AX547" s="6"/>
      <c r="AY547" s="6"/>
      <c r="AZ547" s="6"/>
      <c r="BA547" s="6"/>
      <c r="BB547" s="6"/>
      <c r="BC547" s="6"/>
      <c r="BD547" s="6"/>
      <c r="BE547" s="6"/>
      <c r="BF547" s="6"/>
      <c r="BG547" s="6"/>
      <c r="BH547" s="6"/>
      <c r="BI547" s="6"/>
      <c r="BJ547" s="6"/>
      <c r="BK547" s="6"/>
      <c r="BL547" s="6"/>
      <c r="BM547" s="6"/>
      <c r="BN547" s="6"/>
      <c r="BO547" s="6"/>
      <c r="BP547" s="6"/>
      <c r="BQ547" s="6"/>
      <c r="BR547" s="6"/>
      <c r="BS547" s="6"/>
      <c r="BT547" s="6"/>
      <c r="BU547" s="6"/>
      <c r="BV547" s="6"/>
      <c r="BW547" s="11"/>
      <c r="BX547" s="11"/>
      <c r="BY547" s="11"/>
      <c r="BZ547" s="11"/>
      <c r="CA547" s="11"/>
      <c r="CB547" s="11"/>
      <c r="CC547" s="11"/>
      <c r="CD547" s="11"/>
      <c r="CE547" s="11"/>
      <c r="CF547" s="11"/>
      <c r="CG547" s="11"/>
      <c r="CH547" s="11"/>
      <c r="CI547" s="11"/>
      <c r="CJ547" s="11"/>
      <c r="CK547" s="11"/>
      <c r="CL547" s="11"/>
      <c r="CM547" s="11"/>
      <c r="CN547" s="11"/>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c r="BA548" s="6"/>
      <c r="BB548" s="6"/>
      <c r="BC548" s="6"/>
      <c r="BD548" s="6"/>
      <c r="BE548" s="6"/>
      <c r="BF548" s="6"/>
      <c r="BG548" s="6"/>
      <c r="BH548" s="6"/>
      <c r="BI548" s="6"/>
      <c r="BJ548" s="6"/>
      <c r="BK548" s="6"/>
      <c r="BL548" s="6"/>
      <c r="BM548" s="6"/>
      <c r="BN548" s="6"/>
      <c r="BO548" s="6"/>
      <c r="BP548" s="6"/>
      <c r="BQ548" s="6"/>
      <c r="BR548" s="6"/>
      <c r="BS548" s="6"/>
      <c r="BT548" s="6"/>
      <c r="BU548" s="6"/>
      <c r="BV548" s="6"/>
      <c r="BW548" s="11"/>
      <c r="BX548" s="11"/>
      <c r="BY548" s="11"/>
      <c r="BZ548" s="11"/>
      <c r="CA548" s="11"/>
      <c r="CB548" s="11"/>
      <c r="CC548" s="11"/>
      <c r="CD548" s="11"/>
      <c r="CE548" s="11"/>
      <c r="CF548" s="11"/>
      <c r="CG548" s="11"/>
      <c r="CH548" s="11"/>
      <c r="CI548" s="11"/>
      <c r="CJ548" s="11"/>
      <c r="CK548" s="11"/>
      <c r="CL548" s="11"/>
      <c r="CM548" s="11"/>
      <c r="CN548" s="11"/>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c r="AB549" s="6"/>
      <c r="AC549" s="6"/>
      <c r="AD549" s="6"/>
      <c r="AE549" s="6"/>
      <c r="AF549" s="6"/>
      <c r="AG549" s="6"/>
      <c r="AH549" s="6"/>
      <c r="AI549" s="6"/>
      <c r="AJ549" s="6"/>
      <c r="AK549" s="6"/>
      <c r="AL549" s="6"/>
      <c r="AM549" s="6"/>
      <c r="AN549" s="6"/>
      <c r="AO549" s="6"/>
      <c r="AP549" s="6"/>
      <c r="AQ549" s="6"/>
      <c r="AR549" s="6"/>
      <c r="AS549" s="6"/>
      <c r="AT549" s="6"/>
      <c r="AU549" s="6"/>
      <c r="AV549" s="6"/>
      <c r="AW549" s="6"/>
      <c r="AX549" s="6"/>
      <c r="AY549" s="6"/>
      <c r="AZ549" s="6"/>
      <c r="BA549" s="6"/>
      <c r="BB549" s="6"/>
      <c r="BC549" s="6"/>
      <c r="BD549" s="6"/>
      <c r="BE549" s="6"/>
      <c r="BF549" s="6"/>
      <c r="BG549" s="6"/>
      <c r="BH549" s="6"/>
      <c r="BI549" s="6"/>
      <c r="BJ549" s="6"/>
      <c r="BK549" s="6"/>
      <c r="BL549" s="6"/>
      <c r="BM549" s="6"/>
      <c r="BN549" s="6"/>
      <c r="BO549" s="6"/>
      <c r="BP549" s="6"/>
      <c r="BQ549" s="6"/>
      <c r="BR549" s="6"/>
      <c r="BS549" s="6"/>
      <c r="BT549" s="6"/>
      <c r="BU549" s="6"/>
      <c r="BV549" s="6"/>
      <c r="BW549" s="11"/>
      <c r="BX549" s="11"/>
      <c r="BY549" s="11"/>
      <c r="BZ549" s="11"/>
      <c r="CA549" s="11"/>
      <c r="CB549" s="11"/>
      <c r="CC549" s="11"/>
      <c r="CD549" s="11"/>
      <c r="CE549" s="11"/>
      <c r="CF549" s="11"/>
      <c r="CG549" s="11"/>
      <c r="CH549" s="11"/>
      <c r="CI549" s="11"/>
      <c r="CJ549" s="11"/>
      <c r="CK549" s="11"/>
      <c r="CL549" s="11"/>
      <c r="CM549" s="11"/>
      <c r="CN549" s="11"/>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c r="AV550" s="6"/>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11"/>
      <c r="BX550" s="11"/>
      <c r="BY550" s="11"/>
      <c r="BZ550" s="11"/>
      <c r="CA550" s="11"/>
      <c r="CB550" s="11"/>
      <c r="CC550" s="11"/>
      <c r="CD550" s="11"/>
      <c r="CE550" s="11"/>
      <c r="CF550" s="11"/>
      <c r="CG550" s="11"/>
      <c r="CH550" s="11"/>
      <c r="CI550" s="11"/>
      <c r="CJ550" s="11"/>
      <c r="CK550" s="11"/>
      <c r="CL550" s="11"/>
      <c r="CM550" s="11"/>
      <c r="CN550" s="11"/>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c r="AN551" s="6"/>
      <c r="AO551" s="6"/>
      <c r="AP551" s="6"/>
      <c r="AQ551" s="6"/>
      <c r="AR551" s="6"/>
      <c r="AS551" s="6"/>
      <c r="AT551" s="6"/>
      <c r="AU551" s="6"/>
      <c r="AV551" s="6"/>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11"/>
      <c r="BX551" s="11"/>
      <c r="BY551" s="11"/>
      <c r="BZ551" s="11"/>
      <c r="CA551" s="11"/>
      <c r="CB551" s="11"/>
      <c r="CC551" s="11"/>
      <c r="CD551" s="11"/>
      <c r="CE551" s="11"/>
      <c r="CF551" s="11"/>
      <c r="CG551" s="11"/>
      <c r="CH551" s="11"/>
      <c r="CI551" s="11"/>
      <c r="CJ551" s="11"/>
      <c r="CK551" s="11"/>
      <c r="CL551" s="11"/>
      <c r="CM551" s="11"/>
      <c r="CN551" s="11"/>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11"/>
      <c r="BX552" s="11"/>
      <c r="BY552" s="11"/>
      <c r="BZ552" s="11"/>
      <c r="CA552" s="11"/>
      <c r="CB552" s="11"/>
      <c r="CC552" s="11"/>
      <c r="CD552" s="11"/>
      <c r="CE552" s="11"/>
      <c r="CF552" s="11"/>
      <c r="CG552" s="11"/>
      <c r="CH552" s="11"/>
      <c r="CI552" s="11"/>
      <c r="CJ552" s="11"/>
      <c r="CK552" s="11"/>
      <c r="CL552" s="11"/>
      <c r="CM552" s="11"/>
      <c r="CN552" s="11"/>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c r="AB553" s="6"/>
      <c r="AC553" s="6"/>
      <c r="AD553" s="6"/>
      <c r="AE553" s="6"/>
      <c r="AF553" s="6"/>
      <c r="AG553" s="6"/>
      <c r="AH553" s="6"/>
      <c r="AI553" s="6"/>
      <c r="AJ553" s="6"/>
      <c r="AK553" s="6"/>
      <c r="AL553" s="6"/>
      <c r="AM553" s="6"/>
      <c r="AN553" s="6"/>
      <c r="AO553" s="6"/>
      <c r="AP553" s="6"/>
      <c r="AQ553" s="6"/>
      <c r="AR553" s="6"/>
      <c r="AS553" s="6"/>
      <c r="AT553" s="6"/>
      <c r="AU553" s="6"/>
      <c r="AV553" s="6"/>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11"/>
      <c r="BX553" s="11"/>
      <c r="BY553" s="11"/>
      <c r="BZ553" s="11"/>
      <c r="CA553" s="11"/>
      <c r="CB553" s="11"/>
      <c r="CC553" s="11"/>
      <c r="CD553" s="11"/>
      <c r="CE553" s="11"/>
      <c r="CF553" s="11"/>
      <c r="CG553" s="11"/>
      <c r="CH553" s="11"/>
      <c r="CI553" s="11"/>
      <c r="CJ553" s="11"/>
      <c r="CK553" s="11"/>
      <c r="CL553" s="11"/>
      <c r="CM553" s="11"/>
      <c r="CN553" s="11"/>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c r="AV554" s="6"/>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11"/>
      <c r="BX554" s="11"/>
      <c r="BY554" s="11"/>
      <c r="BZ554" s="11"/>
      <c r="CA554" s="11"/>
      <c r="CB554" s="11"/>
      <c r="CC554" s="11"/>
      <c r="CD554" s="11"/>
      <c r="CE554" s="11"/>
      <c r="CF554" s="11"/>
      <c r="CG554" s="11"/>
      <c r="CH554" s="11"/>
      <c r="CI554" s="11"/>
      <c r="CJ554" s="11"/>
      <c r="CK554" s="11"/>
      <c r="CL554" s="11"/>
      <c r="CM554" s="11"/>
      <c r="CN554" s="11"/>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c r="AN555" s="6"/>
      <c r="AO555" s="6"/>
      <c r="AP555" s="6"/>
      <c r="AQ555" s="6"/>
      <c r="AR555" s="6"/>
      <c r="AS555" s="6"/>
      <c r="AT555" s="6"/>
      <c r="AU555" s="6"/>
      <c r="AV555" s="6"/>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11"/>
      <c r="BX555" s="11"/>
      <c r="BY555" s="11"/>
      <c r="BZ555" s="11"/>
      <c r="CA555" s="11"/>
      <c r="CB555" s="11"/>
      <c r="CC555" s="11"/>
      <c r="CD555" s="11"/>
      <c r="CE555" s="11"/>
      <c r="CF555" s="11"/>
      <c r="CG555" s="11"/>
      <c r="CH555" s="11"/>
      <c r="CI555" s="11"/>
      <c r="CJ555" s="11"/>
      <c r="CK555" s="11"/>
      <c r="CL555" s="11"/>
      <c r="CM555" s="11"/>
      <c r="CN555" s="11"/>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c r="AV556" s="6"/>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11"/>
      <c r="BX556" s="11"/>
      <c r="BY556" s="11"/>
      <c r="BZ556" s="11"/>
      <c r="CA556" s="11"/>
      <c r="CB556" s="11"/>
      <c r="CC556" s="11"/>
      <c r="CD556" s="11"/>
      <c r="CE556" s="11"/>
      <c r="CF556" s="11"/>
      <c r="CG556" s="11"/>
      <c r="CH556" s="11"/>
      <c r="CI556" s="11"/>
      <c r="CJ556" s="11"/>
      <c r="CK556" s="11"/>
      <c r="CL556" s="11"/>
      <c r="CM556" s="11"/>
      <c r="CN556" s="11"/>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c r="AB557" s="6"/>
      <c r="AC557" s="6"/>
      <c r="AD557" s="6"/>
      <c r="AE557" s="6"/>
      <c r="AF557" s="6"/>
      <c r="AG557" s="6"/>
      <c r="AH557" s="6"/>
      <c r="AI557" s="6"/>
      <c r="AJ557" s="6"/>
      <c r="AK557" s="6"/>
      <c r="AL557" s="6"/>
      <c r="AM557" s="6"/>
      <c r="AN557" s="6"/>
      <c r="AO557" s="6"/>
      <c r="AP557" s="6"/>
      <c r="AQ557" s="6"/>
      <c r="AR557" s="6"/>
      <c r="AS557" s="6"/>
      <c r="AT557" s="6"/>
      <c r="AU557" s="6"/>
      <c r="AV557" s="6"/>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11"/>
      <c r="BX557" s="11"/>
      <c r="BY557" s="11"/>
      <c r="BZ557" s="11"/>
      <c r="CA557" s="11"/>
      <c r="CB557" s="11"/>
      <c r="CC557" s="11"/>
      <c r="CD557" s="11"/>
      <c r="CE557" s="11"/>
      <c r="CF557" s="11"/>
      <c r="CG557" s="11"/>
      <c r="CH557" s="11"/>
      <c r="CI557" s="11"/>
      <c r="CJ557" s="11"/>
      <c r="CK557" s="11"/>
      <c r="CL557" s="11"/>
      <c r="CM557" s="11"/>
      <c r="CN557" s="11"/>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c r="AV558" s="6"/>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11"/>
      <c r="BX558" s="11"/>
      <c r="BY558" s="11"/>
      <c r="BZ558" s="11"/>
      <c r="CA558" s="11"/>
      <c r="CB558" s="11"/>
      <c r="CC558" s="11"/>
      <c r="CD558" s="11"/>
      <c r="CE558" s="11"/>
      <c r="CF558" s="11"/>
      <c r="CG558" s="11"/>
      <c r="CH558" s="11"/>
      <c r="CI558" s="11"/>
      <c r="CJ558" s="11"/>
      <c r="CK558" s="11"/>
      <c r="CL558" s="11"/>
      <c r="CM558" s="11"/>
      <c r="CN558" s="11"/>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c r="AB559" s="6"/>
      <c r="AC559" s="6"/>
      <c r="AD559" s="6"/>
      <c r="AE559" s="6"/>
      <c r="AF559" s="6"/>
      <c r="AG559" s="6"/>
      <c r="AH559" s="6"/>
      <c r="AI559" s="6"/>
      <c r="AJ559" s="6"/>
      <c r="AK559" s="6"/>
      <c r="AL559" s="6"/>
      <c r="AM559" s="6"/>
      <c r="AN559" s="6"/>
      <c r="AO559" s="6"/>
      <c r="AP559" s="6"/>
      <c r="AQ559" s="6"/>
      <c r="AR559" s="6"/>
      <c r="AS559" s="6"/>
      <c r="AT559" s="6"/>
      <c r="AU559" s="6"/>
      <c r="AV559" s="6"/>
      <c r="AW559" s="6"/>
      <c r="AX559" s="6"/>
      <c r="AY559" s="6"/>
      <c r="AZ559" s="6"/>
      <c r="BA559" s="6"/>
      <c r="BB559" s="6"/>
      <c r="BC559" s="6"/>
      <c r="BD559" s="6"/>
      <c r="BE559" s="6"/>
      <c r="BF559" s="6"/>
      <c r="BG559" s="6"/>
      <c r="BH559" s="6"/>
      <c r="BI559" s="6"/>
      <c r="BJ559" s="6"/>
      <c r="BK559" s="6"/>
      <c r="BL559" s="6"/>
      <c r="BM559" s="6"/>
      <c r="BN559" s="6"/>
      <c r="BO559" s="6"/>
      <c r="BP559" s="6"/>
      <c r="BQ559" s="6"/>
      <c r="BR559" s="6"/>
      <c r="BS559" s="6"/>
      <c r="BT559" s="6"/>
      <c r="BU559" s="6"/>
      <c r="BV559" s="6"/>
      <c r="BW559" s="11"/>
      <c r="BX559" s="11"/>
      <c r="BY559" s="11"/>
      <c r="BZ559" s="11"/>
      <c r="CA559" s="11"/>
      <c r="CB559" s="11"/>
      <c r="CC559" s="11"/>
      <c r="CD559" s="11"/>
      <c r="CE559" s="11"/>
      <c r="CF559" s="11"/>
      <c r="CG559" s="11"/>
      <c r="CH559" s="11"/>
      <c r="CI559" s="11"/>
      <c r="CJ559" s="11"/>
      <c r="CK559" s="11"/>
      <c r="CL559" s="11"/>
      <c r="CM559" s="11"/>
      <c r="CN559" s="11"/>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c r="AV560" s="6"/>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11"/>
      <c r="BX560" s="11"/>
      <c r="BY560" s="11"/>
      <c r="BZ560" s="11"/>
      <c r="CA560" s="11"/>
      <c r="CB560" s="11"/>
      <c r="CC560" s="11"/>
      <c r="CD560" s="11"/>
      <c r="CE560" s="11"/>
      <c r="CF560" s="11"/>
      <c r="CG560" s="11"/>
      <c r="CH560" s="11"/>
      <c r="CI560" s="11"/>
      <c r="CJ560" s="11"/>
      <c r="CK560" s="11"/>
      <c r="CL560" s="11"/>
      <c r="CM560" s="11"/>
      <c r="CN560" s="11"/>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c r="AN561" s="6"/>
      <c r="AO561" s="6"/>
      <c r="AP561" s="6"/>
      <c r="AQ561" s="6"/>
      <c r="AR561" s="6"/>
      <c r="AS561" s="6"/>
      <c r="AT561" s="6"/>
      <c r="AU561" s="6"/>
      <c r="AV561" s="6"/>
      <c r="AW561" s="6"/>
      <c r="AX561" s="6"/>
      <c r="AY561" s="6"/>
      <c r="AZ561" s="6"/>
      <c r="BA561" s="6"/>
      <c r="BB561" s="6"/>
      <c r="BC561" s="6"/>
      <c r="BD561" s="6"/>
      <c r="BE561" s="6"/>
      <c r="BF561" s="6"/>
      <c r="BG561" s="6"/>
      <c r="BH561" s="6"/>
      <c r="BI561" s="6"/>
      <c r="BJ561" s="6"/>
      <c r="BK561" s="6"/>
      <c r="BL561" s="6"/>
      <c r="BM561" s="6"/>
      <c r="BN561" s="6"/>
      <c r="BO561" s="6"/>
      <c r="BP561" s="6"/>
      <c r="BQ561" s="6"/>
      <c r="BR561" s="6"/>
      <c r="BS561" s="6"/>
      <c r="BT561" s="6"/>
      <c r="BU561" s="6"/>
      <c r="BV561" s="6"/>
      <c r="BW561" s="11"/>
      <c r="BX561" s="11"/>
      <c r="BY561" s="11"/>
      <c r="BZ561" s="11"/>
      <c r="CA561" s="11"/>
      <c r="CB561" s="11"/>
      <c r="CC561" s="11"/>
      <c r="CD561" s="11"/>
      <c r="CE561" s="11"/>
      <c r="CF561" s="11"/>
      <c r="CG561" s="11"/>
      <c r="CH561" s="11"/>
      <c r="CI561" s="11"/>
      <c r="CJ561" s="11"/>
      <c r="CK561" s="11"/>
      <c r="CL561" s="11"/>
      <c r="CM561" s="11"/>
      <c r="CN561" s="11"/>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c r="AV562" s="6"/>
      <c r="AW562" s="6"/>
      <c r="AX562" s="6"/>
      <c r="AY562" s="6"/>
      <c r="AZ562" s="6"/>
      <c r="BA562" s="6"/>
      <c r="BB562" s="6"/>
      <c r="BC562" s="6"/>
      <c r="BD562" s="6"/>
      <c r="BE562" s="6"/>
      <c r="BF562" s="6"/>
      <c r="BG562" s="6"/>
      <c r="BH562" s="6"/>
      <c r="BI562" s="6"/>
      <c r="BJ562" s="6"/>
      <c r="BK562" s="6"/>
      <c r="BL562" s="6"/>
      <c r="BM562" s="6"/>
      <c r="BN562" s="6"/>
      <c r="BO562" s="6"/>
      <c r="BP562" s="6"/>
      <c r="BQ562" s="6"/>
      <c r="BR562" s="6"/>
      <c r="BS562" s="6"/>
      <c r="BT562" s="6"/>
      <c r="BU562" s="6"/>
      <c r="BV562" s="6"/>
      <c r="BW562" s="11"/>
      <c r="BX562" s="11"/>
      <c r="BY562" s="11"/>
      <c r="BZ562" s="11"/>
      <c r="CA562" s="11"/>
      <c r="CB562" s="11"/>
      <c r="CC562" s="11"/>
      <c r="CD562" s="11"/>
      <c r="CE562" s="11"/>
      <c r="CF562" s="11"/>
      <c r="CG562" s="11"/>
      <c r="CH562" s="11"/>
      <c r="CI562" s="11"/>
      <c r="CJ562" s="11"/>
      <c r="CK562" s="11"/>
      <c r="CL562" s="11"/>
      <c r="CM562" s="11"/>
      <c r="CN562" s="11"/>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c r="AB563" s="6"/>
      <c r="AC563" s="6"/>
      <c r="AD563" s="6"/>
      <c r="AE563" s="6"/>
      <c r="AF563" s="6"/>
      <c r="AG563" s="6"/>
      <c r="AH563" s="6"/>
      <c r="AI563" s="6"/>
      <c r="AJ563" s="6"/>
      <c r="AK563" s="6"/>
      <c r="AL563" s="6"/>
      <c r="AM563" s="6"/>
      <c r="AN563" s="6"/>
      <c r="AO563" s="6"/>
      <c r="AP563" s="6"/>
      <c r="AQ563" s="6"/>
      <c r="AR563" s="6"/>
      <c r="AS563" s="6"/>
      <c r="AT563" s="6"/>
      <c r="AU563" s="6"/>
      <c r="AV563" s="6"/>
      <c r="AW563" s="6"/>
      <c r="AX563" s="6"/>
      <c r="AY563" s="6"/>
      <c r="AZ563" s="6"/>
      <c r="BA563" s="6"/>
      <c r="BB563" s="6"/>
      <c r="BC563" s="6"/>
      <c r="BD563" s="6"/>
      <c r="BE563" s="6"/>
      <c r="BF563" s="6"/>
      <c r="BG563" s="6"/>
      <c r="BH563" s="6"/>
      <c r="BI563" s="6"/>
      <c r="BJ563" s="6"/>
      <c r="BK563" s="6"/>
      <c r="BL563" s="6"/>
      <c r="BM563" s="6"/>
      <c r="BN563" s="6"/>
      <c r="BO563" s="6"/>
      <c r="BP563" s="6"/>
      <c r="BQ563" s="6"/>
      <c r="BR563" s="6"/>
      <c r="BS563" s="6"/>
      <c r="BT563" s="6"/>
      <c r="BU563" s="6"/>
      <c r="BV563" s="6"/>
      <c r="BW563" s="11"/>
      <c r="BX563" s="11"/>
      <c r="BY563" s="11"/>
      <c r="BZ563" s="11"/>
      <c r="CA563" s="11"/>
      <c r="CB563" s="11"/>
      <c r="CC563" s="11"/>
      <c r="CD563" s="11"/>
      <c r="CE563" s="11"/>
      <c r="CF563" s="11"/>
      <c r="CG563" s="11"/>
      <c r="CH563" s="11"/>
      <c r="CI563" s="11"/>
      <c r="CJ563" s="11"/>
      <c r="CK563" s="11"/>
      <c r="CL563" s="11"/>
      <c r="CM563" s="11"/>
      <c r="CN563" s="11"/>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c r="AV564" s="6"/>
      <c r="AW564" s="6"/>
      <c r="AX564" s="6"/>
      <c r="AY564" s="6"/>
      <c r="AZ564" s="6"/>
      <c r="BA564" s="6"/>
      <c r="BB564" s="6"/>
      <c r="BC564" s="6"/>
      <c r="BD564" s="6"/>
      <c r="BE564" s="6"/>
      <c r="BF564" s="6"/>
      <c r="BG564" s="6"/>
      <c r="BH564" s="6"/>
      <c r="BI564" s="6"/>
      <c r="BJ564" s="6"/>
      <c r="BK564" s="6"/>
      <c r="BL564" s="6"/>
      <c r="BM564" s="6"/>
      <c r="BN564" s="6"/>
      <c r="BO564" s="6"/>
      <c r="BP564" s="6"/>
      <c r="BQ564" s="6"/>
      <c r="BR564" s="6"/>
      <c r="BS564" s="6"/>
      <c r="BT564" s="6"/>
      <c r="BU564" s="6"/>
      <c r="BV564" s="6"/>
      <c r="BW564" s="11"/>
      <c r="BX564" s="11"/>
      <c r="BY564" s="11"/>
      <c r="BZ564" s="11"/>
      <c r="CA564" s="11"/>
      <c r="CB564" s="11"/>
      <c r="CC564" s="11"/>
      <c r="CD564" s="11"/>
      <c r="CE564" s="11"/>
      <c r="CF564" s="11"/>
      <c r="CG564" s="11"/>
      <c r="CH564" s="11"/>
      <c r="CI564" s="11"/>
      <c r="CJ564" s="11"/>
      <c r="CK564" s="11"/>
      <c r="CL564" s="11"/>
      <c r="CM564" s="11"/>
      <c r="CN564" s="11"/>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c r="AN565" s="6"/>
      <c r="AO565" s="6"/>
      <c r="AP565" s="6"/>
      <c r="AQ565" s="6"/>
      <c r="AR565" s="6"/>
      <c r="AS565" s="6"/>
      <c r="AT565" s="6"/>
      <c r="AU565" s="6"/>
      <c r="AV565" s="6"/>
      <c r="AW565" s="6"/>
      <c r="AX565" s="6"/>
      <c r="AY565" s="6"/>
      <c r="AZ565" s="6"/>
      <c r="BA565" s="6"/>
      <c r="BB565" s="6"/>
      <c r="BC565" s="6"/>
      <c r="BD565" s="6"/>
      <c r="BE565" s="6"/>
      <c r="BF565" s="6"/>
      <c r="BG565" s="6"/>
      <c r="BH565" s="6"/>
      <c r="BI565" s="6"/>
      <c r="BJ565" s="6"/>
      <c r="BK565" s="6"/>
      <c r="BL565" s="6"/>
      <c r="BM565" s="6"/>
      <c r="BN565" s="6"/>
      <c r="BO565" s="6"/>
      <c r="BP565" s="6"/>
      <c r="BQ565" s="6"/>
      <c r="BR565" s="6"/>
      <c r="BS565" s="6"/>
      <c r="BT565" s="6"/>
      <c r="BU565" s="6"/>
      <c r="BV565" s="6"/>
      <c r="BW565" s="11"/>
      <c r="BX565" s="11"/>
      <c r="BY565" s="11"/>
      <c r="BZ565" s="11"/>
      <c r="CA565" s="11"/>
      <c r="CB565" s="11"/>
      <c r="CC565" s="11"/>
      <c r="CD565" s="11"/>
      <c r="CE565" s="11"/>
      <c r="CF565" s="11"/>
      <c r="CG565" s="11"/>
      <c r="CH565" s="11"/>
      <c r="CI565" s="11"/>
      <c r="CJ565" s="11"/>
      <c r="CK565" s="11"/>
      <c r="CL565" s="11"/>
      <c r="CM565" s="11"/>
      <c r="CN565" s="11"/>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c r="AV566" s="6"/>
      <c r="AW566" s="6"/>
      <c r="AX566" s="6"/>
      <c r="AY566" s="6"/>
      <c r="AZ566" s="6"/>
      <c r="BA566" s="6"/>
      <c r="BB566" s="6"/>
      <c r="BC566" s="6"/>
      <c r="BD566" s="6"/>
      <c r="BE566" s="6"/>
      <c r="BF566" s="6"/>
      <c r="BG566" s="6"/>
      <c r="BH566" s="6"/>
      <c r="BI566" s="6"/>
      <c r="BJ566" s="6"/>
      <c r="BK566" s="6"/>
      <c r="BL566" s="6"/>
      <c r="BM566" s="6"/>
      <c r="BN566" s="6"/>
      <c r="BO566" s="6"/>
      <c r="BP566" s="6"/>
      <c r="BQ566" s="6"/>
      <c r="BR566" s="6"/>
      <c r="BS566" s="6"/>
      <c r="BT566" s="6"/>
      <c r="BU566" s="6"/>
      <c r="BV566" s="6"/>
      <c r="BW566" s="11"/>
      <c r="BX566" s="11"/>
      <c r="BY566" s="11"/>
      <c r="BZ566" s="11"/>
      <c r="CA566" s="11"/>
      <c r="CB566" s="11"/>
      <c r="CC566" s="11"/>
      <c r="CD566" s="11"/>
      <c r="CE566" s="11"/>
      <c r="CF566" s="11"/>
      <c r="CG566" s="11"/>
      <c r="CH566" s="11"/>
      <c r="CI566" s="11"/>
      <c r="CJ566" s="11"/>
      <c r="CK566" s="11"/>
      <c r="CL566" s="11"/>
      <c r="CM566" s="11"/>
      <c r="CN566" s="11"/>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c r="AB567" s="6"/>
      <c r="AC567" s="6"/>
      <c r="AD567" s="6"/>
      <c r="AE567" s="6"/>
      <c r="AF567" s="6"/>
      <c r="AG567" s="6"/>
      <c r="AH567" s="6"/>
      <c r="AI567" s="6"/>
      <c r="AJ567" s="6"/>
      <c r="AK567" s="6"/>
      <c r="AL567" s="6"/>
      <c r="AM567" s="6"/>
      <c r="AN567" s="6"/>
      <c r="AO567" s="6"/>
      <c r="AP567" s="6"/>
      <c r="AQ567" s="6"/>
      <c r="AR567" s="6"/>
      <c r="AS567" s="6"/>
      <c r="AT567" s="6"/>
      <c r="AU567" s="6"/>
      <c r="AV567" s="6"/>
      <c r="AW567" s="6"/>
      <c r="AX567" s="6"/>
      <c r="AY567" s="6"/>
      <c r="AZ567" s="6"/>
      <c r="BA567" s="6"/>
      <c r="BB567" s="6"/>
      <c r="BC567" s="6"/>
      <c r="BD567" s="6"/>
      <c r="BE567" s="6"/>
      <c r="BF567" s="6"/>
      <c r="BG567" s="6"/>
      <c r="BH567" s="6"/>
      <c r="BI567" s="6"/>
      <c r="BJ567" s="6"/>
      <c r="BK567" s="6"/>
      <c r="BL567" s="6"/>
      <c r="BM567" s="6"/>
      <c r="BN567" s="6"/>
      <c r="BO567" s="6"/>
      <c r="BP567" s="6"/>
      <c r="BQ567" s="6"/>
      <c r="BR567" s="6"/>
      <c r="BS567" s="6"/>
      <c r="BT567" s="6"/>
      <c r="BU567" s="6"/>
      <c r="BV567" s="6"/>
      <c r="BW567" s="11"/>
      <c r="BX567" s="11"/>
      <c r="BY567" s="11"/>
      <c r="BZ567" s="11"/>
      <c r="CA567" s="11"/>
      <c r="CB567" s="11"/>
      <c r="CC567" s="11"/>
      <c r="CD567" s="11"/>
      <c r="CE567" s="11"/>
      <c r="CF567" s="11"/>
      <c r="CG567" s="11"/>
      <c r="CH567" s="11"/>
      <c r="CI567" s="11"/>
      <c r="CJ567" s="11"/>
      <c r="CK567" s="11"/>
      <c r="CL567" s="11"/>
      <c r="CM567" s="11"/>
      <c r="CN567" s="11"/>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c r="AV568" s="6"/>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11"/>
      <c r="BX568" s="11"/>
      <c r="BY568" s="11"/>
      <c r="BZ568" s="11"/>
      <c r="CA568" s="11"/>
      <c r="CB568" s="11"/>
      <c r="CC568" s="11"/>
      <c r="CD568" s="11"/>
      <c r="CE568" s="11"/>
      <c r="CF568" s="11"/>
      <c r="CG568" s="11"/>
      <c r="CH568" s="11"/>
      <c r="CI568" s="11"/>
      <c r="CJ568" s="11"/>
      <c r="CK568" s="11"/>
      <c r="CL568" s="11"/>
      <c r="CM568" s="11"/>
      <c r="CN568" s="11"/>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c r="AB569" s="6"/>
      <c r="AC569" s="6"/>
      <c r="AD569" s="6"/>
      <c r="AE569" s="6"/>
      <c r="AF569" s="6"/>
      <c r="AG569" s="6"/>
      <c r="AH569" s="6"/>
      <c r="AI569" s="6"/>
      <c r="AJ569" s="6"/>
      <c r="AK569" s="6"/>
      <c r="AL569" s="6"/>
      <c r="AM569" s="6"/>
      <c r="AN569" s="6"/>
      <c r="AO569" s="6"/>
      <c r="AP569" s="6"/>
      <c r="AQ569" s="6"/>
      <c r="AR569" s="6"/>
      <c r="AS569" s="6"/>
      <c r="AT569" s="6"/>
      <c r="AU569" s="6"/>
      <c r="AV569" s="6"/>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11"/>
      <c r="BX569" s="11"/>
      <c r="BY569" s="11"/>
      <c r="BZ569" s="11"/>
      <c r="CA569" s="11"/>
      <c r="CB569" s="11"/>
      <c r="CC569" s="11"/>
      <c r="CD569" s="11"/>
      <c r="CE569" s="11"/>
      <c r="CF569" s="11"/>
      <c r="CG569" s="11"/>
      <c r="CH569" s="11"/>
      <c r="CI569" s="11"/>
      <c r="CJ569" s="11"/>
      <c r="CK569" s="11"/>
      <c r="CL569" s="11"/>
      <c r="CM569" s="11"/>
      <c r="CN569" s="11"/>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c r="AV570" s="6"/>
      <c r="AW570" s="6"/>
      <c r="AX570" s="6"/>
      <c r="AY570" s="6"/>
      <c r="AZ570" s="6"/>
      <c r="BA570" s="6"/>
      <c r="BB570" s="6"/>
      <c r="BC570" s="6"/>
      <c r="BD570" s="6"/>
      <c r="BE570" s="6"/>
      <c r="BF570" s="6"/>
      <c r="BG570" s="6"/>
      <c r="BH570" s="6"/>
      <c r="BI570" s="6"/>
      <c r="BJ570" s="6"/>
      <c r="BK570" s="6"/>
      <c r="BL570" s="6"/>
      <c r="BM570" s="6"/>
      <c r="BN570" s="6"/>
      <c r="BO570" s="6"/>
      <c r="BP570" s="6"/>
      <c r="BQ570" s="6"/>
      <c r="BR570" s="6"/>
      <c r="BS570" s="6"/>
      <c r="BT570" s="6"/>
      <c r="BU570" s="6"/>
      <c r="BV570" s="6"/>
      <c r="BW570" s="11"/>
      <c r="BX570" s="11"/>
      <c r="BY570" s="11"/>
      <c r="BZ570" s="11"/>
      <c r="CA570" s="11"/>
      <c r="CB570" s="11"/>
      <c r="CC570" s="11"/>
      <c r="CD570" s="11"/>
      <c r="CE570" s="11"/>
      <c r="CF570" s="11"/>
      <c r="CG570" s="11"/>
      <c r="CH570" s="11"/>
      <c r="CI570" s="11"/>
      <c r="CJ570" s="11"/>
      <c r="CK570" s="11"/>
      <c r="CL570" s="11"/>
      <c r="CM570" s="11"/>
      <c r="CN570" s="11"/>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c r="AB571" s="6"/>
      <c r="AC571" s="6"/>
      <c r="AD571" s="6"/>
      <c r="AE571" s="6"/>
      <c r="AF571" s="6"/>
      <c r="AG571" s="6"/>
      <c r="AH571" s="6"/>
      <c r="AI571" s="6"/>
      <c r="AJ571" s="6"/>
      <c r="AK571" s="6"/>
      <c r="AL571" s="6"/>
      <c r="AM571" s="6"/>
      <c r="AN571" s="6"/>
      <c r="AO571" s="6"/>
      <c r="AP571" s="6"/>
      <c r="AQ571" s="6"/>
      <c r="AR571" s="6"/>
      <c r="AS571" s="6"/>
      <c r="AT571" s="6"/>
      <c r="AU571" s="6"/>
      <c r="AV571" s="6"/>
      <c r="AW571" s="6"/>
      <c r="AX571" s="6"/>
      <c r="AY571" s="6"/>
      <c r="AZ571" s="6"/>
      <c r="BA571" s="6"/>
      <c r="BB571" s="6"/>
      <c r="BC571" s="6"/>
      <c r="BD571" s="6"/>
      <c r="BE571" s="6"/>
      <c r="BF571" s="6"/>
      <c r="BG571" s="6"/>
      <c r="BH571" s="6"/>
      <c r="BI571" s="6"/>
      <c r="BJ571" s="6"/>
      <c r="BK571" s="6"/>
      <c r="BL571" s="6"/>
      <c r="BM571" s="6"/>
      <c r="BN571" s="6"/>
      <c r="BO571" s="6"/>
      <c r="BP571" s="6"/>
      <c r="BQ571" s="6"/>
      <c r="BR571" s="6"/>
      <c r="BS571" s="6"/>
      <c r="BT571" s="6"/>
      <c r="BU571" s="6"/>
      <c r="BV571" s="6"/>
      <c r="BW571" s="11"/>
      <c r="BX571" s="11"/>
      <c r="BY571" s="11"/>
      <c r="BZ571" s="11"/>
      <c r="CA571" s="11"/>
      <c r="CB571" s="11"/>
      <c r="CC571" s="11"/>
      <c r="CD571" s="11"/>
      <c r="CE571" s="11"/>
      <c r="CF571" s="11"/>
      <c r="CG571" s="11"/>
      <c r="CH571" s="11"/>
      <c r="CI571" s="11"/>
      <c r="CJ571" s="11"/>
      <c r="CK571" s="11"/>
      <c r="CL571" s="11"/>
      <c r="CM571" s="11"/>
      <c r="CN571" s="11"/>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c r="AV572" s="6"/>
      <c r="AW572" s="6"/>
      <c r="AX572" s="6"/>
      <c r="AY572" s="6"/>
      <c r="AZ572" s="6"/>
      <c r="BA572" s="6"/>
      <c r="BB572" s="6"/>
      <c r="BC572" s="6"/>
      <c r="BD572" s="6"/>
      <c r="BE572" s="6"/>
      <c r="BF572" s="6"/>
      <c r="BG572" s="6"/>
      <c r="BH572" s="6"/>
      <c r="BI572" s="6"/>
      <c r="BJ572" s="6"/>
      <c r="BK572" s="6"/>
      <c r="BL572" s="6"/>
      <c r="BM572" s="6"/>
      <c r="BN572" s="6"/>
      <c r="BO572" s="6"/>
      <c r="BP572" s="6"/>
      <c r="BQ572" s="6"/>
      <c r="BR572" s="6"/>
      <c r="BS572" s="6"/>
      <c r="BT572" s="6"/>
      <c r="BU572" s="6"/>
      <c r="BV572" s="6"/>
      <c r="BW572" s="11"/>
      <c r="BX572" s="11"/>
      <c r="BY572" s="11"/>
      <c r="BZ572" s="11"/>
      <c r="CA572" s="11"/>
      <c r="CB572" s="11"/>
      <c r="CC572" s="11"/>
      <c r="CD572" s="11"/>
      <c r="CE572" s="11"/>
      <c r="CF572" s="11"/>
      <c r="CG572" s="11"/>
      <c r="CH572" s="11"/>
      <c r="CI572" s="11"/>
      <c r="CJ572" s="11"/>
      <c r="CK572" s="11"/>
      <c r="CL572" s="11"/>
      <c r="CM572" s="11"/>
      <c r="CN572" s="11"/>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c r="AB573" s="6"/>
      <c r="AC573" s="6"/>
      <c r="AD573" s="6"/>
      <c r="AE573" s="6"/>
      <c r="AF573" s="6"/>
      <c r="AG573" s="6"/>
      <c r="AH573" s="6"/>
      <c r="AI573" s="6"/>
      <c r="AJ573" s="6"/>
      <c r="AK573" s="6"/>
      <c r="AL573" s="6"/>
      <c r="AM573" s="6"/>
      <c r="AN573" s="6"/>
      <c r="AO573" s="6"/>
      <c r="AP573" s="6"/>
      <c r="AQ573" s="6"/>
      <c r="AR573" s="6"/>
      <c r="AS573" s="6"/>
      <c r="AT573" s="6"/>
      <c r="AU573" s="6"/>
      <c r="AV573" s="6"/>
      <c r="AW573" s="6"/>
      <c r="AX573" s="6"/>
      <c r="AY573" s="6"/>
      <c r="AZ573" s="6"/>
      <c r="BA573" s="6"/>
      <c r="BB573" s="6"/>
      <c r="BC573" s="6"/>
      <c r="BD573" s="6"/>
      <c r="BE573" s="6"/>
      <c r="BF573" s="6"/>
      <c r="BG573" s="6"/>
      <c r="BH573" s="6"/>
      <c r="BI573" s="6"/>
      <c r="BJ573" s="6"/>
      <c r="BK573" s="6"/>
      <c r="BL573" s="6"/>
      <c r="BM573" s="6"/>
      <c r="BN573" s="6"/>
      <c r="BO573" s="6"/>
      <c r="BP573" s="6"/>
      <c r="BQ573" s="6"/>
      <c r="BR573" s="6"/>
      <c r="BS573" s="6"/>
      <c r="BT573" s="6"/>
      <c r="BU573" s="6"/>
      <c r="BV573" s="6"/>
      <c r="BW573" s="11"/>
      <c r="BX573" s="11"/>
      <c r="BY573" s="11"/>
      <c r="BZ573" s="11"/>
      <c r="CA573" s="11"/>
      <c r="CB573" s="11"/>
      <c r="CC573" s="11"/>
      <c r="CD573" s="11"/>
      <c r="CE573" s="11"/>
      <c r="CF573" s="11"/>
      <c r="CG573" s="11"/>
      <c r="CH573" s="11"/>
      <c r="CI573" s="11"/>
      <c r="CJ573" s="11"/>
      <c r="CK573" s="11"/>
      <c r="CL573" s="11"/>
      <c r="CM573" s="11"/>
      <c r="CN573" s="11"/>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c r="AV574" s="6"/>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11"/>
      <c r="BX574" s="11"/>
      <c r="BY574" s="11"/>
      <c r="BZ574" s="11"/>
      <c r="CA574" s="11"/>
      <c r="CB574" s="11"/>
      <c r="CC574" s="11"/>
      <c r="CD574" s="11"/>
      <c r="CE574" s="11"/>
      <c r="CF574" s="11"/>
      <c r="CG574" s="11"/>
      <c r="CH574" s="11"/>
      <c r="CI574" s="11"/>
      <c r="CJ574" s="11"/>
      <c r="CK574" s="11"/>
      <c r="CL574" s="11"/>
      <c r="CM574" s="11"/>
      <c r="CN574" s="11"/>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c r="AO575" s="6"/>
      <c r="AP575" s="6"/>
      <c r="AQ575" s="6"/>
      <c r="AR575" s="6"/>
      <c r="AS575" s="6"/>
      <c r="AT575" s="6"/>
      <c r="AU575" s="6"/>
      <c r="AV575" s="6"/>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11"/>
      <c r="BX575" s="11"/>
      <c r="BY575" s="11"/>
      <c r="BZ575" s="11"/>
      <c r="CA575" s="11"/>
      <c r="CB575" s="11"/>
      <c r="CC575" s="11"/>
      <c r="CD575" s="11"/>
      <c r="CE575" s="11"/>
      <c r="CF575" s="11"/>
      <c r="CG575" s="11"/>
      <c r="CH575" s="11"/>
      <c r="CI575" s="11"/>
      <c r="CJ575" s="11"/>
      <c r="CK575" s="11"/>
      <c r="CL575" s="11"/>
      <c r="CM575" s="11"/>
      <c r="CN575" s="11"/>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c r="AV576" s="6"/>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11"/>
      <c r="BX576" s="11"/>
      <c r="BY576" s="11"/>
      <c r="BZ576" s="11"/>
      <c r="CA576" s="11"/>
      <c r="CB576" s="11"/>
      <c r="CC576" s="11"/>
      <c r="CD576" s="11"/>
      <c r="CE576" s="11"/>
      <c r="CF576" s="11"/>
      <c r="CG576" s="11"/>
      <c r="CH576" s="11"/>
      <c r="CI576" s="11"/>
      <c r="CJ576" s="11"/>
      <c r="CK576" s="11"/>
      <c r="CL576" s="11"/>
      <c r="CM576" s="11"/>
      <c r="CN576" s="11"/>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c r="AB577" s="6"/>
      <c r="AC577" s="6"/>
      <c r="AD577" s="6"/>
      <c r="AE577" s="6"/>
      <c r="AF577" s="6"/>
      <c r="AG577" s="6"/>
      <c r="AH577" s="6"/>
      <c r="AI577" s="6"/>
      <c r="AJ577" s="6"/>
      <c r="AK577" s="6"/>
      <c r="AL577" s="6"/>
      <c r="AM577" s="6"/>
      <c r="AN577" s="6"/>
      <c r="AO577" s="6"/>
      <c r="AP577" s="6"/>
      <c r="AQ577" s="6"/>
      <c r="AR577" s="6"/>
      <c r="AS577" s="6"/>
      <c r="AT577" s="6"/>
      <c r="AU577" s="6"/>
      <c r="AV577" s="6"/>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11"/>
      <c r="BX577" s="11"/>
      <c r="BY577" s="11"/>
      <c r="BZ577" s="11"/>
      <c r="CA577" s="11"/>
      <c r="CB577" s="11"/>
      <c r="CC577" s="11"/>
      <c r="CD577" s="11"/>
      <c r="CE577" s="11"/>
      <c r="CF577" s="11"/>
      <c r="CG577" s="11"/>
      <c r="CH577" s="11"/>
      <c r="CI577" s="11"/>
      <c r="CJ577" s="11"/>
      <c r="CK577" s="11"/>
      <c r="CL577" s="11"/>
      <c r="CM577" s="11"/>
      <c r="CN577" s="11"/>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c r="AV578" s="6"/>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11"/>
      <c r="BX578" s="11"/>
      <c r="BY578" s="11"/>
      <c r="BZ578" s="11"/>
      <c r="CA578" s="11"/>
      <c r="CB578" s="11"/>
      <c r="CC578" s="11"/>
      <c r="CD578" s="11"/>
      <c r="CE578" s="11"/>
      <c r="CF578" s="11"/>
      <c r="CG578" s="11"/>
      <c r="CH578" s="11"/>
      <c r="CI578" s="11"/>
      <c r="CJ578" s="11"/>
      <c r="CK578" s="11"/>
      <c r="CL578" s="11"/>
      <c r="CM578" s="11"/>
      <c r="CN578" s="11"/>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c r="AB579" s="6"/>
      <c r="AC579" s="6"/>
      <c r="AD579" s="6"/>
      <c r="AE579" s="6"/>
      <c r="AF579" s="6"/>
      <c r="AG579" s="6"/>
      <c r="AH579" s="6"/>
      <c r="AI579" s="6"/>
      <c r="AJ579" s="6"/>
      <c r="AK579" s="6"/>
      <c r="AL579" s="6"/>
      <c r="AM579" s="6"/>
      <c r="AN579" s="6"/>
      <c r="AO579" s="6"/>
      <c r="AP579" s="6"/>
      <c r="AQ579" s="6"/>
      <c r="AR579" s="6"/>
      <c r="AS579" s="6"/>
      <c r="AT579" s="6"/>
      <c r="AU579" s="6"/>
      <c r="AV579" s="6"/>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11"/>
      <c r="BX579" s="11"/>
      <c r="BY579" s="11"/>
      <c r="BZ579" s="11"/>
      <c r="CA579" s="11"/>
      <c r="CB579" s="11"/>
      <c r="CC579" s="11"/>
      <c r="CD579" s="11"/>
      <c r="CE579" s="11"/>
      <c r="CF579" s="11"/>
      <c r="CG579" s="11"/>
      <c r="CH579" s="11"/>
      <c r="CI579" s="11"/>
      <c r="CJ579" s="11"/>
      <c r="CK579" s="11"/>
      <c r="CL579" s="11"/>
      <c r="CM579" s="11"/>
      <c r="CN579" s="11"/>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c r="AV580" s="6"/>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11"/>
      <c r="BX580" s="11"/>
      <c r="BY580" s="11"/>
      <c r="BZ580" s="11"/>
      <c r="CA580" s="11"/>
      <c r="CB580" s="11"/>
      <c r="CC580" s="11"/>
      <c r="CD580" s="11"/>
      <c r="CE580" s="11"/>
      <c r="CF580" s="11"/>
      <c r="CG580" s="11"/>
      <c r="CH580" s="11"/>
      <c r="CI580" s="11"/>
      <c r="CJ580" s="11"/>
      <c r="CK580" s="11"/>
      <c r="CL580" s="11"/>
      <c r="CM580" s="11"/>
      <c r="CN580" s="11"/>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c r="AB581" s="6"/>
      <c r="AC581" s="6"/>
      <c r="AD581" s="6"/>
      <c r="AE581" s="6"/>
      <c r="AF581" s="6"/>
      <c r="AG581" s="6"/>
      <c r="AH581" s="6"/>
      <c r="AI581" s="6"/>
      <c r="AJ581" s="6"/>
      <c r="AK581" s="6"/>
      <c r="AL581" s="6"/>
      <c r="AM581" s="6"/>
      <c r="AN581" s="6"/>
      <c r="AO581" s="6"/>
      <c r="AP581" s="6"/>
      <c r="AQ581" s="6"/>
      <c r="AR581" s="6"/>
      <c r="AS581" s="6"/>
      <c r="AT581" s="6"/>
      <c r="AU581" s="6"/>
      <c r="AV581" s="6"/>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11"/>
      <c r="BX581" s="11"/>
      <c r="BY581" s="11"/>
      <c r="BZ581" s="11"/>
      <c r="CA581" s="11"/>
      <c r="CB581" s="11"/>
      <c r="CC581" s="11"/>
      <c r="CD581" s="11"/>
      <c r="CE581" s="11"/>
      <c r="CF581" s="11"/>
      <c r="CG581" s="11"/>
      <c r="CH581" s="11"/>
      <c r="CI581" s="11"/>
      <c r="CJ581" s="11"/>
      <c r="CK581" s="11"/>
      <c r="CL581" s="11"/>
      <c r="CM581" s="11"/>
      <c r="CN581" s="11"/>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11"/>
      <c r="BX582" s="11"/>
      <c r="BY582" s="11"/>
      <c r="BZ582" s="11"/>
      <c r="CA582" s="11"/>
      <c r="CB582" s="11"/>
      <c r="CC582" s="11"/>
      <c r="CD582" s="11"/>
      <c r="CE582" s="11"/>
      <c r="CF582" s="11"/>
      <c r="CG582" s="11"/>
      <c r="CH582" s="11"/>
      <c r="CI582" s="11"/>
      <c r="CJ582" s="11"/>
      <c r="CK582" s="11"/>
      <c r="CL582" s="11"/>
      <c r="CM582" s="11"/>
      <c r="CN582" s="11"/>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c r="AB583" s="6"/>
      <c r="AC583" s="6"/>
      <c r="AD583" s="6"/>
      <c r="AE583" s="6"/>
      <c r="AF583" s="6"/>
      <c r="AG583" s="6"/>
      <c r="AH583" s="6"/>
      <c r="AI583" s="6"/>
      <c r="AJ583" s="6"/>
      <c r="AK583" s="6"/>
      <c r="AL583" s="6"/>
      <c r="AM583" s="6"/>
      <c r="AN583" s="6"/>
      <c r="AO583" s="6"/>
      <c r="AP583" s="6"/>
      <c r="AQ583" s="6"/>
      <c r="AR583" s="6"/>
      <c r="AS583" s="6"/>
      <c r="AT583" s="6"/>
      <c r="AU583" s="6"/>
      <c r="AV583" s="6"/>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11"/>
      <c r="BX583" s="11"/>
      <c r="BY583" s="11"/>
      <c r="BZ583" s="11"/>
      <c r="CA583" s="11"/>
      <c r="CB583" s="11"/>
      <c r="CC583" s="11"/>
      <c r="CD583" s="11"/>
      <c r="CE583" s="11"/>
      <c r="CF583" s="11"/>
      <c r="CG583" s="11"/>
      <c r="CH583" s="11"/>
      <c r="CI583" s="11"/>
      <c r="CJ583" s="11"/>
      <c r="CK583" s="11"/>
      <c r="CL583" s="11"/>
      <c r="CM583" s="11"/>
      <c r="CN583" s="11"/>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11"/>
      <c r="BX584" s="11"/>
      <c r="BY584" s="11"/>
      <c r="BZ584" s="11"/>
      <c r="CA584" s="11"/>
      <c r="CB584" s="11"/>
      <c r="CC584" s="11"/>
      <c r="CD584" s="11"/>
      <c r="CE584" s="11"/>
      <c r="CF584" s="11"/>
      <c r="CG584" s="11"/>
      <c r="CH584" s="11"/>
      <c r="CI584" s="11"/>
      <c r="CJ584" s="11"/>
      <c r="CK584" s="11"/>
      <c r="CL584" s="11"/>
      <c r="CM584" s="11"/>
      <c r="CN584" s="11"/>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c r="AB585" s="6"/>
      <c r="AC585" s="6"/>
      <c r="AD585" s="6"/>
      <c r="AE585" s="6"/>
      <c r="AF585" s="6"/>
      <c r="AG585" s="6"/>
      <c r="AH585" s="6"/>
      <c r="AI585" s="6"/>
      <c r="AJ585" s="6"/>
      <c r="AK585" s="6"/>
      <c r="AL585" s="6"/>
      <c r="AM585" s="6"/>
      <c r="AN585" s="6"/>
      <c r="AO585" s="6"/>
      <c r="AP585" s="6"/>
      <c r="AQ585" s="6"/>
      <c r="AR585" s="6"/>
      <c r="AS585" s="6"/>
      <c r="AT585" s="6"/>
      <c r="AU585" s="6"/>
      <c r="AV585" s="6"/>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11"/>
      <c r="BX585" s="11"/>
      <c r="BY585" s="11"/>
      <c r="BZ585" s="11"/>
      <c r="CA585" s="11"/>
      <c r="CB585" s="11"/>
      <c r="CC585" s="11"/>
      <c r="CD585" s="11"/>
      <c r="CE585" s="11"/>
      <c r="CF585" s="11"/>
      <c r="CG585" s="11"/>
      <c r="CH585" s="11"/>
      <c r="CI585" s="11"/>
      <c r="CJ585" s="11"/>
      <c r="CK585" s="11"/>
      <c r="CL585" s="11"/>
      <c r="CM585" s="11"/>
      <c r="CN585" s="11"/>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11"/>
      <c r="BX586" s="11"/>
      <c r="BY586" s="11"/>
      <c r="BZ586" s="11"/>
      <c r="CA586" s="11"/>
      <c r="CB586" s="11"/>
      <c r="CC586" s="11"/>
      <c r="CD586" s="11"/>
      <c r="CE586" s="11"/>
      <c r="CF586" s="11"/>
      <c r="CG586" s="11"/>
      <c r="CH586" s="11"/>
      <c r="CI586" s="11"/>
      <c r="CJ586" s="11"/>
      <c r="CK586" s="11"/>
      <c r="CL586" s="11"/>
      <c r="CM586" s="11"/>
      <c r="CN586" s="11"/>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11"/>
      <c r="BX587" s="11"/>
      <c r="BY587" s="11"/>
      <c r="BZ587" s="11"/>
      <c r="CA587" s="11"/>
      <c r="CB587" s="11"/>
      <c r="CC587" s="11"/>
      <c r="CD587" s="11"/>
      <c r="CE587" s="11"/>
      <c r="CF587" s="11"/>
      <c r="CG587" s="11"/>
      <c r="CH587" s="11"/>
      <c r="CI587" s="11"/>
      <c r="CJ587" s="11"/>
      <c r="CK587" s="11"/>
      <c r="CL587" s="11"/>
      <c r="CM587" s="11"/>
      <c r="CN587" s="11"/>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11"/>
      <c r="BX588" s="11"/>
      <c r="BY588" s="11"/>
      <c r="BZ588" s="11"/>
      <c r="CA588" s="11"/>
      <c r="CB588" s="11"/>
      <c r="CC588" s="11"/>
      <c r="CD588" s="11"/>
      <c r="CE588" s="11"/>
      <c r="CF588" s="11"/>
      <c r="CG588" s="11"/>
      <c r="CH588" s="11"/>
      <c r="CI588" s="11"/>
      <c r="CJ588" s="11"/>
      <c r="CK588" s="11"/>
      <c r="CL588" s="11"/>
      <c r="CM588" s="11"/>
      <c r="CN588" s="11"/>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11"/>
      <c r="BX589" s="11"/>
      <c r="BY589" s="11"/>
      <c r="BZ589" s="11"/>
      <c r="CA589" s="11"/>
      <c r="CB589" s="11"/>
      <c r="CC589" s="11"/>
      <c r="CD589" s="11"/>
      <c r="CE589" s="11"/>
      <c r="CF589" s="11"/>
      <c r="CG589" s="11"/>
      <c r="CH589" s="11"/>
      <c r="CI589" s="11"/>
      <c r="CJ589" s="11"/>
      <c r="CK589" s="11"/>
      <c r="CL589" s="11"/>
      <c r="CM589" s="11"/>
      <c r="CN589" s="11"/>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11"/>
      <c r="BX590" s="11"/>
      <c r="BY590" s="11"/>
      <c r="BZ590" s="11"/>
      <c r="CA590" s="11"/>
      <c r="CB590" s="11"/>
      <c r="CC590" s="11"/>
      <c r="CD590" s="11"/>
      <c r="CE590" s="11"/>
      <c r="CF590" s="11"/>
      <c r="CG590" s="11"/>
      <c r="CH590" s="11"/>
      <c r="CI590" s="11"/>
      <c r="CJ590" s="11"/>
      <c r="CK590" s="11"/>
      <c r="CL590" s="11"/>
      <c r="CM590" s="11"/>
      <c r="CN590" s="11"/>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c r="AB591" s="6"/>
      <c r="AC591" s="6"/>
      <c r="AD591" s="6"/>
      <c r="AE591" s="6"/>
      <c r="AF591" s="6"/>
      <c r="AG591" s="6"/>
      <c r="AH591" s="6"/>
      <c r="AI591" s="6"/>
      <c r="AJ591" s="6"/>
      <c r="AK591" s="6"/>
      <c r="AL591" s="6"/>
      <c r="AM591" s="6"/>
      <c r="AN591" s="6"/>
      <c r="AO591" s="6"/>
      <c r="AP591" s="6"/>
      <c r="AQ591" s="6"/>
      <c r="AR591" s="6"/>
      <c r="AS591" s="6"/>
      <c r="AT591" s="6"/>
      <c r="AU591" s="6"/>
      <c r="AV591" s="6"/>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11"/>
      <c r="BX591" s="11"/>
      <c r="BY591" s="11"/>
      <c r="BZ591" s="11"/>
      <c r="CA591" s="11"/>
      <c r="CB591" s="11"/>
      <c r="CC591" s="11"/>
      <c r="CD591" s="11"/>
      <c r="CE591" s="11"/>
      <c r="CF591" s="11"/>
      <c r="CG591" s="11"/>
      <c r="CH591" s="11"/>
      <c r="CI591" s="11"/>
      <c r="CJ591" s="11"/>
      <c r="CK591" s="11"/>
      <c r="CL591" s="11"/>
      <c r="CM591" s="11"/>
      <c r="CN591" s="11"/>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11"/>
      <c r="BX592" s="11"/>
      <c r="BY592" s="11"/>
      <c r="BZ592" s="11"/>
      <c r="CA592" s="11"/>
      <c r="CB592" s="11"/>
      <c r="CC592" s="11"/>
      <c r="CD592" s="11"/>
      <c r="CE592" s="11"/>
      <c r="CF592" s="11"/>
      <c r="CG592" s="11"/>
      <c r="CH592" s="11"/>
      <c r="CI592" s="11"/>
      <c r="CJ592" s="11"/>
      <c r="CK592" s="11"/>
      <c r="CL592" s="11"/>
      <c r="CM592" s="11"/>
      <c r="CN592" s="11"/>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c r="AN593" s="6"/>
      <c r="AO593" s="6"/>
      <c r="AP593" s="6"/>
      <c r="AQ593" s="6"/>
      <c r="AR593" s="6"/>
      <c r="AS593" s="6"/>
      <c r="AT593" s="6"/>
      <c r="AU593" s="6"/>
      <c r="AV593" s="6"/>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11"/>
      <c r="BX593" s="11"/>
      <c r="BY593" s="11"/>
      <c r="BZ593" s="11"/>
      <c r="CA593" s="11"/>
      <c r="CB593" s="11"/>
      <c r="CC593" s="11"/>
      <c r="CD593" s="11"/>
      <c r="CE593" s="11"/>
      <c r="CF593" s="11"/>
      <c r="CG593" s="11"/>
      <c r="CH593" s="11"/>
      <c r="CI593" s="11"/>
      <c r="CJ593" s="11"/>
      <c r="CK593" s="11"/>
      <c r="CL593" s="11"/>
      <c r="CM593" s="11"/>
      <c r="CN593" s="11"/>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11"/>
      <c r="BX594" s="11"/>
      <c r="BY594" s="11"/>
      <c r="BZ594" s="11"/>
      <c r="CA594" s="11"/>
      <c r="CB594" s="11"/>
      <c r="CC594" s="11"/>
      <c r="CD594" s="11"/>
      <c r="CE594" s="11"/>
      <c r="CF594" s="11"/>
      <c r="CG594" s="11"/>
      <c r="CH594" s="11"/>
      <c r="CI594" s="11"/>
      <c r="CJ594" s="11"/>
      <c r="CK594" s="11"/>
      <c r="CL594" s="11"/>
      <c r="CM594" s="11"/>
      <c r="CN594" s="11"/>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c r="AB595" s="6"/>
      <c r="AC595" s="6"/>
      <c r="AD595" s="6"/>
      <c r="AE595" s="6"/>
      <c r="AF595" s="6"/>
      <c r="AG595" s="6"/>
      <c r="AH595" s="6"/>
      <c r="AI595" s="6"/>
      <c r="AJ595" s="6"/>
      <c r="AK595" s="6"/>
      <c r="AL595" s="6"/>
      <c r="AM595" s="6"/>
      <c r="AN595" s="6"/>
      <c r="AO595" s="6"/>
      <c r="AP595" s="6"/>
      <c r="AQ595" s="6"/>
      <c r="AR595" s="6"/>
      <c r="AS595" s="6"/>
      <c r="AT595" s="6"/>
      <c r="AU595" s="6"/>
      <c r="AV595" s="6"/>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11"/>
      <c r="BX595" s="11"/>
      <c r="BY595" s="11"/>
      <c r="BZ595" s="11"/>
      <c r="CA595" s="11"/>
      <c r="CB595" s="11"/>
      <c r="CC595" s="11"/>
      <c r="CD595" s="11"/>
      <c r="CE595" s="11"/>
      <c r="CF595" s="11"/>
      <c r="CG595" s="11"/>
      <c r="CH595" s="11"/>
      <c r="CI595" s="11"/>
      <c r="CJ595" s="11"/>
      <c r="CK595" s="11"/>
      <c r="CL595" s="11"/>
      <c r="CM595" s="11"/>
      <c r="CN595" s="11"/>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11"/>
      <c r="BX596" s="11"/>
      <c r="BY596" s="11"/>
      <c r="BZ596" s="11"/>
      <c r="CA596" s="11"/>
      <c r="CB596" s="11"/>
      <c r="CC596" s="11"/>
      <c r="CD596" s="11"/>
      <c r="CE596" s="11"/>
      <c r="CF596" s="11"/>
      <c r="CG596" s="11"/>
      <c r="CH596" s="11"/>
      <c r="CI596" s="11"/>
      <c r="CJ596" s="11"/>
      <c r="CK596" s="11"/>
      <c r="CL596" s="11"/>
      <c r="CM596" s="11"/>
      <c r="CN596" s="11"/>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c r="AB597" s="6"/>
      <c r="AC597" s="6"/>
      <c r="AD597" s="6"/>
      <c r="AE597" s="6"/>
      <c r="AF597" s="6"/>
      <c r="AG597" s="6"/>
      <c r="AH597" s="6"/>
      <c r="AI597" s="6"/>
      <c r="AJ597" s="6"/>
      <c r="AK597" s="6"/>
      <c r="AL597" s="6"/>
      <c r="AM597" s="6"/>
      <c r="AN597" s="6"/>
      <c r="AO597" s="6"/>
      <c r="AP597" s="6"/>
      <c r="AQ597" s="6"/>
      <c r="AR597" s="6"/>
      <c r="AS597" s="6"/>
      <c r="AT597" s="6"/>
      <c r="AU597" s="6"/>
      <c r="AV597" s="6"/>
      <c r="AW597" s="6"/>
      <c r="AX597" s="6"/>
      <c r="AY597" s="6"/>
      <c r="AZ597" s="6"/>
      <c r="BA597" s="6"/>
      <c r="BB597" s="6"/>
      <c r="BC597" s="6"/>
      <c r="BD597" s="6"/>
      <c r="BE597" s="6"/>
      <c r="BF597" s="6"/>
      <c r="BG597" s="6"/>
      <c r="BH597" s="6"/>
      <c r="BI597" s="6"/>
      <c r="BJ597" s="6"/>
      <c r="BK597" s="6"/>
      <c r="BL597" s="6"/>
      <c r="BM597" s="6"/>
      <c r="BN597" s="6"/>
      <c r="BO597" s="6"/>
      <c r="BP597" s="6"/>
      <c r="BQ597" s="6"/>
      <c r="BR597" s="6"/>
      <c r="BS597" s="6"/>
      <c r="BT597" s="6"/>
      <c r="BU597" s="6"/>
      <c r="BV597" s="6"/>
      <c r="BW597" s="11"/>
      <c r="BX597" s="11"/>
      <c r="BY597" s="11"/>
      <c r="BZ597" s="11"/>
      <c r="CA597" s="11"/>
      <c r="CB597" s="11"/>
      <c r="CC597" s="11"/>
      <c r="CD597" s="11"/>
      <c r="CE597" s="11"/>
      <c r="CF597" s="11"/>
      <c r="CG597" s="11"/>
      <c r="CH597" s="11"/>
      <c r="CI597" s="11"/>
      <c r="CJ597" s="11"/>
      <c r="CK597" s="11"/>
      <c r="CL597" s="11"/>
      <c r="CM597" s="11"/>
      <c r="CN597" s="11"/>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11"/>
      <c r="BX598" s="11"/>
      <c r="BY598" s="11"/>
      <c r="BZ598" s="11"/>
      <c r="CA598" s="11"/>
      <c r="CB598" s="11"/>
      <c r="CC598" s="11"/>
      <c r="CD598" s="11"/>
      <c r="CE598" s="11"/>
      <c r="CF598" s="11"/>
      <c r="CG598" s="11"/>
      <c r="CH598" s="11"/>
      <c r="CI598" s="11"/>
      <c r="CJ598" s="11"/>
      <c r="CK598" s="11"/>
      <c r="CL598" s="11"/>
      <c r="CM598" s="11"/>
      <c r="CN598" s="11"/>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11"/>
      <c r="BX599" s="11"/>
      <c r="BY599" s="11"/>
      <c r="BZ599" s="11"/>
      <c r="CA599" s="11"/>
      <c r="CB599" s="11"/>
      <c r="CC599" s="11"/>
      <c r="CD599" s="11"/>
      <c r="CE599" s="11"/>
      <c r="CF599" s="11"/>
      <c r="CG599" s="11"/>
      <c r="CH599" s="11"/>
      <c r="CI599" s="11"/>
      <c r="CJ599" s="11"/>
      <c r="CK599" s="11"/>
      <c r="CL599" s="11"/>
      <c r="CM599" s="11"/>
      <c r="CN599" s="11"/>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11"/>
      <c r="BX600" s="11"/>
      <c r="BY600" s="11"/>
      <c r="BZ600" s="11"/>
      <c r="CA600" s="11"/>
      <c r="CB600" s="11"/>
      <c r="CC600" s="11"/>
      <c r="CD600" s="11"/>
      <c r="CE600" s="11"/>
      <c r="CF600" s="11"/>
      <c r="CG600" s="11"/>
      <c r="CH600" s="11"/>
      <c r="CI600" s="11"/>
      <c r="CJ600" s="11"/>
      <c r="CK600" s="11"/>
      <c r="CL600" s="11"/>
      <c r="CM600" s="11"/>
      <c r="CN600" s="11"/>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11"/>
      <c r="BX601" s="11"/>
      <c r="BY601" s="11"/>
      <c r="BZ601" s="11"/>
      <c r="CA601" s="11"/>
      <c r="CB601" s="11"/>
      <c r="CC601" s="11"/>
      <c r="CD601" s="11"/>
      <c r="CE601" s="11"/>
      <c r="CF601" s="11"/>
      <c r="CG601" s="11"/>
      <c r="CH601" s="11"/>
      <c r="CI601" s="11"/>
      <c r="CJ601" s="11"/>
      <c r="CK601" s="11"/>
      <c r="CL601" s="11"/>
      <c r="CM601" s="11"/>
      <c r="CN601" s="11"/>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11"/>
      <c r="BX602" s="11"/>
      <c r="BY602" s="11"/>
      <c r="BZ602" s="11"/>
      <c r="CA602" s="11"/>
      <c r="CB602" s="11"/>
      <c r="CC602" s="11"/>
      <c r="CD602" s="11"/>
      <c r="CE602" s="11"/>
      <c r="CF602" s="11"/>
      <c r="CG602" s="11"/>
      <c r="CH602" s="11"/>
      <c r="CI602" s="11"/>
      <c r="CJ602" s="11"/>
      <c r="CK602" s="11"/>
      <c r="CL602" s="11"/>
      <c r="CM602" s="11"/>
      <c r="CN602" s="11"/>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c r="AN603" s="6"/>
      <c r="AO603" s="6"/>
      <c r="AP603" s="6"/>
      <c r="AQ603" s="6"/>
      <c r="AR603" s="6"/>
      <c r="AS603" s="6"/>
      <c r="AT603" s="6"/>
      <c r="AU603" s="6"/>
      <c r="AV603" s="6"/>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11"/>
      <c r="BX603" s="11"/>
      <c r="BY603" s="11"/>
      <c r="BZ603" s="11"/>
      <c r="CA603" s="11"/>
      <c r="CB603" s="11"/>
      <c r="CC603" s="11"/>
      <c r="CD603" s="11"/>
      <c r="CE603" s="11"/>
      <c r="CF603" s="11"/>
      <c r="CG603" s="11"/>
      <c r="CH603" s="11"/>
      <c r="CI603" s="11"/>
      <c r="CJ603" s="11"/>
      <c r="CK603" s="11"/>
      <c r="CL603" s="11"/>
      <c r="CM603" s="11"/>
      <c r="CN603" s="11"/>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11"/>
      <c r="BX604" s="11"/>
      <c r="BY604" s="11"/>
      <c r="BZ604" s="11"/>
      <c r="CA604" s="11"/>
      <c r="CB604" s="11"/>
      <c r="CC604" s="11"/>
      <c r="CD604" s="11"/>
      <c r="CE604" s="11"/>
      <c r="CF604" s="11"/>
      <c r="CG604" s="11"/>
      <c r="CH604" s="11"/>
      <c r="CI604" s="11"/>
      <c r="CJ604" s="11"/>
      <c r="CK604" s="11"/>
      <c r="CL604" s="11"/>
      <c r="CM604" s="11"/>
      <c r="CN604" s="11"/>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c r="AB605" s="6"/>
      <c r="AC605" s="6"/>
      <c r="AD605" s="6"/>
      <c r="AE605" s="6"/>
      <c r="AF605" s="6"/>
      <c r="AG605" s="6"/>
      <c r="AH605" s="6"/>
      <c r="AI605" s="6"/>
      <c r="AJ605" s="6"/>
      <c r="AK605" s="6"/>
      <c r="AL605" s="6"/>
      <c r="AM605" s="6"/>
      <c r="AN605" s="6"/>
      <c r="AO605" s="6"/>
      <c r="AP605" s="6"/>
      <c r="AQ605" s="6"/>
      <c r="AR605" s="6"/>
      <c r="AS605" s="6"/>
      <c r="AT605" s="6"/>
      <c r="AU605" s="6"/>
      <c r="AV605" s="6"/>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11"/>
      <c r="BX605" s="11"/>
      <c r="BY605" s="11"/>
      <c r="BZ605" s="11"/>
      <c r="CA605" s="11"/>
      <c r="CB605" s="11"/>
      <c r="CC605" s="11"/>
      <c r="CD605" s="11"/>
      <c r="CE605" s="11"/>
      <c r="CF605" s="11"/>
      <c r="CG605" s="11"/>
      <c r="CH605" s="11"/>
      <c r="CI605" s="11"/>
      <c r="CJ605" s="11"/>
      <c r="CK605" s="11"/>
      <c r="CL605" s="11"/>
      <c r="CM605" s="11"/>
      <c r="CN605" s="11"/>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11"/>
      <c r="BX606" s="11"/>
      <c r="BY606" s="11"/>
      <c r="BZ606" s="11"/>
      <c r="CA606" s="11"/>
      <c r="CB606" s="11"/>
      <c r="CC606" s="11"/>
      <c r="CD606" s="11"/>
      <c r="CE606" s="11"/>
      <c r="CF606" s="11"/>
      <c r="CG606" s="11"/>
      <c r="CH606" s="11"/>
      <c r="CI606" s="11"/>
      <c r="CJ606" s="11"/>
      <c r="CK606" s="11"/>
      <c r="CL606" s="11"/>
      <c r="CM606" s="11"/>
      <c r="CN606" s="11"/>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c r="AN607" s="6"/>
      <c r="AO607" s="6"/>
      <c r="AP607" s="6"/>
      <c r="AQ607" s="6"/>
      <c r="AR607" s="6"/>
      <c r="AS607" s="6"/>
      <c r="AT607" s="6"/>
      <c r="AU607" s="6"/>
      <c r="AV607" s="6"/>
      <c r="AW607" s="6"/>
      <c r="AX607" s="6"/>
      <c r="AY607" s="6"/>
      <c r="AZ607" s="6"/>
      <c r="BA607" s="6"/>
      <c r="BB607" s="6"/>
      <c r="BC607" s="6"/>
      <c r="BD607" s="6"/>
      <c r="BE607" s="6"/>
      <c r="BF607" s="6"/>
      <c r="BG607" s="6"/>
      <c r="BH607" s="6"/>
      <c r="BI607" s="6"/>
      <c r="BJ607" s="6"/>
      <c r="BK607" s="6"/>
      <c r="BL607" s="6"/>
      <c r="BM607" s="6"/>
      <c r="BN607" s="6"/>
      <c r="BO607" s="6"/>
      <c r="BP607" s="6"/>
      <c r="BQ607" s="6"/>
      <c r="BR607" s="6"/>
      <c r="BS607" s="6"/>
      <c r="BT607" s="6"/>
      <c r="BU607" s="6"/>
      <c r="BV607" s="6"/>
      <c r="BW607" s="11"/>
      <c r="BX607" s="11"/>
      <c r="BY607" s="11"/>
      <c r="BZ607" s="11"/>
      <c r="CA607" s="11"/>
      <c r="CB607" s="11"/>
      <c r="CC607" s="11"/>
      <c r="CD607" s="11"/>
      <c r="CE607" s="11"/>
      <c r="CF607" s="11"/>
      <c r="CG607" s="11"/>
      <c r="CH607" s="11"/>
      <c r="CI607" s="11"/>
      <c r="CJ607" s="11"/>
      <c r="CK607" s="11"/>
      <c r="CL607" s="11"/>
      <c r="CM607" s="11"/>
      <c r="CN607" s="11"/>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c r="BA608" s="6"/>
      <c r="BB608" s="6"/>
      <c r="BC608" s="6"/>
      <c r="BD608" s="6"/>
      <c r="BE608" s="6"/>
      <c r="BF608" s="6"/>
      <c r="BG608" s="6"/>
      <c r="BH608" s="6"/>
      <c r="BI608" s="6"/>
      <c r="BJ608" s="6"/>
      <c r="BK608" s="6"/>
      <c r="BL608" s="6"/>
      <c r="BM608" s="6"/>
      <c r="BN608" s="6"/>
      <c r="BO608" s="6"/>
      <c r="BP608" s="6"/>
      <c r="BQ608" s="6"/>
      <c r="BR608" s="6"/>
      <c r="BS608" s="6"/>
      <c r="BT608" s="6"/>
      <c r="BU608" s="6"/>
      <c r="BV608" s="6"/>
      <c r="BW608" s="11"/>
      <c r="BX608" s="11"/>
      <c r="BY608" s="11"/>
      <c r="BZ608" s="11"/>
      <c r="CA608" s="11"/>
      <c r="CB608" s="11"/>
      <c r="CC608" s="11"/>
      <c r="CD608" s="11"/>
      <c r="CE608" s="11"/>
      <c r="CF608" s="11"/>
      <c r="CG608" s="11"/>
      <c r="CH608" s="11"/>
      <c r="CI608" s="11"/>
      <c r="CJ608" s="11"/>
      <c r="CK608" s="11"/>
      <c r="CL608" s="11"/>
      <c r="CM608" s="11"/>
      <c r="CN608" s="11"/>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c r="AB609" s="6"/>
      <c r="AC609" s="6"/>
      <c r="AD609" s="6"/>
      <c r="AE609" s="6"/>
      <c r="AF609" s="6"/>
      <c r="AG609" s="6"/>
      <c r="AH609" s="6"/>
      <c r="AI609" s="6"/>
      <c r="AJ609" s="6"/>
      <c r="AK609" s="6"/>
      <c r="AL609" s="6"/>
      <c r="AM609" s="6"/>
      <c r="AN609" s="6"/>
      <c r="AO609" s="6"/>
      <c r="AP609" s="6"/>
      <c r="AQ609" s="6"/>
      <c r="AR609" s="6"/>
      <c r="AS609" s="6"/>
      <c r="AT609" s="6"/>
      <c r="AU609" s="6"/>
      <c r="AV609" s="6"/>
      <c r="AW609" s="6"/>
      <c r="AX609" s="6"/>
      <c r="AY609" s="6"/>
      <c r="AZ609" s="6"/>
      <c r="BA609" s="6"/>
      <c r="BB609" s="6"/>
      <c r="BC609" s="6"/>
      <c r="BD609" s="6"/>
      <c r="BE609" s="6"/>
      <c r="BF609" s="6"/>
      <c r="BG609" s="6"/>
      <c r="BH609" s="6"/>
      <c r="BI609" s="6"/>
      <c r="BJ609" s="6"/>
      <c r="BK609" s="6"/>
      <c r="BL609" s="6"/>
      <c r="BM609" s="6"/>
      <c r="BN609" s="6"/>
      <c r="BO609" s="6"/>
      <c r="BP609" s="6"/>
      <c r="BQ609" s="6"/>
      <c r="BR609" s="6"/>
      <c r="BS609" s="6"/>
      <c r="BT609" s="6"/>
      <c r="BU609" s="6"/>
      <c r="BV609" s="6"/>
      <c r="BW609" s="11"/>
      <c r="BX609" s="11"/>
      <c r="BY609" s="11"/>
      <c r="BZ609" s="11"/>
      <c r="CA609" s="11"/>
      <c r="CB609" s="11"/>
      <c r="CC609" s="11"/>
      <c r="CD609" s="11"/>
      <c r="CE609" s="11"/>
      <c r="CF609" s="11"/>
      <c r="CG609" s="11"/>
      <c r="CH609" s="11"/>
      <c r="CI609" s="11"/>
      <c r="CJ609" s="11"/>
      <c r="CK609" s="11"/>
      <c r="CL609" s="11"/>
      <c r="CM609" s="11"/>
      <c r="CN609" s="11"/>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c r="BA610" s="6"/>
      <c r="BB610" s="6"/>
      <c r="BC610" s="6"/>
      <c r="BD610" s="6"/>
      <c r="BE610" s="6"/>
      <c r="BF610" s="6"/>
      <c r="BG610" s="6"/>
      <c r="BH610" s="6"/>
      <c r="BI610" s="6"/>
      <c r="BJ610" s="6"/>
      <c r="BK610" s="6"/>
      <c r="BL610" s="6"/>
      <c r="BM610" s="6"/>
      <c r="BN610" s="6"/>
      <c r="BO610" s="6"/>
      <c r="BP610" s="6"/>
      <c r="BQ610" s="6"/>
      <c r="BR610" s="6"/>
      <c r="BS610" s="6"/>
      <c r="BT610" s="6"/>
      <c r="BU610" s="6"/>
      <c r="BV610" s="6"/>
      <c r="BW610" s="11"/>
      <c r="BX610" s="11"/>
      <c r="BY610" s="11"/>
      <c r="BZ610" s="11"/>
      <c r="CA610" s="11"/>
      <c r="CB610" s="11"/>
      <c r="CC610" s="11"/>
      <c r="CD610" s="11"/>
      <c r="CE610" s="11"/>
      <c r="CF610" s="11"/>
      <c r="CG610" s="11"/>
      <c r="CH610" s="11"/>
      <c r="CI610" s="11"/>
      <c r="CJ610" s="11"/>
      <c r="CK610" s="11"/>
      <c r="CL610" s="11"/>
      <c r="CM610" s="11"/>
      <c r="CN610" s="11"/>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c r="AX611" s="6"/>
      <c r="AY611" s="6"/>
      <c r="AZ611" s="6"/>
      <c r="BA611" s="6"/>
      <c r="BB611" s="6"/>
      <c r="BC611" s="6"/>
      <c r="BD611" s="6"/>
      <c r="BE611" s="6"/>
      <c r="BF611" s="6"/>
      <c r="BG611" s="6"/>
      <c r="BH611" s="6"/>
      <c r="BI611" s="6"/>
      <c r="BJ611" s="6"/>
      <c r="BK611" s="6"/>
      <c r="BL611" s="6"/>
      <c r="BM611" s="6"/>
      <c r="BN611" s="6"/>
      <c r="BO611" s="6"/>
      <c r="BP611" s="6"/>
      <c r="BQ611" s="6"/>
      <c r="BR611" s="6"/>
      <c r="BS611" s="6"/>
      <c r="BT611" s="6"/>
      <c r="BU611" s="6"/>
      <c r="BV611" s="6"/>
      <c r="BW611" s="11"/>
      <c r="BX611" s="11"/>
      <c r="BY611" s="11"/>
      <c r="BZ611" s="11"/>
      <c r="CA611" s="11"/>
      <c r="CB611" s="11"/>
      <c r="CC611" s="11"/>
      <c r="CD611" s="11"/>
      <c r="CE611" s="11"/>
      <c r="CF611" s="11"/>
      <c r="CG611" s="11"/>
      <c r="CH611" s="11"/>
      <c r="CI611" s="11"/>
      <c r="CJ611" s="11"/>
      <c r="CK611" s="11"/>
      <c r="CL611" s="11"/>
      <c r="CM611" s="11"/>
      <c r="CN611" s="11"/>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c r="BA612" s="6"/>
      <c r="BB612" s="6"/>
      <c r="BC612" s="6"/>
      <c r="BD612" s="6"/>
      <c r="BE612" s="6"/>
      <c r="BF612" s="6"/>
      <c r="BG612" s="6"/>
      <c r="BH612" s="6"/>
      <c r="BI612" s="6"/>
      <c r="BJ612" s="6"/>
      <c r="BK612" s="6"/>
      <c r="BL612" s="6"/>
      <c r="BM612" s="6"/>
      <c r="BN612" s="6"/>
      <c r="BO612" s="6"/>
      <c r="BP612" s="6"/>
      <c r="BQ612" s="6"/>
      <c r="BR612" s="6"/>
      <c r="BS612" s="6"/>
      <c r="BT612" s="6"/>
      <c r="BU612" s="6"/>
      <c r="BV612" s="6"/>
      <c r="BW612" s="11"/>
      <c r="BX612" s="11"/>
      <c r="BY612" s="11"/>
      <c r="BZ612" s="11"/>
      <c r="CA612" s="11"/>
      <c r="CB612" s="11"/>
      <c r="CC612" s="11"/>
      <c r="CD612" s="11"/>
      <c r="CE612" s="11"/>
      <c r="CF612" s="11"/>
      <c r="CG612" s="11"/>
      <c r="CH612" s="11"/>
      <c r="CI612" s="11"/>
      <c r="CJ612" s="11"/>
      <c r="CK612" s="11"/>
      <c r="CL612" s="11"/>
      <c r="CM612" s="11"/>
      <c r="CN612" s="11"/>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c r="AB613" s="6"/>
      <c r="AC613" s="6"/>
      <c r="AD613" s="6"/>
      <c r="AE613" s="6"/>
      <c r="AF613" s="6"/>
      <c r="AG613" s="6"/>
      <c r="AH613" s="6"/>
      <c r="AI613" s="6"/>
      <c r="AJ613" s="6"/>
      <c r="AK613" s="6"/>
      <c r="AL613" s="6"/>
      <c r="AM613" s="6"/>
      <c r="AN613" s="6"/>
      <c r="AO613" s="6"/>
      <c r="AP613" s="6"/>
      <c r="AQ613" s="6"/>
      <c r="AR613" s="6"/>
      <c r="AS613" s="6"/>
      <c r="AT613" s="6"/>
      <c r="AU613" s="6"/>
      <c r="AV613" s="6"/>
      <c r="AW613" s="6"/>
      <c r="AX613" s="6"/>
      <c r="AY613" s="6"/>
      <c r="AZ613" s="6"/>
      <c r="BA613" s="6"/>
      <c r="BB613" s="6"/>
      <c r="BC613" s="6"/>
      <c r="BD613" s="6"/>
      <c r="BE613" s="6"/>
      <c r="BF613" s="6"/>
      <c r="BG613" s="6"/>
      <c r="BH613" s="6"/>
      <c r="BI613" s="6"/>
      <c r="BJ613" s="6"/>
      <c r="BK613" s="6"/>
      <c r="BL613" s="6"/>
      <c r="BM613" s="6"/>
      <c r="BN613" s="6"/>
      <c r="BO613" s="6"/>
      <c r="BP613" s="6"/>
      <c r="BQ613" s="6"/>
      <c r="BR613" s="6"/>
      <c r="BS613" s="6"/>
      <c r="BT613" s="6"/>
      <c r="BU613" s="6"/>
      <c r="BV613" s="6"/>
      <c r="BW613" s="11"/>
      <c r="BX613" s="11"/>
      <c r="BY613" s="11"/>
      <c r="BZ613" s="11"/>
      <c r="CA613" s="11"/>
      <c r="CB613" s="11"/>
      <c r="CC613" s="11"/>
      <c r="CD613" s="11"/>
      <c r="CE613" s="11"/>
      <c r="CF613" s="11"/>
      <c r="CG613" s="11"/>
      <c r="CH613" s="11"/>
      <c r="CI613" s="11"/>
      <c r="CJ613" s="11"/>
      <c r="CK613" s="11"/>
      <c r="CL613" s="11"/>
      <c r="CM613" s="11"/>
      <c r="CN613" s="11"/>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c r="BA614" s="6"/>
      <c r="BB614" s="6"/>
      <c r="BC614" s="6"/>
      <c r="BD614" s="6"/>
      <c r="BE614" s="6"/>
      <c r="BF614" s="6"/>
      <c r="BG614" s="6"/>
      <c r="BH614" s="6"/>
      <c r="BI614" s="6"/>
      <c r="BJ614" s="6"/>
      <c r="BK614" s="6"/>
      <c r="BL614" s="6"/>
      <c r="BM614" s="6"/>
      <c r="BN614" s="6"/>
      <c r="BO614" s="6"/>
      <c r="BP614" s="6"/>
      <c r="BQ614" s="6"/>
      <c r="BR614" s="6"/>
      <c r="BS614" s="6"/>
      <c r="BT614" s="6"/>
      <c r="BU614" s="6"/>
      <c r="BV614" s="6"/>
      <c r="BW614" s="11"/>
      <c r="BX614" s="11"/>
      <c r="BY614" s="11"/>
      <c r="BZ614" s="11"/>
      <c r="CA614" s="11"/>
      <c r="CB614" s="11"/>
      <c r="CC614" s="11"/>
      <c r="CD614" s="11"/>
      <c r="CE614" s="11"/>
      <c r="CF614" s="11"/>
      <c r="CG614" s="11"/>
      <c r="CH614" s="11"/>
      <c r="CI614" s="11"/>
      <c r="CJ614" s="11"/>
      <c r="CK614" s="11"/>
      <c r="CL614" s="11"/>
      <c r="CM614" s="11"/>
      <c r="CN614" s="11"/>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c r="AN615" s="6"/>
      <c r="AO615" s="6"/>
      <c r="AP615" s="6"/>
      <c r="AQ615" s="6"/>
      <c r="AR615" s="6"/>
      <c r="AS615" s="6"/>
      <c r="AT615" s="6"/>
      <c r="AU615" s="6"/>
      <c r="AV615" s="6"/>
      <c r="AW615" s="6"/>
      <c r="AX615" s="6"/>
      <c r="AY615" s="6"/>
      <c r="AZ615" s="6"/>
      <c r="BA615" s="6"/>
      <c r="BB615" s="6"/>
      <c r="BC615" s="6"/>
      <c r="BD615" s="6"/>
      <c r="BE615" s="6"/>
      <c r="BF615" s="6"/>
      <c r="BG615" s="6"/>
      <c r="BH615" s="6"/>
      <c r="BI615" s="6"/>
      <c r="BJ615" s="6"/>
      <c r="BK615" s="6"/>
      <c r="BL615" s="6"/>
      <c r="BM615" s="6"/>
      <c r="BN615" s="6"/>
      <c r="BO615" s="6"/>
      <c r="BP615" s="6"/>
      <c r="BQ615" s="6"/>
      <c r="BR615" s="6"/>
      <c r="BS615" s="6"/>
      <c r="BT615" s="6"/>
      <c r="BU615" s="6"/>
      <c r="BV615" s="6"/>
      <c r="BW615" s="11"/>
      <c r="BX615" s="11"/>
      <c r="BY615" s="11"/>
      <c r="BZ615" s="11"/>
      <c r="CA615" s="11"/>
      <c r="CB615" s="11"/>
      <c r="CC615" s="11"/>
      <c r="CD615" s="11"/>
      <c r="CE615" s="11"/>
      <c r="CF615" s="11"/>
      <c r="CG615" s="11"/>
      <c r="CH615" s="11"/>
      <c r="CI615" s="11"/>
      <c r="CJ615" s="11"/>
      <c r="CK615" s="11"/>
      <c r="CL615" s="11"/>
      <c r="CM615" s="11"/>
      <c r="CN615" s="11"/>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c r="AV616" s="6"/>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11"/>
      <c r="BX616" s="11"/>
      <c r="BY616" s="11"/>
      <c r="BZ616" s="11"/>
      <c r="CA616" s="11"/>
      <c r="CB616" s="11"/>
      <c r="CC616" s="11"/>
      <c r="CD616" s="11"/>
      <c r="CE616" s="11"/>
      <c r="CF616" s="11"/>
      <c r="CG616" s="11"/>
      <c r="CH616" s="11"/>
      <c r="CI616" s="11"/>
      <c r="CJ616" s="11"/>
      <c r="CK616" s="11"/>
      <c r="CL616" s="11"/>
      <c r="CM616" s="11"/>
      <c r="CN616" s="11"/>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c r="AB617" s="6"/>
      <c r="AC617" s="6"/>
      <c r="AD617" s="6"/>
      <c r="AE617" s="6"/>
      <c r="AF617" s="6"/>
      <c r="AG617" s="6"/>
      <c r="AH617" s="6"/>
      <c r="AI617" s="6"/>
      <c r="AJ617" s="6"/>
      <c r="AK617" s="6"/>
      <c r="AL617" s="6"/>
      <c r="AM617" s="6"/>
      <c r="AN617" s="6"/>
      <c r="AO617" s="6"/>
      <c r="AP617" s="6"/>
      <c r="AQ617" s="6"/>
      <c r="AR617" s="6"/>
      <c r="AS617" s="6"/>
      <c r="AT617" s="6"/>
      <c r="AU617" s="6"/>
      <c r="AV617" s="6"/>
      <c r="AW617" s="6"/>
      <c r="AX617" s="6"/>
      <c r="AY617" s="6"/>
      <c r="AZ617" s="6"/>
      <c r="BA617" s="6"/>
      <c r="BB617" s="6"/>
      <c r="BC617" s="6"/>
      <c r="BD617" s="6"/>
      <c r="BE617" s="6"/>
      <c r="BF617" s="6"/>
      <c r="BG617" s="6"/>
      <c r="BH617" s="6"/>
      <c r="BI617" s="6"/>
      <c r="BJ617" s="6"/>
      <c r="BK617" s="6"/>
      <c r="BL617" s="6"/>
      <c r="BM617" s="6"/>
      <c r="BN617" s="6"/>
      <c r="BO617" s="6"/>
      <c r="BP617" s="6"/>
      <c r="BQ617" s="6"/>
      <c r="BR617" s="6"/>
      <c r="BS617" s="6"/>
      <c r="BT617" s="6"/>
      <c r="BU617" s="6"/>
      <c r="BV617" s="6"/>
      <c r="BW617" s="11"/>
      <c r="BX617" s="11"/>
      <c r="BY617" s="11"/>
      <c r="BZ617" s="11"/>
      <c r="CA617" s="11"/>
      <c r="CB617" s="11"/>
      <c r="CC617" s="11"/>
      <c r="CD617" s="11"/>
      <c r="CE617" s="11"/>
      <c r="CF617" s="11"/>
      <c r="CG617" s="11"/>
      <c r="CH617" s="11"/>
      <c r="CI617" s="11"/>
      <c r="CJ617" s="11"/>
      <c r="CK617" s="11"/>
      <c r="CL617" s="11"/>
      <c r="CM617" s="11"/>
      <c r="CN617" s="11"/>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c r="AV618" s="6"/>
      <c r="AW618" s="6"/>
      <c r="AX618" s="6"/>
      <c r="AY618" s="6"/>
      <c r="AZ618" s="6"/>
      <c r="BA618" s="6"/>
      <c r="BB618" s="6"/>
      <c r="BC618" s="6"/>
      <c r="BD618" s="6"/>
      <c r="BE618" s="6"/>
      <c r="BF618" s="6"/>
      <c r="BG618" s="6"/>
      <c r="BH618" s="6"/>
      <c r="BI618" s="6"/>
      <c r="BJ618" s="6"/>
      <c r="BK618" s="6"/>
      <c r="BL618" s="6"/>
      <c r="BM618" s="6"/>
      <c r="BN618" s="6"/>
      <c r="BO618" s="6"/>
      <c r="BP618" s="6"/>
      <c r="BQ618" s="6"/>
      <c r="BR618" s="6"/>
      <c r="BS618" s="6"/>
      <c r="BT618" s="6"/>
      <c r="BU618" s="6"/>
      <c r="BV618" s="6"/>
      <c r="BW618" s="11"/>
      <c r="BX618" s="11"/>
      <c r="BY618" s="11"/>
      <c r="BZ618" s="11"/>
      <c r="CA618" s="11"/>
      <c r="CB618" s="11"/>
      <c r="CC618" s="11"/>
      <c r="CD618" s="11"/>
      <c r="CE618" s="11"/>
      <c r="CF618" s="11"/>
      <c r="CG618" s="11"/>
      <c r="CH618" s="11"/>
      <c r="CI618" s="11"/>
      <c r="CJ618" s="11"/>
      <c r="CK618" s="11"/>
      <c r="CL618" s="11"/>
      <c r="CM618" s="11"/>
      <c r="CN618" s="11"/>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c r="AN619" s="6"/>
      <c r="AO619" s="6"/>
      <c r="AP619" s="6"/>
      <c r="AQ619" s="6"/>
      <c r="AR619" s="6"/>
      <c r="AS619" s="6"/>
      <c r="AT619" s="6"/>
      <c r="AU619" s="6"/>
      <c r="AV619" s="6"/>
      <c r="AW619" s="6"/>
      <c r="AX619" s="6"/>
      <c r="AY619" s="6"/>
      <c r="AZ619" s="6"/>
      <c r="BA619" s="6"/>
      <c r="BB619" s="6"/>
      <c r="BC619" s="6"/>
      <c r="BD619" s="6"/>
      <c r="BE619" s="6"/>
      <c r="BF619" s="6"/>
      <c r="BG619" s="6"/>
      <c r="BH619" s="6"/>
      <c r="BI619" s="6"/>
      <c r="BJ619" s="6"/>
      <c r="BK619" s="6"/>
      <c r="BL619" s="6"/>
      <c r="BM619" s="6"/>
      <c r="BN619" s="6"/>
      <c r="BO619" s="6"/>
      <c r="BP619" s="6"/>
      <c r="BQ619" s="6"/>
      <c r="BR619" s="6"/>
      <c r="BS619" s="6"/>
      <c r="BT619" s="6"/>
      <c r="BU619" s="6"/>
      <c r="BV619" s="6"/>
      <c r="BW619" s="11"/>
      <c r="BX619" s="11"/>
      <c r="BY619" s="11"/>
      <c r="BZ619" s="11"/>
      <c r="CA619" s="11"/>
      <c r="CB619" s="11"/>
      <c r="CC619" s="11"/>
      <c r="CD619" s="11"/>
      <c r="CE619" s="11"/>
      <c r="CF619" s="11"/>
      <c r="CG619" s="11"/>
      <c r="CH619" s="11"/>
      <c r="CI619" s="11"/>
      <c r="CJ619" s="11"/>
      <c r="CK619" s="11"/>
      <c r="CL619" s="11"/>
      <c r="CM619" s="11"/>
      <c r="CN619" s="11"/>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c r="AV620" s="6"/>
      <c r="AW620" s="6"/>
      <c r="AX620" s="6"/>
      <c r="AY620" s="6"/>
      <c r="AZ620" s="6"/>
      <c r="BA620" s="6"/>
      <c r="BB620" s="6"/>
      <c r="BC620" s="6"/>
      <c r="BD620" s="6"/>
      <c r="BE620" s="6"/>
      <c r="BF620" s="6"/>
      <c r="BG620" s="6"/>
      <c r="BH620" s="6"/>
      <c r="BI620" s="6"/>
      <c r="BJ620" s="6"/>
      <c r="BK620" s="6"/>
      <c r="BL620" s="6"/>
      <c r="BM620" s="6"/>
      <c r="BN620" s="6"/>
      <c r="BO620" s="6"/>
      <c r="BP620" s="6"/>
      <c r="BQ620" s="6"/>
      <c r="BR620" s="6"/>
      <c r="BS620" s="6"/>
      <c r="BT620" s="6"/>
      <c r="BU620" s="6"/>
      <c r="BV620" s="6"/>
      <c r="BW620" s="11"/>
      <c r="BX620" s="11"/>
      <c r="BY620" s="11"/>
      <c r="BZ620" s="11"/>
      <c r="CA620" s="11"/>
      <c r="CB620" s="11"/>
      <c r="CC620" s="11"/>
      <c r="CD620" s="11"/>
      <c r="CE620" s="11"/>
      <c r="CF620" s="11"/>
      <c r="CG620" s="11"/>
      <c r="CH620" s="11"/>
      <c r="CI620" s="11"/>
      <c r="CJ620" s="11"/>
      <c r="CK620" s="11"/>
      <c r="CL620" s="11"/>
      <c r="CM620" s="11"/>
      <c r="CN620" s="11"/>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c r="AB621" s="6"/>
      <c r="AC621" s="6"/>
      <c r="AD621" s="6"/>
      <c r="AE621" s="6"/>
      <c r="AF621" s="6"/>
      <c r="AG621" s="6"/>
      <c r="AH621" s="6"/>
      <c r="AI621" s="6"/>
      <c r="AJ621" s="6"/>
      <c r="AK621" s="6"/>
      <c r="AL621" s="6"/>
      <c r="AM621" s="6"/>
      <c r="AN621" s="6"/>
      <c r="AO621" s="6"/>
      <c r="AP621" s="6"/>
      <c r="AQ621" s="6"/>
      <c r="AR621" s="6"/>
      <c r="AS621" s="6"/>
      <c r="AT621" s="6"/>
      <c r="AU621" s="6"/>
      <c r="AV621" s="6"/>
      <c r="AW621" s="6"/>
      <c r="AX621" s="6"/>
      <c r="AY621" s="6"/>
      <c r="AZ621" s="6"/>
      <c r="BA621" s="6"/>
      <c r="BB621" s="6"/>
      <c r="BC621" s="6"/>
      <c r="BD621" s="6"/>
      <c r="BE621" s="6"/>
      <c r="BF621" s="6"/>
      <c r="BG621" s="6"/>
      <c r="BH621" s="6"/>
      <c r="BI621" s="6"/>
      <c r="BJ621" s="6"/>
      <c r="BK621" s="6"/>
      <c r="BL621" s="6"/>
      <c r="BM621" s="6"/>
      <c r="BN621" s="6"/>
      <c r="BO621" s="6"/>
      <c r="BP621" s="6"/>
      <c r="BQ621" s="6"/>
      <c r="BR621" s="6"/>
      <c r="BS621" s="6"/>
      <c r="BT621" s="6"/>
      <c r="BU621" s="6"/>
      <c r="BV621" s="6"/>
      <c r="BW621" s="11"/>
      <c r="BX621" s="11"/>
      <c r="BY621" s="11"/>
      <c r="BZ621" s="11"/>
      <c r="CA621" s="11"/>
      <c r="CB621" s="11"/>
      <c r="CC621" s="11"/>
      <c r="CD621" s="11"/>
      <c r="CE621" s="11"/>
      <c r="CF621" s="11"/>
      <c r="CG621" s="11"/>
      <c r="CH621" s="11"/>
      <c r="CI621" s="11"/>
      <c r="CJ621" s="11"/>
      <c r="CK621" s="11"/>
      <c r="CL621" s="11"/>
      <c r="CM621" s="11"/>
      <c r="CN621" s="11"/>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c r="AV622" s="6"/>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11"/>
      <c r="BX622" s="11"/>
      <c r="BY622" s="11"/>
      <c r="BZ622" s="11"/>
      <c r="CA622" s="11"/>
      <c r="CB622" s="11"/>
      <c r="CC622" s="11"/>
      <c r="CD622" s="11"/>
      <c r="CE622" s="11"/>
      <c r="CF622" s="11"/>
      <c r="CG622" s="11"/>
      <c r="CH622" s="11"/>
      <c r="CI622" s="11"/>
      <c r="CJ622" s="11"/>
      <c r="CK622" s="11"/>
      <c r="CL622" s="11"/>
      <c r="CM622" s="11"/>
      <c r="CN622" s="11"/>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c r="AB623" s="6"/>
      <c r="AC623" s="6"/>
      <c r="AD623" s="6"/>
      <c r="AE623" s="6"/>
      <c r="AF623" s="6"/>
      <c r="AG623" s="6"/>
      <c r="AH623" s="6"/>
      <c r="AI623" s="6"/>
      <c r="AJ623" s="6"/>
      <c r="AK623" s="6"/>
      <c r="AL623" s="6"/>
      <c r="AM623" s="6"/>
      <c r="AN623" s="6"/>
      <c r="AO623" s="6"/>
      <c r="AP623" s="6"/>
      <c r="AQ623" s="6"/>
      <c r="AR623" s="6"/>
      <c r="AS623" s="6"/>
      <c r="AT623" s="6"/>
      <c r="AU623" s="6"/>
      <c r="AV623" s="6"/>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11"/>
      <c r="BX623" s="11"/>
      <c r="BY623" s="11"/>
      <c r="BZ623" s="11"/>
      <c r="CA623" s="11"/>
      <c r="CB623" s="11"/>
      <c r="CC623" s="11"/>
      <c r="CD623" s="11"/>
      <c r="CE623" s="11"/>
      <c r="CF623" s="11"/>
      <c r="CG623" s="11"/>
      <c r="CH623" s="11"/>
      <c r="CI623" s="11"/>
      <c r="CJ623" s="11"/>
      <c r="CK623" s="11"/>
      <c r="CL623" s="11"/>
      <c r="CM623" s="11"/>
      <c r="CN623" s="11"/>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c r="AV624" s="6"/>
      <c r="AW624" s="6"/>
      <c r="AX624" s="6"/>
      <c r="AY624" s="6"/>
      <c r="AZ624" s="6"/>
      <c r="BA624" s="6"/>
      <c r="BB624" s="6"/>
      <c r="BC624" s="6"/>
      <c r="BD624" s="6"/>
      <c r="BE624" s="6"/>
      <c r="BF624" s="6"/>
      <c r="BG624" s="6"/>
      <c r="BH624" s="6"/>
      <c r="BI624" s="6"/>
      <c r="BJ624" s="6"/>
      <c r="BK624" s="6"/>
      <c r="BL624" s="6"/>
      <c r="BM624" s="6"/>
      <c r="BN624" s="6"/>
      <c r="BO624" s="6"/>
      <c r="BP624" s="6"/>
      <c r="BQ624" s="6"/>
      <c r="BR624" s="6"/>
      <c r="BS624" s="6"/>
      <c r="BT624" s="6"/>
      <c r="BU624" s="6"/>
      <c r="BV624" s="6"/>
      <c r="BW624" s="11"/>
      <c r="BX624" s="11"/>
      <c r="BY624" s="11"/>
      <c r="BZ624" s="11"/>
      <c r="CA624" s="11"/>
      <c r="CB624" s="11"/>
      <c r="CC624" s="11"/>
      <c r="CD624" s="11"/>
      <c r="CE624" s="11"/>
      <c r="CF624" s="11"/>
      <c r="CG624" s="11"/>
      <c r="CH624" s="11"/>
      <c r="CI624" s="11"/>
      <c r="CJ624" s="11"/>
      <c r="CK624" s="11"/>
      <c r="CL624" s="11"/>
      <c r="CM624" s="11"/>
      <c r="CN624" s="11"/>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c r="AB625" s="6"/>
      <c r="AC625" s="6"/>
      <c r="AD625" s="6"/>
      <c r="AE625" s="6"/>
      <c r="AF625" s="6"/>
      <c r="AG625" s="6"/>
      <c r="AH625" s="6"/>
      <c r="AI625" s="6"/>
      <c r="AJ625" s="6"/>
      <c r="AK625" s="6"/>
      <c r="AL625" s="6"/>
      <c r="AM625" s="6"/>
      <c r="AN625" s="6"/>
      <c r="AO625" s="6"/>
      <c r="AP625" s="6"/>
      <c r="AQ625" s="6"/>
      <c r="AR625" s="6"/>
      <c r="AS625" s="6"/>
      <c r="AT625" s="6"/>
      <c r="AU625" s="6"/>
      <c r="AV625" s="6"/>
      <c r="AW625" s="6"/>
      <c r="AX625" s="6"/>
      <c r="AY625" s="6"/>
      <c r="AZ625" s="6"/>
      <c r="BA625" s="6"/>
      <c r="BB625" s="6"/>
      <c r="BC625" s="6"/>
      <c r="BD625" s="6"/>
      <c r="BE625" s="6"/>
      <c r="BF625" s="6"/>
      <c r="BG625" s="6"/>
      <c r="BH625" s="6"/>
      <c r="BI625" s="6"/>
      <c r="BJ625" s="6"/>
      <c r="BK625" s="6"/>
      <c r="BL625" s="6"/>
      <c r="BM625" s="6"/>
      <c r="BN625" s="6"/>
      <c r="BO625" s="6"/>
      <c r="BP625" s="6"/>
      <c r="BQ625" s="6"/>
      <c r="BR625" s="6"/>
      <c r="BS625" s="6"/>
      <c r="BT625" s="6"/>
      <c r="BU625" s="6"/>
      <c r="BV625" s="6"/>
      <c r="BW625" s="11"/>
      <c r="BX625" s="11"/>
      <c r="BY625" s="11"/>
      <c r="BZ625" s="11"/>
      <c r="CA625" s="11"/>
      <c r="CB625" s="11"/>
      <c r="CC625" s="11"/>
      <c r="CD625" s="11"/>
      <c r="CE625" s="11"/>
      <c r="CF625" s="11"/>
      <c r="CG625" s="11"/>
      <c r="CH625" s="11"/>
      <c r="CI625" s="11"/>
      <c r="CJ625" s="11"/>
      <c r="CK625" s="11"/>
      <c r="CL625" s="11"/>
      <c r="CM625" s="11"/>
      <c r="CN625" s="11"/>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c r="AV626" s="6"/>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11"/>
      <c r="BX626" s="11"/>
      <c r="BY626" s="11"/>
      <c r="BZ626" s="11"/>
      <c r="CA626" s="11"/>
      <c r="CB626" s="11"/>
      <c r="CC626" s="11"/>
      <c r="CD626" s="11"/>
      <c r="CE626" s="11"/>
      <c r="CF626" s="11"/>
      <c r="CG626" s="11"/>
      <c r="CH626" s="11"/>
      <c r="CI626" s="11"/>
      <c r="CJ626" s="11"/>
      <c r="CK626" s="11"/>
      <c r="CL626" s="11"/>
      <c r="CM626" s="11"/>
      <c r="CN626" s="11"/>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c r="AB627" s="6"/>
      <c r="AC627" s="6"/>
      <c r="AD627" s="6"/>
      <c r="AE627" s="6"/>
      <c r="AF627" s="6"/>
      <c r="AG627" s="6"/>
      <c r="AH627" s="6"/>
      <c r="AI627" s="6"/>
      <c r="AJ627" s="6"/>
      <c r="AK627" s="6"/>
      <c r="AL627" s="6"/>
      <c r="AM627" s="6"/>
      <c r="AN627" s="6"/>
      <c r="AO627" s="6"/>
      <c r="AP627" s="6"/>
      <c r="AQ627" s="6"/>
      <c r="AR627" s="6"/>
      <c r="AS627" s="6"/>
      <c r="AT627" s="6"/>
      <c r="AU627" s="6"/>
      <c r="AV627" s="6"/>
      <c r="AW627" s="6"/>
      <c r="AX627" s="6"/>
      <c r="AY627" s="6"/>
      <c r="AZ627" s="6"/>
      <c r="BA627" s="6"/>
      <c r="BB627" s="6"/>
      <c r="BC627" s="6"/>
      <c r="BD627" s="6"/>
      <c r="BE627" s="6"/>
      <c r="BF627" s="6"/>
      <c r="BG627" s="6"/>
      <c r="BH627" s="6"/>
      <c r="BI627" s="6"/>
      <c r="BJ627" s="6"/>
      <c r="BK627" s="6"/>
      <c r="BL627" s="6"/>
      <c r="BM627" s="6"/>
      <c r="BN627" s="6"/>
      <c r="BO627" s="6"/>
      <c r="BP627" s="6"/>
      <c r="BQ627" s="6"/>
      <c r="BR627" s="6"/>
      <c r="BS627" s="6"/>
      <c r="BT627" s="6"/>
      <c r="BU627" s="6"/>
      <c r="BV627" s="6"/>
      <c r="BW627" s="11"/>
      <c r="BX627" s="11"/>
      <c r="BY627" s="11"/>
      <c r="BZ627" s="11"/>
      <c r="CA627" s="11"/>
      <c r="CB627" s="11"/>
      <c r="CC627" s="11"/>
      <c r="CD627" s="11"/>
      <c r="CE627" s="11"/>
      <c r="CF627" s="11"/>
      <c r="CG627" s="11"/>
      <c r="CH627" s="11"/>
      <c r="CI627" s="11"/>
      <c r="CJ627" s="11"/>
      <c r="CK627" s="11"/>
      <c r="CL627" s="11"/>
      <c r="CM627" s="11"/>
      <c r="CN627" s="11"/>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c r="BA628" s="6"/>
      <c r="BB628" s="6"/>
      <c r="BC628" s="6"/>
      <c r="BD628" s="6"/>
      <c r="BE628" s="6"/>
      <c r="BF628" s="6"/>
      <c r="BG628" s="6"/>
      <c r="BH628" s="6"/>
      <c r="BI628" s="6"/>
      <c r="BJ628" s="6"/>
      <c r="BK628" s="6"/>
      <c r="BL628" s="6"/>
      <c r="BM628" s="6"/>
      <c r="BN628" s="6"/>
      <c r="BO628" s="6"/>
      <c r="BP628" s="6"/>
      <c r="BQ628" s="6"/>
      <c r="BR628" s="6"/>
      <c r="BS628" s="6"/>
      <c r="BT628" s="6"/>
      <c r="BU628" s="6"/>
      <c r="BV628" s="6"/>
      <c r="BW628" s="11"/>
      <c r="BX628" s="11"/>
      <c r="BY628" s="11"/>
      <c r="BZ628" s="11"/>
      <c r="CA628" s="11"/>
      <c r="CB628" s="11"/>
      <c r="CC628" s="11"/>
      <c r="CD628" s="11"/>
      <c r="CE628" s="11"/>
      <c r="CF628" s="11"/>
      <c r="CG628" s="11"/>
      <c r="CH628" s="11"/>
      <c r="CI628" s="11"/>
      <c r="CJ628" s="11"/>
      <c r="CK628" s="11"/>
      <c r="CL628" s="11"/>
      <c r="CM628" s="11"/>
      <c r="CN628" s="11"/>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11"/>
      <c r="BX629" s="11"/>
      <c r="BY629" s="11"/>
      <c r="BZ629" s="11"/>
      <c r="CA629" s="11"/>
      <c r="CB629" s="11"/>
      <c r="CC629" s="11"/>
      <c r="CD629" s="11"/>
      <c r="CE629" s="11"/>
      <c r="CF629" s="11"/>
      <c r="CG629" s="11"/>
      <c r="CH629" s="11"/>
      <c r="CI629" s="11"/>
      <c r="CJ629" s="11"/>
      <c r="CK629" s="11"/>
      <c r="CL629" s="11"/>
      <c r="CM629" s="11"/>
      <c r="CN629" s="11"/>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11"/>
      <c r="BX630" s="11"/>
      <c r="BY630" s="11"/>
      <c r="BZ630" s="11"/>
      <c r="CA630" s="11"/>
      <c r="CB630" s="11"/>
      <c r="CC630" s="11"/>
      <c r="CD630" s="11"/>
      <c r="CE630" s="11"/>
      <c r="CF630" s="11"/>
      <c r="CG630" s="11"/>
      <c r="CH630" s="11"/>
      <c r="CI630" s="11"/>
      <c r="CJ630" s="11"/>
      <c r="CK630" s="11"/>
      <c r="CL630" s="11"/>
      <c r="CM630" s="11"/>
      <c r="CN630" s="11"/>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c r="AO631" s="6"/>
      <c r="AP631" s="6"/>
      <c r="AQ631" s="6"/>
      <c r="AR631" s="6"/>
      <c r="AS631" s="6"/>
      <c r="AT631" s="6"/>
      <c r="AU631" s="6"/>
      <c r="AV631" s="6"/>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11"/>
      <c r="BX631" s="11"/>
      <c r="BY631" s="11"/>
      <c r="BZ631" s="11"/>
      <c r="CA631" s="11"/>
      <c r="CB631" s="11"/>
      <c r="CC631" s="11"/>
      <c r="CD631" s="11"/>
      <c r="CE631" s="11"/>
      <c r="CF631" s="11"/>
      <c r="CG631" s="11"/>
      <c r="CH631" s="11"/>
      <c r="CI631" s="11"/>
      <c r="CJ631" s="11"/>
      <c r="CK631" s="11"/>
      <c r="CL631" s="11"/>
      <c r="CM631" s="11"/>
      <c r="CN631" s="11"/>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11"/>
      <c r="BX632" s="11"/>
      <c r="BY632" s="11"/>
      <c r="BZ632" s="11"/>
      <c r="CA632" s="11"/>
      <c r="CB632" s="11"/>
      <c r="CC632" s="11"/>
      <c r="CD632" s="11"/>
      <c r="CE632" s="11"/>
      <c r="CF632" s="11"/>
      <c r="CG632" s="11"/>
      <c r="CH632" s="11"/>
      <c r="CI632" s="11"/>
      <c r="CJ632" s="11"/>
      <c r="CK632" s="11"/>
      <c r="CL632" s="11"/>
      <c r="CM632" s="11"/>
      <c r="CN632" s="11"/>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c r="AB633" s="6"/>
      <c r="AC633" s="6"/>
      <c r="AD633" s="6"/>
      <c r="AE633" s="6"/>
      <c r="AF633" s="6"/>
      <c r="AG633" s="6"/>
      <c r="AH633" s="6"/>
      <c r="AI633" s="6"/>
      <c r="AJ633" s="6"/>
      <c r="AK633" s="6"/>
      <c r="AL633" s="6"/>
      <c r="AM633" s="6"/>
      <c r="AN633" s="6"/>
      <c r="AO633" s="6"/>
      <c r="AP633" s="6"/>
      <c r="AQ633" s="6"/>
      <c r="AR633" s="6"/>
      <c r="AS633" s="6"/>
      <c r="AT633" s="6"/>
      <c r="AU633" s="6"/>
      <c r="AV633" s="6"/>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11"/>
      <c r="BX633" s="11"/>
      <c r="BY633" s="11"/>
      <c r="BZ633" s="11"/>
      <c r="CA633" s="11"/>
      <c r="CB633" s="11"/>
      <c r="CC633" s="11"/>
      <c r="CD633" s="11"/>
      <c r="CE633" s="11"/>
      <c r="CF633" s="11"/>
      <c r="CG633" s="11"/>
      <c r="CH633" s="11"/>
      <c r="CI633" s="11"/>
      <c r="CJ633" s="11"/>
      <c r="CK633" s="11"/>
      <c r="CL633" s="11"/>
      <c r="CM633" s="11"/>
      <c r="CN633" s="11"/>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11"/>
      <c r="BX634" s="11"/>
      <c r="BY634" s="11"/>
      <c r="BZ634" s="11"/>
      <c r="CA634" s="11"/>
      <c r="CB634" s="11"/>
      <c r="CC634" s="11"/>
      <c r="CD634" s="11"/>
      <c r="CE634" s="11"/>
      <c r="CF634" s="11"/>
      <c r="CG634" s="11"/>
      <c r="CH634" s="11"/>
      <c r="CI634" s="11"/>
      <c r="CJ634" s="11"/>
      <c r="CK634" s="11"/>
      <c r="CL634" s="11"/>
      <c r="CM634" s="11"/>
      <c r="CN634" s="11"/>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c r="AB635" s="6"/>
      <c r="AC635" s="6"/>
      <c r="AD635" s="6"/>
      <c r="AE635" s="6"/>
      <c r="AF635" s="6"/>
      <c r="AG635" s="6"/>
      <c r="AH635" s="6"/>
      <c r="AI635" s="6"/>
      <c r="AJ635" s="6"/>
      <c r="AK635" s="6"/>
      <c r="AL635" s="6"/>
      <c r="AM635" s="6"/>
      <c r="AN635" s="6"/>
      <c r="AO635" s="6"/>
      <c r="AP635" s="6"/>
      <c r="AQ635" s="6"/>
      <c r="AR635" s="6"/>
      <c r="AS635" s="6"/>
      <c r="AT635" s="6"/>
      <c r="AU635" s="6"/>
      <c r="AV635" s="6"/>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11"/>
      <c r="BX635" s="11"/>
      <c r="BY635" s="11"/>
      <c r="BZ635" s="11"/>
      <c r="CA635" s="11"/>
      <c r="CB635" s="11"/>
      <c r="CC635" s="11"/>
      <c r="CD635" s="11"/>
      <c r="CE635" s="11"/>
      <c r="CF635" s="11"/>
      <c r="CG635" s="11"/>
      <c r="CH635" s="11"/>
      <c r="CI635" s="11"/>
      <c r="CJ635" s="11"/>
      <c r="CK635" s="11"/>
      <c r="CL635" s="11"/>
      <c r="CM635" s="11"/>
      <c r="CN635" s="11"/>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c r="AV636" s="6"/>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11"/>
      <c r="BX636" s="11"/>
      <c r="BY636" s="11"/>
      <c r="BZ636" s="11"/>
      <c r="CA636" s="11"/>
      <c r="CB636" s="11"/>
      <c r="CC636" s="11"/>
      <c r="CD636" s="11"/>
      <c r="CE636" s="11"/>
      <c r="CF636" s="11"/>
      <c r="CG636" s="11"/>
      <c r="CH636" s="11"/>
      <c r="CI636" s="11"/>
      <c r="CJ636" s="11"/>
      <c r="CK636" s="11"/>
      <c r="CL636" s="11"/>
      <c r="CM636" s="11"/>
      <c r="CN636" s="11"/>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c r="AB637" s="6"/>
      <c r="AC637" s="6"/>
      <c r="AD637" s="6"/>
      <c r="AE637" s="6"/>
      <c r="AF637" s="6"/>
      <c r="AG637" s="6"/>
      <c r="AH637" s="6"/>
      <c r="AI637" s="6"/>
      <c r="AJ637" s="6"/>
      <c r="AK637" s="6"/>
      <c r="AL637" s="6"/>
      <c r="AM637" s="6"/>
      <c r="AN637" s="6"/>
      <c r="AO637" s="6"/>
      <c r="AP637" s="6"/>
      <c r="AQ637" s="6"/>
      <c r="AR637" s="6"/>
      <c r="AS637" s="6"/>
      <c r="AT637" s="6"/>
      <c r="AU637" s="6"/>
      <c r="AV637" s="6"/>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11"/>
      <c r="BX637" s="11"/>
      <c r="BY637" s="11"/>
      <c r="BZ637" s="11"/>
      <c r="CA637" s="11"/>
      <c r="CB637" s="11"/>
      <c r="CC637" s="11"/>
      <c r="CD637" s="11"/>
      <c r="CE637" s="11"/>
      <c r="CF637" s="11"/>
      <c r="CG637" s="11"/>
      <c r="CH637" s="11"/>
      <c r="CI637" s="11"/>
      <c r="CJ637" s="11"/>
      <c r="CK637" s="11"/>
      <c r="CL637" s="11"/>
      <c r="CM637" s="11"/>
      <c r="CN637" s="11"/>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11"/>
      <c r="BX638" s="11"/>
      <c r="BY638" s="11"/>
      <c r="BZ638" s="11"/>
      <c r="CA638" s="11"/>
      <c r="CB638" s="11"/>
      <c r="CC638" s="11"/>
      <c r="CD638" s="11"/>
      <c r="CE638" s="11"/>
      <c r="CF638" s="11"/>
      <c r="CG638" s="11"/>
      <c r="CH638" s="11"/>
      <c r="CI638" s="11"/>
      <c r="CJ638" s="11"/>
      <c r="CK638" s="11"/>
      <c r="CL638" s="11"/>
      <c r="CM638" s="11"/>
      <c r="CN638" s="11"/>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c r="AB639" s="6"/>
      <c r="AC639" s="6"/>
      <c r="AD639" s="6"/>
      <c r="AE639" s="6"/>
      <c r="AF639" s="6"/>
      <c r="AG639" s="6"/>
      <c r="AH639" s="6"/>
      <c r="AI639" s="6"/>
      <c r="AJ639" s="6"/>
      <c r="AK639" s="6"/>
      <c r="AL639" s="6"/>
      <c r="AM639" s="6"/>
      <c r="AN639" s="6"/>
      <c r="AO639" s="6"/>
      <c r="AP639" s="6"/>
      <c r="AQ639" s="6"/>
      <c r="AR639" s="6"/>
      <c r="AS639" s="6"/>
      <c r="AT639" s="6"/>
      <c r="AU639" s="6"/>
      <c r="AV639" s="6"/>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11"/>
      <c r="BX639" s="11"/>
      <c r="BY639" s="11"/>
      <c r="BZ639" s="11"/>
      <c r="CA639" s="11"/>
      <c r="CB639" s="11"/>
      <c r="CC639" s="11"/>
      <c r="CD639" s="11"/>
      <c r="CE639" s="11"/>
      <c r="CF639" s="11"/>
      <c r="CG639" s="11"/>
      <c r="CH639" s="11"/>
      <c r="CI639" s="11"/>
      <c r="CJ639" s="11"/>
      <c r="CK639" s="11"/>
      <c r="CL639" s="11"/>
      <c r="CM639" s="11"/>
      <c r="CN639" s="11"/>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11"/>
      <c r="BX640" s="11"/>
      <c r="BY640" s="11"/>
      <c r="BZ640" s="11"/>
      <c r="CA640" s="11"/>
      <c r="CB640" s="11"/>
      <c r="CC640" s="11"/>
      <c r="CD640" s="11"/>
      <c r="CE640" s="11"/>
      <c r="CF640" s="11"/>
      <c r="CG640" s="11"/>
      <c r="CH640" s="11"/>
      <c r="CI640" s="11"/>
      <c r="CJ640" s="11"/>
      <c r="CK640" s="11"/>
      <c r="CL640" s="11"/>
      <c r="CM640" s="11"/>
      <c r="CN640" s="11"/>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c r="AB641" s="6"/>
      <c r="AC641" s="6"/>
      <c r="AD641" s="6"/>
      <c r="AE641" s="6"/>
      <c r="AF641" s="6"/>
      <c r="AG641" s="6"/>
      <c r="AH641" s="6"/>
      <c r="AI641" s="6"/>
      <c r="AJ641" s="6"/>
      <c r="AK641" s="6"/>
      <c r="AL641" s="6"/>
      <c r="AM641" s="6"/>
      <c r="AN641" s="6"/>
      <c r="AO641" s="6"/>
      <c r="AP641" s="6"/>
      <c r="AQ641" s="6"/>
      <c r="AR641" s="6"/>
      <c r="AS641" s="6"/>
      <c r="AT641" s="6"/>
      <c r="AU641" s="6"/>
      <c r="AV641" s="6"/>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11"/>
      <c r="BX641" s="11"/>
      <c r="BY641" s="11"/>
      <c r="BZ641" s="11"/>
      <c r="CA641" s="11"/>
      <c r="CB641" s="11"/>
      <c r="CC641" s="11"/>
      <c r="CD641" s="11"/>
      <c r="CE641" s="11"/>
      <c r="CF641" s="11"/>
      <c r="CG641" s="11"/>
      <c r="CH641" s="11"/>
      <c r="CI641" s="11"/>
      <c r="CJ641" s="11"/>
      <c r="CK641" s="11"/>
      <c r="CL641" s="11"/>
      <c r="CM641" s="11"/>
      <c r="CN641" s="11"/>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c r="AV642" s="6"/>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11"/>
      <c r="BX642" s="11"/>
      <c r="BY642" s="11"/>
      <c r="BZ642" s="11"/>
      <c r="CA642" s="11"/>
      <c r="CB642" s="11"/>
      <c r="CC642" s="11"/>
      <c r="CD642" s="11"/>
      <c r="CE642" s="11"/>
      <c r="CF642" s="11"/>
      <c r="CG642" s="11"/>
      <c r="CH642" s="11"/>
      <c r="CI642" s="11"/>
      <c r="CJ642" s="11"/>
      <c r="CK642" s="11"/>
      <c r="CL642" s="11"/>
      <c r="CM642" s="11"/>
      <c r="CN642" s="11"/>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c r="AB643" s="6"/>
      <c r="AC643" s="6"/>
      <c r="AD643" s="6"/>
      <c r="AE643" s="6"/>
      <c r="AF643" s="6"/>
      <c r="AG643" s="6"/>
      <c r="AH643" s="6"/>
      <c r="AI643" s="6"/>
      <c r="AJ643" s="6"/>
      <c r="AK643" s="6"/>
      <c r="AL643" s="6"/>
      <c r="AM643" s="6"/>
      <c r="AN643" s="6"/>
      <c r="AO643" s="6"/>
      <c r="AP643" s="6"/>
      <c r="AQ643" s="6"/>
      <c r="AR643" s="6"/>
      <c r="AS643" s="6"/>
      <c r="AT643" s="6"/>
      <c r="AU643" s="6"/>
      <c r="AV643" s="6"/>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11"/>
      <c r="BX643" s="11"/>
      <c r="BY643" s="11"/>
      <c r="BZ643" s="11"/>
      <c r="CA643" s="11"/>
      <c r="CB643" s="11"/>
      <c r="CC643" s="11"/>
      <c r="CD643" s="11"/>
      <c r="CE643" s="11"/>
      <c r="CF643" s="11"/>
      <c r="CG643" s="11"/>
      <c r="CH643" s="11"/>
      <c r="CI643" s="11"/>
      <c r="CJ643" s="11"/>
      <c r="CK643" s="11"/>
      <c r="CL643" s="11"/>
      <c r="CM643" s="11"/>
      <c r="CN643" s="11"/>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11"/>
      <c r="BX644" s="11"/>
      <c r="BY644" s="11"/>
      <c r="BZ644" s="11"/>
      <c r="CA644" s="11"/>
      <c r="CB644" s="11"/>
      <c r="CC644" s="11"/>
      <c r="CD644" s="11"/>
      <c r="CE644" s="11"/>
      <c r="CF644" s="11"/>
      <c r="CG644" s="11"/>
      <c r="CH644" s="11"/>
      <c r="CI644" s="11"/>
      <c r="CJ644" s="11"/>
      <c r="CK644" s="11"/>
      <c r="CL644" s="11"/>
      <c r="CM644" s="11"/>
      <c r="CN644" s="11"/>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c r="AB645" s="6"/>
      <c r="AC645" s="6"/>
      <c r="AD645" s="6"/>
      <c r="AE645" s="6"/>
      <c r="AF645" s="6"/>
      <c r="AG645" s="6"/>
      <c r="AH645" s="6"/>
      <c r="AI645" s="6"/>
      <c r="AJ645" s="6"/>
      <c r="AK645" s="6"/>
      <c r="AL645" s="6"/>
      <c r="AM645" s="6"/>
      <c r="AN645" s="6"/>
      <c r="AO645" s="6"/>
      <c r="AP645" s="6"/>
      <c r="AQ645" s="6"/>
      <c r="AR645" s="6"/>
      <c r="AS645" s="6"/>
      <c r="AT645" s="6"/>
      <c r="AU645" s="6"/>
      <c r="AV645" s="6"/>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11"/>
      <c r="BX645" s="11"/>
      <c r="BY645" s="11"/>
      <c r="BZ645" s="11"/>
      <c r="CA645" s="11"/>
      <c r="CB645" s="11"/>
      <c r="CC645" s="11"/>
      <c r="CD645" s="11"/>
      <c r="CE645" s="11"/>
      <c r="CF645" s="11"/>
      <c r="CG645" s="11"/>
      <c r="CH645" s="11"/>
      <c r="CI645" s="11"/>
      <c r="CJ645" s="11"/>
      <c r="CK645" s="11"/>
      <c r="CL645" s="11"/>
      <c r="CM645" s="11"/>
      <c r="CN645" s="11"/>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11"/>
      <c r="BX646" s="11"/>
      <c r="BY646" s="11"/>
      <c r="BZ646" s="11"/>
      <c r="CA646" s="11"/>
      <c r="CB646" s="11"/>
      <c r="CC646" s="11"/>
      <c r="CD646" s="11"/>
      <c r="CE646" s="11"/>
      <c r="CF646" s="11"/>
      <c r="CG646" s="11"/>
      <c r="CH646" s="11"/>
      <c r="CI646" s="11"/>
      <c r="CJ646" s="11"/>
      <c r="CK646" s="11"/>
      <c r="CL646" s="11"/>
      <c r="CM646" s="11"/>
      <c r="CN646" s="11"/>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c r="AB647" s="6"/>
      <c r="AC647" s="6"/>
      <c r="AD647" s="6"/>
      <c r="AE647" s="6"/>
      <c r="AF647" s="6"/>
      <c r="AG647" s="6"/>
      <c r="AH647" s="6"/>
      <c r="AI647" s="6"/>
      <c r="AJ647" s="6"/>
      <c r="AK647" s="6"/>
      <c r="AL647" s="6"/>
      <c r="AM647" s="6"/>
      <c r="AN647" s="6"/>
      <c r="AO647" s="6"/>
      <c r="AP647" s="6"/>
      <c r="AQ647" s="6"/>
      <c r="AR647" s="6"/>
      <c r="AS647" s="6"/>
      <c r="AT647" s="6"/>
      <c r="AU647" s="6"/>
      <c r="AV647" s="6"/>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11"/>
      <c r="BX647" s="11"/>
      <c r="BY647" s="11"/>
      <c r="BZ647" s="11"/>
      <c r="CA647" s="11"/>
      <c r="CB647" s="11"/>
      <c r="CC647" s="11"/>
      <c r="CD647" s="11"/>
      <c r="CE647" s="11"/>
      <c r="CF647" s="11"/>
      <c r="CG647" s="11"/>
      <c r="CH647" s="11"/>
      <c r="CI647" s="11"/>
      <c r="CJ647" s="11"/>
      <c r="CK647" s="11"/>
      <c r="CL647" s="11"/>
      <c r="CM647" s="11"/>
      <c r="CN647" s="11"/>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11"/>
      <c r="BX648" s="11"/>
      <c r="BY648" s="11"/>
      <c r="BZ648" s="11"/>
      <c r="CA648" s="11"/>
      <c r="CB648" s="11"/>
      <c r="CC648" s="11"/>
      <c r="CD648" s="11"/>
      <c r="CE648" s="11"/>
      <c r="CF648" s="11"/>
      <c r="CG648" s="11"/>
      <c r="CH648" s="11"/>
      <c r="CI648" s="11"/>
      <c r="CJ648" s="11"/>
      <c r="CK648" s="11"/>
      <c r="CL648" s="11"/>
      <c r="CM648" s="11"/>
      <c r="CN648" s="11"/>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c r="AB649" s="6"/>
      <c r="AC649" s="6"/>
      <c r="AD649" s="6"/>
      <c r="AE649" s="6"/>
      <c r="AF649" s="6"/>
      <c r="AG649" s="6"/>
      <c r="AH649" s="6"/>
      <c r="AI649" s="6"/>
      <c r="AJ649" s="6"/>
      <c r="AK649" s="6"/>
      <c r="AL649" s="6"/>
      <c r="AM649" s="6"/>
      <c r="AN649" s="6"/>
      <c r="AO649" s="6"/>
      <c r="AP649" s="6"/>
      <c r="AQ649" s="6"/>
      <c r="AR649" s="6"/>
      <c r="AS649" s="6"/>
      <c r="AT649" s="6"/>
      <c r="AU649" s="6"/>
      <c r="AV649" s="6"/>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11"/>
      <c r="BX649" s="11"/>
      <c r="BY649" s="11"/>
      <c r="BZ649" s="11"/>
      <c r="CA649" s="11"/>
      <c r="CB649" s="11"/>
      <c r="CC649" s="11"/>
      <c r="CD649" s="11"/>
      <c r="CE649" s="11"/>
      <c r="CF649" s="11"/>
      <c r="CG649" s="11"/>
      <c r="CH649" s="11"/>
      <c r="CI649" s="11"/>
      <c r="CJ649" s="11"/>
      <c r="CK649" s="11"/>
      <c r="CL649" s="11"/>
      <c r="CM649" s="11"/>
      <c r="CN649" s="11"/>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11"/>
      <c r="BX650" s="11"/>
      <c r="BY650" s="11"/>
      <c r="BZ650" s="11"/>
      <c r="CA650" s="11"/>
      <c r="CB650" s="11"/>
      <c r="CC650" s="11"/>
      <c r="CD650" s="11"/>
      <c r="CE650" s="11"/>
      <c r="CF650" s="11"/>
      <c r="CG650" s="11"/>
      <c r="CH650" s="11"/>
      <c r="CI650" s="11"/>
      <c r="CJ650" s="11"/>
      <c r="CK650" s="11"/>
      <c r="CL650" s="11"/>
      <c r="CM650" s="11"/>
      <c r="CN650" s="11"/>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c r="AB651" s="6"/>
      <c r="AC651" s="6"/>
      <c r="AD651" s="6"/>
      <c r="AE651" s="6"/>
      <c r="AF651" s="6"/>
      <c r="AG651" s="6"/>
      <c r="AH651" s="6"/>
      <c r="AI651" s="6"/>
      <c r="AJ651" s="6"/>
      <c r="AK651" s="6"/>
      <c r="AL651" s="6"/>
      <c r="AM651" s="6"/>
      <c r="AN651" s="6"/>
      <c r="AO651" s="6"/>
      <c r="AP651" s="6"/>
      <c r="AQ651" s="6"/>
      <c r="AR651" s="6"/>
      <c r="AS651" s="6"/>
      <c r="AT651" s="6"/>
      <c r="AU651" s="6"/>
      <c r="AV651" s="6"/>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11"/>
      <c r="BX651" s="11"/>
      <c r="BY651" s="11"/>
      <c r="BZ651" s="11"/>
      <c r="CA651" s="11"/>
      <c r="CB651" s="11"/>
      <c r="CC651" s="11"/>
      <c r="CD651" s="11"/>
      <c r="CE651" s="11"/>
      <c r="CF651" s="11"/>
      <c r="CG651" s="11"/>
      <c r="CH651" s="11"/>
      <c r="CI651" s="11"/>
      <c r="CJ651" s="11"/>
      <c r="CK651" s="11"/>
      <c r="CL651" s="11"/>
      <c r="CM651" s="11"/>
      <c r="CN651" s="11"/>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c r="AV652" s="6"/>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11"/>
      <c r="BX652" s="11"/>
      <c r="BY652" s="11"/>
      <c r="BZ652" s="11"/>
      <c r="CA652" s="11"/>
      <c r="CB652" s="11"/>
      <c r="CC652" s="11"/>
      <c r="CD652" s="11"/>
      <c r="CE652" s="11"/>
      <c r="CF652" s="11"/>
      <c r="CG652" s="11"/>
      <c r="CH652" s="11"/>
      <c r="CI652" s="11"/>
      <c r="CJ652" s="11"/>
      <c r="CK652" s="11"/>
      <c r="CL652" s="11"/>
      <c r="CM652" s="11"/>
      <c r="CN652" s="11"/>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c r="AB653" s="6"/>
      <c r="AC653" s="6"/>
      <c r="AD653" s="6"/>
      <c r="AE653" s="6"/>
      <c r="AF653" s="6"/>
      <c r="AG653" s="6"/>
      <c r="AH653" s="6"/>
      <c r="AI653" s="6"/>
      <c r="AJ653" s="6"/>
      <c r="AK653" s="6"/>
      <c r="AL653" s="6"/>
      <c r="AM653" s="6"/>
      <c r="AN653" s="6"/>
      <c r="AO653" s="6"/>
      <c r="AP653" s="6"/>
      <c r="AQ653" s="6"/>
      <c r="AR653" s="6"/>
      <c r="AS653" s="6"/>
      <c r="AT653" s="6"/>
      <c r="AU653" s="6"/>
      <c r="AV653" s="6"/>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11"/>
      <c r="BX653" s="11"/>
      <c r="BY653" s="11"/>
      <c r="BZ653" s="11"/>
      <c r="CA653" s="11"/>
      <c r="CB653" s="11"/>
      <c r="CC653" s="11"/>
      <c r="CD653" s="11"/>
      <c r="CE653" s="11"/>
      <c r="CF653" s="11"/>
      <c r="CG653" s="11"/>
      <c r="CH653" s="11"/>
      <c r="CI653" s="11"/>
      <c r="CJ653" s="11"/>
      <c r="CK653" s="11"/>
      <c r="CL653" s="11"/>
      <c r="CM653" s="11"/>
      <c r="CN653" s="11"/>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c r="AV654" s="6"/>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11"/>
      <c r="BX654" s="11"/>
      <c r="BY654" s="11"/>
      <c r="BZ654" s="11"/>
      <c r="CA654" s="11"/>
      <c r="CB654" s="11"/>
      <c r="CC654" s="11"/>
      <c r="CD654" s="11"/>
      <c r="CE654" s="11"/>
      <c r="CF654" s="11"/>
      <c r="CG654" s="11"/>
      <c r="CH654" s="11"/>
      <c r="CI654" s="11"/>
      <c r="CJ654" s="11"/>
      <c r="CK654" s="11"/>
      <c r="CL654" s="11"/>
      <c r="CM654" s="11"/>
      <c r="CN654" s="11"/>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c r="AB655" s="6"/>
      <c r="AC655" s="6"/>
      <c r="AD655" s="6"/>
      <c r="AE655" s="6"/>
      <c r="AF655" s="6"/>
      <c r="AG655" s="6"/>
      <c r="AH655" s="6"/>
      <c r="AI655" s="6"/>
      <c r="AJ655" s="6"/>
      <c r="AK655" s="6"/>
      <c r="AL655" s="6"/>
      <c r="AM655" s="6"/>
      <c r="AN655" s="6"/>
      <c r="AO655" s="6"/>
      <c r="AP655" s="6"/>
      <c r="AQ655" s="6"/>
      <c r="AR655" s="6"/>
      <c r="AS655" s="6"/>
      <c r="AT655" s="6"/>
      <c r="AU655" s="6"/>
      <c r="AV655" s="6"/>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11"/>
      <c r="BX655" s="11"/>
      <c r="BY655" s="11"/>
      <c r="BZ655" s="11"/>
      <c r="CA655" s="11"/>
      <c r="CB655" s="11"/>
      <c r="CC655" s="11"/>
      <c r="CD655" s="11"/>
      <c r="CE655" s="11"/>
      <c r="CF655" s="11"/>
      <c r="CG655" s="11"/>
      <c r="CH655" s="11"/>
      <c r="CI655" s="11"/>
      <c r="CJ655" s="11"/>
      <c r="CK655" s="11"/>
      <c r="CL655" s="11"/>
      <c r="CM655" s="11"/>
      <c r="CN655" s="11"/>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c r="AV656" s="6"/>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11"/>
      <c r="BX656" s="11"/>
      <c r="BY656" s="11"/>
      <c r="BZ656" s="11"/>
      <c r="CA656" s="11"/>
      <c r="CB656" s="11"/>
      <c r="CC656" s="11"/>
      <c r="CD656" s="11"/>
      <c r="CE656" s="11"/>
      <c r="CF656" s="11"/>
      <c r="CG656" s="11"/>
      <c r="CH656" s="11"/>
      <c r="CI656" s="11"/>
      <c r="CJ656" s="11"/>
      <c r="CK656" s="11"/>
      <c r="CL656" s="11"/>
      <c r="CM656" s="11"/>
      <c r="CN656" s="11"/>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c r="AB657" s="6"/>
      <c r="AC657" s="6"/>
      <c r="AD657" s="6"/>
      <c r="AE657" s="6"/>
      <c r="AF657" s="6"/>
      <c r="AG657" s="6"/>
      <c r="AH657" s="6"/>
      <c r="AI657" s="6"/>
      <c r="AJ657" s="6"/>
      <c r="AK657" s="6"/>
      <c r="AL657" s="6"/>
      <c r="AM657" s="6"/>
      <c r="AN657" s="6"/>
      <c r="AO657" s="6"/>
      <c r="AP657" s="6"/>
      <c r="AQ657" s="6"/>
      <c r="AR657" s="6"/>
      <c r="AS657" s="6"/>
      <c r="AT657" s="6"/>
      <c r="AU657" s="6"/>
      <c r="AV657" s="6"/>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11"/>
      <c r="BX657" s="11"/>
      <c r="BY657" s="11"/>
      <c r="BZ657" s="11"/>
      <c r="CA657" s="11"/>
      <c r="CB657" s="11"/>
      <c r="CC657" s="11"/>
      <c r="CD657" s="11"/>
      <c r="CE657" s="11"/>
      <c r="CF657" s="11"/>
      <c r="CG657" s="11"/>
      <c r="CH657" s="11"/>
      <c r="CI657" s="11"/>
      <c r="CJ657" s="11"/>
      <c r="CK657" s="11"/>
      <c r="CL657" s="11"/>
      <c r="CM657" s="11"/>
      <c r="CN657" s="11"/>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c r="AV658" s="6"/>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11"/>
      <c r="BX658" s="11"/>
      <c r="BY658" s="11"/>
      <c r="BZ658" s="11"/>
      <c r="CA658" s="11"/>
      <c r="CB658" s="11"/>
      <c r="CC658" s="11"/>
      <c r="CD658" s="11"/>
      <c r="CE658" s="11"/>
      <c r="CF658" s="11"/>
      <c r="CG658" s="11"/>
      <c r="CH658" s="11"/>
      <c r="CI658" s="11"/>
      <c r="CJ658" s="11"/>
      <c r="CK658" s="11"/>
      <c r="CL658" s="11"/>
      <c r="CM658" s="11"/>
      <c r="CN658" s="11"/>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c r="AB659" s="6"/>
      <c r="AC659" s="6"/>
      <c r="AD659" s="6"/>
      <c r="AE659" s="6"/>
      <c r="AF659" s="6"/>
      <c r="AG659" s="6"/>
      <c r="AH659" s="6"/>
      <c r="AI659" s="6"/>
      <c r="AJ659" s="6"/>
      <c r="AK659" s="6"/>
      <c r="AL659" s="6"/>
      <c r="AM659" s="6"/>
      <c r="AN659" s="6"/>
      <c r="AO659" s="6"/>
      <c r="AP659" s="6"/>
      <c r="AQ659" s="6"/>
      <c r="AR659" s="6"/>
      <c r="AS659" s="6"/>
      <c r="AT659" s="6"/>
      <c r="AU659" s="6"/>
      <c r="AV659" s="6"/>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11"/>
      <c r="BX659" s="11"/>
      <c r="BY659" s="11"/>
      <c r="BZ659" s="11"/>
      <c r="CA659" s="11"/>
      <c r="CB659" s="11"/>
      <c r="CC659" s="11"/>
      <c r="CD659" s="11"/>
      <c r="CE659" s="11"/>
      <c r="CF659" s="11"/>
      <c r="CG659" s="11"/>
      <c r="CH659" s="11"/>
      <c r="CI659" s="11"/>
      <c r="CJ659" s="11"/>
      <c r="CK659" s="11"/>
      <c r="CL659" s="11"/>
      <c r="CM659" s="11"/>
      <c r="CN659" s="11"/>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c r="AV660" s="6"/>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11"/>
      <c r="BX660" s="11"/>
      <c r="BY660" s="11"/>
      <c r="BZ660" s="11"/>
      <c r="CA660" s="11"/>
      <c r="CB660" s="11"/>
      <c r="CC660" s="11"/>
      <c r="CD660" s="11"/>
      <c r="CE660" s="11"/>
      <c r="CF660" s="11"/>
      <c r="CG660" s="11"/>
      <c r="CH660" s="11"/>
      <c r="CI660" s="11"/>
      <c r="CJ660" s="11"/>
      <c r="CK660" s="11"/>
      <c r="CL660" s="11"/>
      <c r="CM660" s="11"/>
      <c r="CN660" s="11"/>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c r="AB661" s="6"/>
      <c r="AC661" s="6"/>
      <c r="AD661" s="6"/>
      <c r="AE661" s="6"/>
      <c r="AF661" s="6"/>
      <c r="AG661" s="6"/>
      <c r="AH661" s="6"/>
      <c r="AI661" s="6"/>
      <c r="AJ661" s="6"/>
      <c r="AK661" s="6"/>
      <c r="AL661" s="6"/>
      <c r="AM661" s="6"/>
      <c r="AN661" s="6"/>
      <c r="AO661" s="6"/>
      <c r="AP661" s="6"/>
      <c r="AQ661" s="6"/>
      <c r="AR661" s="6"/>
      <c r="AS661" s="6"/>
      <c r="AT661" s="6"/>
      <c r="AU661" s="6"/>
      <c r="AV661" s="6"/>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11"/>
      <c r="BX661" s="11"/>
      <c r="BY661" s="11"/>
      <c r="BZ661" s="11"/>
      <c r="CA661" s="11"/>
      <c r="CB661" s="11"/>
      <c r="CC661" s="11"/>
      <c r="CD661" s="11"/>
      <c r="CE661" s="11"/>
      <c r="CF661" s="11"/>
      <c r="CG661" s="11"/>
      <c r="CH661" s="11"/>
      <c r="CI661" s="11"/>
      <c r="CJ661" s="11"/>
      <c r="CK661" s="11"/>
      <c r="CL661" s="11"/>
      <c r="CM661" s="11"/>
      <c r="CN661" s="11"/>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11"/>
      <c r="BX662" s="11"/>
      <c r="BY662" s="11"/>
      <c r="BZ662" s="11"/>
      <c r="CA662" s="11"/>
      <c r="CB662" s="11"/>
      <c r="CC662" s="11"/>
      <c r="CD662" s="11"/>
      <c r="CE662" s="11"/>
      <c r="CF662" s="11"/>
      <c r="CG662" s="11"/>
      <c r="CH662" s="11"/>
      <c r="CI662" s="11"/>
      <c r="CJ662" s="11"/>
      <c r="CK662" s="11"/>
      <c r="CL662" s="11"/>
      <c r="CM662" s="11"/>
      <c r="CN662" s="11"/>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c r="AO663" s="6"/>
      <c r="AP663" s="6"/>
      <c r="AQ663" s="6"/>
      <c r="AR663" s="6"/>
      <c r="AS663" s="6"/>
      <c r="AT663" s="6"/>
      <c r="AU663" s="6"/>
      <c r="AV663" s="6"/>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11"/>
      <c r="BX663" s="11"/>
      <c r="BY663" s="11"/>
      <c r="BZ663" s="11"/>
      <c r="CA663" s="11"/>
      <c r="CB663" s="11"/>
      <c r="CC663" s="11"/>
      <c r="CD663" s="11"/>
      <c r="CE663" s="11"/>
      <c r="CF663" s="11"/>
      <c r="CG663" s="11"/>
      <c r="CH663" s="11"/>
      <c r="CI663" s="11"/>
      <c r="CJ663" s="11"/>
      <c r="CK663" s="11"/>
      <c r="CL663" s="11"/>
      <c r="CM663" s="11"/>
      <c r="CN663" s="11"/>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c r="AV664" s="6"/>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11"/>
      <c r="BX664" s="11"/>
      <c r="BY664" s="11"/>
      <c r="BZ664" s="11"/>
      <c r="CA664" s="11"/>
      <c r="CB664" s="11"/>
      <c r="CC664" s="11"/>
      <c r="CD664" s="11"/>
      <c r="CE664" s="11"/>
      <c r="CF664" s="11"/>
      <c r="CG664" s="11"/>
      <c r="CH664" s="11"/>
      <c r="CI664" s="11"/>
      <c r="CJ664" s="11"/>
      <c r="CK664" s="11"/>
      <c r="CL664" s="11"/>
      <c r="CM664" s="11"/>
      <c r="CN664" s="11"/>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c r="AB665" s="6"/>
      <c r="AC665" s="6"/>
      <c r="AD665" s="6"/>
      <c r="AE665" s="6"/>
      <c r="AF665" s="6"/>
      <c r="AG665" s="6"/>
      <c r="AH665" s="6"/>
      <c r="AI665" s="6"/>
      <c r="AJ665" s="6"/>
      <c r="AK665" s="6"/>
      <c r="AL665" s="6"/>
      <c r="AM665" s="6"/>
      <c r="AN665" s="6"/>
      <c r="AO665" s="6"/>
      <c r="AP665" s="6"/>
      <c r="AQ665" s="6"/>
      <c r="AR665" s="6"/>
      <c r="AS665" s="6"/>
      <c r="AT665" s="6"/>
      <c r="AU665" s="6"/>
      <c r="AV665" s="6"/>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11"/>
      <c r="BX665" s="11"/>
      <c r="BY665" s="11"/>
      <c r="BZ665" s="11"/>
      <c r="CA665" s="11"/>
      <c r="CB665" s="11"/>
      <c r="CC665" s="11"/>
      <c r="CD665" s="11"/>
      <c r="CE665" s="11"/>
      <c r="CF665" s="11"/>
      <c r="CG665" s="11"/>
      <c r="CH665" s="11"/>
      <c r="CI665" s="11"/>
      <c r="CJ665" s="11"/>
      <c r="CK665" s="11"/>
      <c r="CL665" s="11"/>
      <c r="CM665" s="11"/>
      <c r="CN665" s="11"/>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11"/>
      <c r="BX666" s="11"/>
      <c r="BY666" s="11"/>
      <c r="BZ666" s="11"/>
      <c r="CA666" s="11"/>
      <c r="CB666" s="11"/>
      <c r="CC666" s="11"/>
      <c r="CD666" s="11"/>
      <c r="CE666" s="11"/>
      <c r="CF666" s="11"/>
      <c r="CG666" s="11"/>
      <c r="CH666" s="11"/>
      <c r="CI666" s="11"/>
      <c r="CJ666" s="11"/>
      <c r="CK666" s="11"/>
      <c r="CL666" s="11"/>
      <c r="CM666" s="11"/>
      <c r="CN666" s="11"/>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c r="AB667" s="6"/>
      <c r="AC667" s="6"/>
      <c r="AD667" s="6"/>
      <c r="AE667" s="6"/>
      <c r="AF667" s="6"/>
      <c r="AG667" s="6"/>
      <c r="AH667" s="6"/>
      <c r="AI667" s="6"/>
      <c r="AJ667" s="6"/>
      <c r="AK667" s="6"/>
      <c r="AL667" s="6"/>
      <c r="AM667" s="6"/>
      <c r="AN667" s="6"/>
      <c r="AO667" s="6"/>
      <c r="AP667" s="6"/>
      <c r="AQ667" s="6"/>
      <c r="AR667" s="6"/>
      <c r="AS667" s="6"/>
      <c r="AT667" s="6"/>
      <c r="AU667" s="6"/>
      <c r="AV667" s="6"/>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11"/>
      <c r="BX667" s="11"/>
      <c r="BY667" s="11"/>
      <c r="BZ667" s="11"/>
      <c r="CA667" s="11"/>
      <c r="CB667" s="11"/>
      <c r="CC667" s="11"/>
      <c r="CD667" s="11"/>
      <c r="CE667" s="11"/>
      <c r="CF667" s="11"/>
      <c r="CG667" s="11"/>
      <c r="CH667" s="11"/>
      <c r="CI667" s="11"/>
      <c r="CJ667" s="11"/>
      <c r="CK667" s="11"/>
      <c r="CL667" s="11"/>
      <c r="CM667" s="11"/>
      <c r="CN667" s="11"/>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c r="AV668" s="6"/>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11"/>
      <c r="BX668" s="11"/>
      <c r="BY668" s="11"/>
      <c r="BZ668" s="11"/>
      <c r="CA668" s="11"/>
      <c r="CB668" s="11"/>
      <c r="CC668" s="11"/>
      <c r="CD668" s="11"/>
      <c r="CE668" s="11"/>
      <c r="CF668" s="11"/>
      <c r="CG668" s="11"/>
      <c r="CH668" s="11"/>
      <c r="CI668" s="11"/>
      <c r="CJ668" s="11"/>
      <c r="CK668" s="11"/>
      <c r="CL668" s="11"/>
      <c r="CM668" s="11"/>
      <c r="CN668" s="11"/>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c r="AB669" s="6"/>
      <c r="AC669" s="6"/>
      <c r="AD669" s="6"/>
      <c r="AE669" s="6"/>
      <c r="AF669" s="6"/>
      <c r="AG669" s="6"/>
      <c r="AH669" s="6"/>
      <c r="AI669" s="6"/>
      <c r="AJ669" s="6"/>
      <c r="AK669" s="6"/>
      <c r="AL669" s="6"/>
      <c r="AM669" s="6"/>
      <c r="AN669" s="6"/>
      <c r="AO669" s="6"/>
      <c r="AP669" s="6"/>
      <c r="AQ669" s="6"/>
      <c r="AR669" s="6"/>
      <c r="AS669" s="6"/>
      <c r="AT669" s="6"/>
      <c r="AU669" s="6"/>
      <c r="AV669" s="6"/>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11"/>
      <c r="BX669" s="11"/>
      <c r="BY669" s="11"/>
      <c r="BZ669" s="11"/>
      <c r="CA669" s="11"/>
      <c r="CB669" s="11"/>
      <c r="CC669" s="11"/>
      <c r="CD669" s="11"/>
      <c r="CE669" s="11"/>
      <c r="CF669" s="11"/>
      <c r="CG669" s="11"/>
      <c r="CH669" s="11"/>
      <c r="CI669" s="11"/>
      <c r="CJ669" s="11"/>
      <c r="CK669" s="11"/>
      <c r="CL669" s="11"/>
      <c r="CM669" s="11"/>
      <c r="CN669" s="11"/>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c r="AV670" s="6"/>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11"/>
      <c r="BX670" s="11"/>
      <c r="BY670" s="11"/>
      <c r="BZ670" s="11"/>
      <c r="CA670" s="11"/>
      <c r="CB670" s="11"/>
      <c r="CC670" s="11"/>
      <c r="CD670" s="11"/>
      <c r="CE670" s="11"/>
      <c r="CF670" s="11"/>
      <c r="CG670" s="11"/>
      <c r="CH670" s="11"/>
      <c r="CI670" s="11"/>
      <c r="CJ670" s="11"/>
      <c r="CK670" s="11"/>
      <c r="CL670" s="11"/>
      <c r="CM670" s="11"/>
      <c r="CN670" s="11"/>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c r="AB671" s="6"/>
      <c r="AC671" s="6"/>
      <c r="AD671" s="6"/>
      <c r="AE671" s="6"/>
      <c r="AF671" s="6"/>
      <c r="AG671" s="6"/>
      <c r="AH671" s="6"/>
      <c r="AI671" s="6"/>
      <c r="AJ671" s="6"/>
      <c r="AK671" s="6"/>
      <c r="AL671" s="6"/>
      <c r="AM671" s="6"/>
      <c r="AN671" s="6"/>
      <c r="AO671" s="6"/>
      <c r="AP671" s="6"/>
      <c r="AQ671" s="6"/>
      <c r="AR671" s="6"/>
      <c r="AS671" s="6"/>
      <c r="AT671" s="6"/>
      <c r="AU671" s="6"/>
      <c r="AV671" s="6"/>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11"/>
      <c r="BX671" s="11"/>
      <c r="BY671" s="11"/>
      <c r="BZ671" s="11"/>
      <c r="CA671" s="11"/>
      <c r="CB671" s="11"/>
      <c r="CC671" s="11"/>
      <c r="CD671" s="11"/>
      <c r="CE671" s="11"/>
      <c r="CF671" s="11"/>
      <c r="CG671" s="11"/>
      <c r="CH671" s="11"/>
      <c r="CI671" s="11"/>
      <c r="CJ671" s="11"/>
      <c r="CK671" s="11"/>
      <c r="CL671" s="11"/>
      <c r="CM671" s="11"/>
      <c r="CN671" s="11"/>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c r="AV672" s="6"/>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11"/>
      <c r="BX672" s="11"/>
      <c r="BY672" s="11"/>
      <c r="BZ672" s="11"/>
      <c r="CA672" s="11"/>
      <c r="CB672" s="11"/>
      <c r="CC672" s="11"/>
      <c r="CD672" s="11"/>
      <c r="CE672" s="11"/>
      <c r="CF672" s="11"/>
      <c r="CG672" s="11"/>
      <c r="CH672" s="11"/>
      <c r="CI672" s="11"/>
      <c r="CJ672" s="11"/>
      <c r="CK672" s="11"/>
      <c r="CL672" s="11"/>
      <c r="CM672" s="11"/>
      <c r="CN672" s="11"/>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c r="AB673" s="6"/>
      <c r="AC673" s="6"/>
      <c r="AD673" s="6"/>
      <c r="AE673" s="6"/>
      <c r="AF673" s="6"/>
      <c r="AG673" s="6"/>
      <c r="AH673" s="6"/>
      <c r="AI673" s="6"/>
      <c r="AJ673" s="6"/>
      <c r="AK673" s="6"/>
      <c r="AL673" s="6"/>
      <c r="AM673" s="6"/>
      <c r="AN673" s="6"/>
      <c r="AO673" s="6"/>
      <c r="AP673" s="6"/>
      <c r="AQ673" s="6"/>
      <c r="AR673" s="6"/>
      <c r="AS673" s="6"/>
      <c r="AT673" s="6"/>
      <c r="AU673" s="6"/>
      <c r="AV673" s="6"/>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11"/>
      <c r="BX673" s="11"/>
      <c r="BY673" s="11"/>
      <c r="BZ673" s="11"/>
      <c r="CA673" s="11"/>
      <c r="CB673" s="11"/>
      <c r="CC673" s="11"/>
      <c r="CD673" s="11"/>
      <c r="CE673" s="11"/>
      <c r="CF673" s="11"/>
      <c r="CG673" s="11"/>
      <c r="CH673" s="11"/>
      <c r="CI673" s="11"/>
      <c r="CJ673" s="11"/>
      <c r="CK673" s="11"/>
      <c r="CL673" s="11"/>
      <c r="CM673" s="11"/>
      <c r="CN673" s="11"/>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c r="AV674" s="6"/>
      <c r="AW674" s="6"/>
      <c r="AX674" s="6"/>
      <c r="AY674" s="6"/>
      <c r="AZ674" s="6"/>
      <c r="BA674" s="6"/>
      <c r="BB674" s="6"/>
      <c r="BC674" s="6"/>
      <c r="BD674" s="6"/>
      <c r="BE674" s="6"/>
      <c r="BF674" s="6"/>
      <c r="BG674" s="6"/>
      <c r="BH674" s="6"/>
      <c r="BI674" s="6"/>
      <c r="BJ674" s="6"/>
      <c r="BK674" s="6"/>
      <c r="BL674" s="6"/>
      <c r="BM674" s="6"/>
      <c r="BN674" s="6"/>
      <c r="BO674" s="6"/>
      <c r="BP674" s="6"/>
      <c r="BQ674" s="6"/>
      <c r="BR674" s="6"/>
      <c r="BS674" s="6"/>
      <c r="BT674" s="6"/>
      <c r="BU674" s="6"/>
      <c r="BV674" s="6"/>
      <c r="BW674" s="11"/>
      <c r="BX674" s="11"/>
      <c r="BY674" s="11"/>
      <c r="BZ674" s="11"/>
      <c r="CA674" s="11"/>
      <c r="CB674" s="11"/>
      <c r="CC674" s="11"/>
      <c r="CD674" s="11"/>
      <c r="CE674" s="11"/>
      <c r="CF674" s="11"/>
      <c r="CG674" s="11"/>
      <c r="CH674" s="11"/>
      <c r="CI674" s="11"/>
      <c r="CJ674" s="11"/>
      <c r="CK674" s="11"/>
      <c r="CL674" s="11"/>
      <c r="CM674" s="11"/>
      <c r="CN674" s="11"/>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c r="AB675" s="6"/>
      <c r="AC675" s="6"/>
      <c r="AD675" s="6"/>
      <c r="AE675" s="6"/>
      <c r="AF675" s="6"/>
      <c r="AG675" s="6"/>
      <c r="AH675" s="6"/>
      <c r="AI675" s="6"/>
      <c r="AJ675" s="6"/>
      <c r="AK675" s="6"/>
      <c r="AL675" s="6"/>
      <c r="AM675" s="6"/>
      <c r="AN675" s="6"/>
      <c r="AO675" s="6"/>
      <c r="AP675" s="6"/>
      <c r="AQ675" s="6"/>
      <c r="AR675" s="6"/>
      <c r="AS675" s="6"/>
      <c r="AT675" s="6"/>
      <c r="AU675" s="6"/>
      <c r="AV675" s="6"/>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11"/>
      <c r="BX675" s="11"/>
      <c r="BY675" s="11"/>
      <c r="BZ675" s="11"/>
      <c r="CA675" s="11"/>
      <c r="CB675" s="11"/>
      <c r="CC675" s="11"/>
      <c r="CD675" s="11"/>
      <c r="CE675" s="11"/>
      <c r="CF675" s="11"/>
      <c r="CG675" s="11"/>
      <c r="CH675" s="11"/>
      <c r="CI675" s="11"/>
      <c r="CJ675" s="11"/>
      <c r="CK675" s="11"/>
      <c r="CL675" s="11"/>
      <c r="CM675" s="11"/>
      <c r="CN675" s="11"/>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c r="AV676" s="6"/>
      <c r="AW676" s="6"/>
      <c r="AX676" s="6"/>
      <c r="AY676" s="6"/>
      <c r="AZ676" s="6"/>
      <c r="BA676" s="6"/>
      <c r="BB676" s="6"/>
      <c r="BC676" s="6"/>
      <c r="BD676" s="6"/>
      <c r="BE676" s="6"/>
      <c r="BF676" s="6"/>
      <c r="BG676" s="6"/>
      <c r="BH676" s="6"/>
      <c r="BI676" s="6"/>
      <c r="BJ676" s="6"/>
      <c r="BK676" s="6"/>
      <c r="BL676" s="6"/>
      <c r="BM676" s="6"/>
      <c r="BN676" s="6"/>
      <c r="BO676" s="6"/>
      <c r="BP676" s="6"/>
      <c r="BQ676" s="6"/>
      <c r="BR676" s="6"/>
      <c r="BS676" s="6"/>
      <c r="BT676" s="6"/>
      <c r="BU676" s="6"/>
      <c r="BV676" s="6"/>
      <c r="BW676" s="11"/>
      <c r="BX676" s="11"/>
      <c r="BY676" s="11"/>
      <c r="BZ676" s="11"/>
      <c r="CA676" s="11"/>
      <c r="CB676" s="11"/>
      <c r="CC676" s="11"/>
      <c r="CD676" s="11"/>
      <c r="CE676" s="11"/>
      <c r="CF676" s="11"/>
      <c r="CG676" s="11"/>
      <c r="CH676" s="11"/>
      <c r="CI676" s="11"/>
      <c r="CJ676" s="11"/>
      <c r="CK676" s="11"/>
      <c r="CL676" s="11"/>
      <c r="CM676" s="11"/>
      <c r="CN676" s="11"/>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c r="AB677" s="6"/>
      <c r="AC677" s="6"/>
      <c r="AD677" s="6"/>
      <c r="AE677" s="6"/>
      <c r="AF677" s="6"/>
      <c r="AG677" s="6"/>
      <c r="AH677" s="6"/>
      <c r="AI677" s="6"/>
      <c r="AJ677" s="6"/>
      <c r="AK677" s="6"/>
      <c r="AL677" s="6"/>
      <c r="AM677" s="6"/>
      <c r="AN677" s="6"/>
      <c r="AO677" s="6"/>
      <c r="AP677" s="6"/>
      <c r="AQ677" s="6"/>
      <c r="AR677" s="6"/>
      <c r="AS677" s="6"/>
      <c r="AT677" s="6"/>
      <c r="AU677" s="6"/>
      <c r="AV677" s="6"/>
      <c r="AW677" s="6"/>
      <c r="AX677" s="6"/>
      <c r="AY677" s="6"/>
      <c r="AZ677" s="6"/>
      <c r="BA677" s="6"/>
      <c r="BB677" s="6"/>
      <c r="BC677" s="6"/>
      <c r="BD677" s="6"/>
      <c r="BE677" s="6"/>
      <c r="BF677" s="6"/>
      <c r="BG677" s="6"/>
      <c r="BH677" s="6"/>
      <c r="BI677" s="6"/>
      <c r="BJ677" s="6"/>
      <c r="BK677" s="6"/>
      <c r="BL677" s="6"/>
      <c r="BM677" s="6"/>
      <c r="BN677" s="6"/>
      <c r="BO677" s="6"/>
      <c r="BP677" s="6"/>
      <c r="BQ677" s="6"/>
      <c r="BR677" s="6"/>
      <c r="BS677" s="6"/>
      <c r="BT677" s="6"/>
      <c r="BU677" s="6"/>
      <c r="BV677" s="6"/>
      <c r="BW677" s="11"/>
      <c r="BX677" s="11"/>
      <c r="BY677" s="11"/>
      <c r="BZ677" s="11"/>
      <c r="CA677" s="11"/>
      <c r="CB677" s="11"/>
      <c r="CC677" s="11"/>
      <c r="CD677" s="11"/>
      <c r="CE677" s="11"/>
      <c r="CF677" s="11"/>
      <c r="CG677" s="11"/>
      <c r="CH677" s="11"/>
      <c r="CI677" s="11"/>
      <c r="CJ677" s="11"/>
      <c r="CK677" s="11"/>
      <c r="CL677" s="11"/>
      <c r="CM677" s="11"/>
      <c r="CN677" s="11"/>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c r="AV678" s="6"/>
      <c r="AW678" s="6"/>
      <c r="AX678" s="6"/>
      <c r="AY678" s="6"/>
      <c r="AZ678" s="6"/>
      <c r="BA678" s="6"/>
      <c r="BB678" s="6"/>
      <c r="BC678" s="6"/>
      <c r="BD678" s="6"/>
      <c r="BE678" s="6"/>
      <c r="BF678" s="6"/>
      <c r="BG678" s="6"/>
      <c r="BH678" s="6"/>
      <c r="BI678" s="6"/>
      <c r="BJ678" s="6"/>
      <c r="BK678" s="6"/>
      <c r="BL678" s="6"/>
      <c r="BM678" s="6"/>
      <c r="BN678" s="6"/>
      <c r="BO678" s="6"/>
      <c r="BP678" s="6"/>
      <c r="BQ678" s="6"/>
      <c r="BR678" s="6"/>
      <c r="BS678" s="6"/>
      <c r="BT678" s="6"/>
      <c r="BU678" s="6"/>
      <c r="BV678" s="6"/>
      <c r="BW678" s="11"/>
      <c r="BX678" s="11"/>
      <c r="BY678" s="11"/>
      <c r="BZ678" s="11"/>
      <c r="CA678" s="11"/>
      <c r="CB678" s="11"/>
      <c r="CC678" s="11"/>
      <c r="CD678" s="11"/>
      <c r="CE678" s="11"/>
      <c r="CF678" s="11"/>
      <c r="CG678" s="11"/>
      <c r="CH678" s="11"/>
      <c r="CI678" s="11"/>
      <c r="CJ678" s="11"/>
      <c r="CK678" s="11"/>
      <c r="CL678" s="11"/>
      <c r="CM678" s="11"/>
      <c r="CN678" s="11"/>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c r="AB679" s="6"/>
      <c r="AC679" s="6"/>
      <c r="AD679" s="6"/>
      <c r="AE679" s="6"/>
      <c r="AF679" s="6"/>
      <c r="AG679" s="6"/>
      <c r="AH679" s="6"/>
      <c r="AI679" s="6"/>
      <c r="AJ679" s="6"/>
      <c r="AK679" s="6"/>
      <c r="AL679" s="6"/>
      <c r="AM679" s="6"/>
      <c r="AN679" s="6"/>
      <c r="AO679" s="6"/>
      <c r="AP679" s="6"/>
      <c r="AQ679" s="6"/>
      <c r="AR679" s="6"/>
      <c r="AS679" s="6"/>
      <c r="AT679" s="6"/>
      <c r="AU679" s="6"/>
      <c r="AV679" s="6"/>
      <c r="AW679" s="6"/>
      <c r="AX679" s="6"/>
      <c r="AY679" s="6"/>
      <c r="AZ679" s="6"/>
      <c r="BA679" s="6"/>
      <c r="BB679" s="6"/>
      <c r="BC679" s="6"/>
      <c r="BD679" s="6"/>
      <c r="BE679" s="6"/>
      <c r="BF679" s="6"/>
      <c r="BG679" s="6"/>
      <c r="BH679" s="6"/>
      <c r="BI679" s="6"/>
      <c r="BJ679" s="6"/>
      <c r="BK679" s="6"/>
      <c r="BL679" s="6"/>
      <c r="BM679" s="6"/>
      <c r="BN679" s="6"/>
      <c r="BO679" s="6"/>
      <c r="BP679" s="6"/>
      <c r="BQ679" s="6"/>
      <c r="BR679" s="6"/>
      <c r="BS679" s="6"/>
      <c r="BT679" s="6"/>
      <c r="BU679" s="6"/>
      <c r="BV679" s="6"/>
      <c r="BW679" s="11"/>
      <c r="BX679" s="11"/>
      <c r="BY679" s="11"/>
      <c r="BZ679" s="11"/>
      <c r="CA679" s="11"/>
      <c r="CB679" s="11"/>
      <c r="CC679" s="11"/>
      <c r="CD679" s="11"/>
      <c r="CE679" s="11"/>
      <c r="CF679" s="11"/>
      <c r="CG679" s="11"/>
      <c r="CH679" s="11"/>
      <c r="CI679" s="11"/>
      <c r="CJ679" s="11"/>
      <c r="CK679" s="11"/>
      <c r="CL679" s="11"/>
      <c r="CM679" s="11"/>
      <c r="CN679" s="11"/>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c r="AV680" s="6"/>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11"/>
      <c r="BX680" s="11"/>
      <c r="BY680" s="11"/>
      <c r="BZ680" s="11"/>
      <c r="CA680" s="11"/>
      <c r="CB680" s="11"/>
      <c r="CC680" s="11"/>
      <c r="CD680" s="11"/>
      <c r="CE680" s="11"/>
      <c r="CF680" s="11"/>
      <c r="CG680" s="11"/>
      <c r="CH680" s="11"/>
      <c r="CI680" s="11"/>
      <c r="CJ680" s="11"/>
      <c r="CK680" s="11"/>
      <c r="CL680" s="11"/>
      <c r="CM680" s="11"/>
      <c r="CN680" s="11"/>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c r="AB681" s="6"/>
      <c r="AC681" s="6"/>
      <c r="AD681" s="6"/>
      <c r="AE681" s="6"/>
      <c r="AF681" s="6"/>
      <c r="AG681" s="6"/>
      <c r="AH681" s="6"/>
      <c r="AI681" s="6"/>
      <c r="AJ681" s="6"/>
      <c r="AK681" s="6"/>
      <c r="AL681" s="6"/>
      <c r="AM681" s="6"/>
      <c r="AN681" s="6"/>
      <c r="AO681" s="6"/>
      <c r="AP681" s="6"/>
      <c r="AQ681" s="6"/>
      <c r="AR681" s="6"/>
      <c r="AS681" s="6"/>
      <c r="AT681" s="6"/>
      <c r="AU681" s="6"/>
      <c r="AV681" s="6"/>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11"/>
      <c r="BX681" s="11"/>
      <c r="BY681" s="11"/>
      <c r="BZ681" s="11"/>
      <c r="CA681" s="11"/>
      <c r="CB681" s="11"/>
      <c r="CC681" s="11"/>
      <c r="CD681" s="11"/>
      <c r="CE681" s="11"/>
      <c r="CF681" s="11"/>
      <c r="CG681" s="11"/>
      <c r="CH681" s="11"/>
      <c r="CI681" s="11"/>
      <c r="CJ681" s="11"/>
      <c r="CK681" s="11"/>
      <c r="CL681" s="11"/>
      <c r="CM681" s="11"/>
      <c r="CN681" s="11"/>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c r="AV682" s="6"/>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11"/>
      <c r="BX682" s="11"/>
      <c r="BY682" s="11"/>
      <c r="BZ682" s="11"/>
      <c r="CA682" s="11"/>
      <c r="CB682" s="11"/>
      <c r="CC682" s="11"/>
      <c r="CD682" s="11"/>
      <c r="CE682" s="11"/>
      <c r="CF682" s="11"/>
      <c r="CG682" s="11"/>
      <c r="CH682" s="11"/>
      <c r="CI682" s="11"/>
      <c r="CJ682" s="11"/>
      <c r="CK682" s="11"/>
      <c r="CL682" s="11"/>
      <c r="CM682" s="11"/>
      <c r="CN682" s="11"/>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c r="AB683" s="6"/>
      <c r="AC683" s="6"/>
      <c r="AD683" s="6"/>
      <c r="AE683" s="6"/>
      <c r="AF683" s="6"/>
      <c r="AG683" s="6"/>
      <c r="AH683" s="6"/>
      <c r="AI683" s="6"/>
      <c r="AJ683" s="6"/>
      <c r="AK683" s="6"/>
      <c r="AL683" s="6"/>
      <c r="AM683" s="6"/>
      <c r="AN683" s="6"/>
      <c r="AO683" s="6"/>
      <c r="AP683" s="6"/>
      <c r="AQ683" s="6"/>
      <c r="AR683" s="6"/>
      <c r="AS683" s="6"/>
      <c r="AT683" s="6"/>
      <c r="AU683" s="6"/>
      <c r="AV683" s="6"/>
      <c r="AW683" s="6"/>
      <c r="AX683" s="6"/>
      <c r="AY683" s="6"/>
      <c r="AZ683" s="6"/>
      <c r="BA683" s="6"/>
      <c r="BB683" s="6"/>
      <c r="BC683" s="6"/>
      <c r="BD683" s="6"/>
      <c r="BE683" s="6"/>
      <c r="BF683" s="6"/>
      <c r="BG683" s="6"/>
      <c r="BH683" s="6"/>
      <c r="BI683" s="6"/>
      <c r="BJ683" s="6"/>
      <c r="BK683" s="6"/>
      <c r="BL683" s="6"/>
      <c r="BM683" s="6"/>
      <c r="BN683" s="6"/>
      <c r="BO683" s="6"/>
      <c r="BP683" s="6"/>
      <c r="BQ683" s="6"/>
      <c r="BR683" s="6"/>
      <c r="BS683" s="6"/>
      <c r="BT683" s="6"/>
      <c r="BU683" s="6"/>
      <c r="BV683" s="6"/>
      <c r="BW683" s="11"/>
      <c r="BX683" s="11"/>
      <c r="BY683" s="11"/>
      <c r="BZ683" s="11"/>
      <c r="CA683" s="11"/>
      <c r="CB683" s="11"/>
      <c r="CC683" s="11"/>
      <c r="CD683" s="11"/>
      <c r="CE683" s="11"/>
      <c r="CF683" s="11"/>
      <c r="CG683" s="11"/>
      <c r="CH683" s="11"/>
      <c r="CI683" s="11"/>
      <c r="CJ683" s="11"/>
      <c r="CK683" s="11"/>
      <c r="CL683" s="11"/>
      <c r="CM683" s="11"/>
      <c r="CN683" s="11"/>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c r="AV684" s="6"/>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11"/>
      <c r="BX684" s="11"/>
      <c r="BY684" s="11"/>
      <c r="BZ684" s="11"/>
      <c r="CA684" s="11"/>
      <c r="CB684" s="11"/>
      <c r="CC684" s="11"/>
      <c r="CD684" s="11"/>
      <c r="CE684" s="11"/>
      <c r="CF684" s="11"/>
      <c r="CG684" s="11"/>
      <c r="CH684" s="11"/>
      <c r="CI684" s="11"/>
      <c r="CJ684" s="11"/>
      <c r="CK684" s="11"/>
      <c r="CL684" s="11"/>
      <c r="CM684" s="11"/>
      <c r="CN684" s="11"/>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c r="AB685" s="6"/>
      <c r="AC685" s="6"/>
      <c r="AD685" s="6"/>
      <c r="AE685" s="6"/>
      <c r="AF685" s="6"/>
      <c r="AG685" s="6"/>
      <c r="AH685" s="6"/>
      <c r="AI685" s="6"/>
      <c r="AJ685" s="6"/>
      <c r="AK685" s="6"/>
      <c r="AL685" s="6"/>
      <c r="AM685" s="6"/>
      <c r="AN685" s="6"/>
      <c r="AO685" s="6"/>
      <c r="AP685" s="6"/>
      <c r="AQ685" s="6"/>
      <c r="AR685" s="6"/>
      <c r="AS685" s="6"/>
      <c r="AT685" s="6"/>
      <c r="AU685" s="6"/>
      <c r="AV685" s="6"/>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11"/>
      <c r="BX685" s="11"/>
      <c r="BY685" s="11"/>
      <c r="BZ685" s="11"/>
      <c r="CA685" s="11"/>
      <c r="CB685" s="11"/>
      <c r="CC685" s="11"/>
      <c r="CD685" s="11"/>
      <c r="CE685" s="11"/>
      <c r="CF685" s="11"/>
      <c r="CG685" s="11"/>
      <c r="CH685" s="11"/>
      <c r="CI685" s="11"/>
      <c r="CJ685" s="11"/>
      <c r="CK685" s="11"/>
      <c r="CL685" s="11"/>
      <c r="CM685" s="11"/>
      <c r="CN685" s="11"/>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c r="AV686" s="6"/>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11"/>
      <c r="BX686" s="11"/>
      <c r="BY686" s="11"/>
      <c r="BZ686" s="11"/>
      <c r="CA686" s="11"/>
      <c r="CB686" s="11"/>
      <c r="CC686" s="11"/>
      <c r="CD686" s="11"/>
      <c r="CE686" s="11"/>
      <c r="CF686" s="11"/>
      <c r="CG686" s="11"/>
      <c r="CH686" s="11"/>
      <c r="CI686" s="11"/>
      <c r="CJ686" s="11"/>
      <c r="CK686" s="11"/>
      <c r="CL686" s="11"/>
      <c r="CM686" s="11"/>
      <c r="CN686" s="11"/>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c r="AB687" s="6"/>
      <c r="AC687" s="6"/>
      <c r="AD687" s="6"/>
      <c r="AE687" s="6"/>
      <c r="AF687" s="6"/>
      <c r="AG687" s="6"/>
      <c r="AH687" s="6"/>
      <c r="AI687" s="6"/>
      <c r="AJ687" s="6"/>
      <c r="AK687" s="6"/>
      <c r="AL687" s="6"/>
      <c r="AM687" s="6"/>
      <c r="AN687" s="6"/>
      <c r="AO687" s="6"/>
      <c r="AP687" s="6"/>
      <c r="AQ687" s="6"/>
      <c r="AR687" s="6"/>
      <c r="AS687" s="6"/>
      <c r="AT687" s="6"/>
      <c r="AU687" s="6"/>
      <c r="AV687" s="6"/>
      <c r="AW687" s="6"/>
      <c r="AX687" s="6"/>
      <c r="AY687" s="6"/>
      <c r="AZ687" s="6"/>
      <c r="BA687" s="6"/>
      <c r="BB687" s="6"/>
      <c r="BC687" s="6"/>
      <c r="BD687" s="6"/>
      <c r="BE687" s="6"/>
      <c r="BF687" s="6"/>
      <c r="BG687" s="6"/>
      <c r="BH687" s="6"/>
      <c r="BI687" s="6"/>
      <c r="BJ687" s="6"/>
      <c r="BK687" s="6"/>
      <c r="BL687" s="6"/>
      <c r="BM687" s="6"/>
      <c r="BN687" s="6"/>
      <c r="BO687" s="6"/>
      <c r="BP687" s="6"/>
      <c r="BQ687" s="6"/>
      <c r="BR687" s="6"/>
      <c r="BS687" s="6"/>
      <c r="BT687" s="6"/>
      <c r="BU687" s="6"/>
      <c r="BV687" s="6"/>
      <c r="BW687" s="11"/>
      <c r="BX687" s="11"/>
      <c r="BY687" s="11"/>
      <c r="BZ687" s="11"/>
      <c r="CA687" s="11"/>
      <c r="CB687" s="11"/>
      <c r="CC687" s="11"/>
      <c r="CD687" s="11"/>
      <c r="CE687" s="11"/>
      <c r="CF687" s="11"/>
      <c r="CG687" s="11"/>
      <c r="CH687" s="11"/>
      <c r="CI687" s="11"/>
      <c r="CJ687" s="11"/>
      <c r="CK687" s="11"/>
      <c r="CL687" s="11"/>
      <c r="CM687" s="11"/>
      <c r="CN687" s="11"/>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c r="AV688" s="6"/>
      <c r="AW688" s="6"/>
      <c r="AX688" s="6"/>
      <c r="AY688" s="6"/>
      <c r="AZ688" s="6"/>
      <c r="BA688" s="6"/>
      <c r="BB688" s="6"/>
      <c r="BC688" s="6"/>
      <c r="BD688" s="6"/>
      <c r="BE688" s="6"/>
      <c r="BF688" s="6"/>
      <c r="BG688" s="6"/>
      <c r="BH688" s="6"/>
      <c r="BI688" s="6"/>
      <c r="BJ688" s="6"/>
      <c r="BK688" s="6"/>
      <c r="BL688" s="6"/>
      <c r="BM688" s="6"/>
      <c r="BN688" s="6"/>
      <c r="BO688" s="6"/>
      <c r="BP688" s="6"/>
      <c r="BQ688" s="6"/>
      <c r="BR688" s="6"/>
      <c r="BS688" s="6"/>
      <c r="BT688" s="6"/>
      <c r="BU688" s="6"/>
      <c r="BV688" s="6"/>
      <c r="BW688" s="11"/>
      <c r="BX688" s="11"/>
      <c r="BY688" s="11"/>
      <c r="BZ688" s="11"/>
      <c r="CA688" s="11"/>
      <c r="CB688" s="11"/>
      <c r="CC688" s="11"/>
      <c r="CD688" s="11"/>
      <c r="CE688" s="11"/>
      <c r="CF688" s="11"/>
      <c r="CG688" s="11"/>
      <c r="CH688" s="11"/>
      <c r="CI688" s="11"/>
      <c r="CJ688" s="11"/>
      <c r="CK688" s="11"/>
      <c r="CL688" s="11"/>
      <c r="CM688" s="11"/>
      <c r="CN688" s="11"/>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c r="AB689" s="6"/>
      <c r="AC689" s="6"/>
      <c r="AD689" s="6"/>
      <c r="AE689" s="6"/>
      <c r="AF689" s="6"/>
      <c r="AG689" s="6"/>
      <c r="AH689" s="6"/>
      <c r="AI689" s="6"/>
      <c r="AJ689" s="6"/>
      <c r="AK689" s="6"/>
      <c r="AL689" s="6"/>
      <c r="AM689" s="6"/>
      <c r="AN689" s="6"/>
      <c r="AO689" s="6"/>
      <c r="AP689" s="6"/>
      <c r="AQ689" s="6"/>
      <c r="AR689" s="6"/>
      <c r="AS689" s="6"/>
      <c r="AT689" s="6"/>
      <c r="AU689" s="6"/>
      <c r="AV689" s="6"/>
      <c r="AW689" s="6"/>
      <c r="AX689" s="6"/>
      <c r="AY689" s="6"/>
      <c r="AZ689" s="6"/>
      <c r="BA689" s="6"/>
      <c r="BB689" s="6"/>
      <c r="BC689" s="6"/>
      <c r="BD689" s="6"/>
      <c r="BE689" s="6"/>
      <c r="BF689" s="6"/>
      <c r="BG689" s="6"/>
      <c r="BH689" s="6"/>
      <c r="BI689" s="6"/>
      <c r="BJ689" s="6"/>
      <c r="BK689" s="6"/>
      <c r="BL689" s="6"/>
      <c r="BM689" s="6"/>
      <c r="BN689" s="6"/>
      <c r="BO689" s="6"/>
      <c r="BP689" s="6"/>
      <c r="BQ689" s="6"/>
      <c r="BR689" s="6"/>
      <c r="BS689" s="6"/>
      <c r="BT689" s="6"/>
      <c r="BU689" s="6"/>
      <c r="BV689" s="6"/>
      <c r="BW689" s="11"/>
      <c r="BX689" s="11"/>
      <c r="BY689" s="11"/>
      <c r="BZ689" s="11"/>
      <c r="CA689" s="11"/>
      <c r="CB689" s="11"/>
      <c r="CC689" s="11"/>
      <c r="CD689" s="11"/>
      <c r="CE689" s="11"/>
      <c r="CF689" s="11"/>
      <c r="CG689" s="11"/>
      <c r="CH689" s="11"/>
      <c r="CI689" s="11"/>
      <c r="CJ689" s="11"/>
      <c r="CK689" s="11"/>
      <c r="CL689" s="11"/>
      <c r="CM689" s="11"/>
      <c r="CN689" s="11"/>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c r="AV690" s="6"/>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11"/>
      <c r="BX690" s="11"/>
      <c r="BY690" s="11"/>
      <c r="BZ690" s="11"/>
      <c r="CA690" s="11"/>
      <c r="CB690" s="11"/>
      <c r="CC690" s="11"/>
      <c r="CD690" s="11"/>
      <c r="CE690" s="11"/>
      <c r="CF690" s="11"/>
      <c r="CG690" s="11"/>
      <c r="CH690" s="11"/>
      <c r="CI690" s="11"/>
      <c r="CJ690" s="11"/>
      <c r="CK690" s="11"/>
      <c r="CL690" s="11"/>
      <c r="CM690" s="11"/>
      <c r="CN690" s="11"/>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c r="AO691" s="6"/>
      <c r="AP691" s="6"/>
      <c r="AQ691" s="6"/>
      <c r="AR691" s="6"/>
      <c r="AS691" s="6"/>
      <c r="AT691" s="6"/>
      <c r="AU691" s="6"/>
      <c r="AV691" s="6"/>
      <c r="AW691" s="6"/>
      <c r="AX691" s="6"/>
      <c r="AY691" s="6"/>
      <c r="AZ691" s="6"/>
      <c r="BA691" s="6"/>
      <c r="BB691" s="6"/>
      <c r="BC691" s="6"/>
      <c r="BD691" s="6"/>
      <c r="BE691" s="6"/>
      <c r="BF691" s="6"/>
      <c r="BG691" s="6"/>
      <c r="BH691" s="6"/>
      <c r="BI691" s="6"/>
      <c r="BJ691" s="6"/>
      <c r="BK691" s="6"/>
      <c r="BL691" s="6"/>
      <c r="BM691" s="6"/>
      <c r="BN691" s="6"/>
      <c r="BO691" s="6"/>
      <c r="BP691" s="6"/>
      <c r="BQ691" s="6"/>
      <c r="BR691" s="6"/>
      <c r="BS691" s="6"/>
      <c r="BT691" s="6"/>
      <c r="BU691" s="6"/>
      <c r="BV691" s="6"/>
      <c r="BW691" s="11"/>
      <c r="BX691" s="11"/>
      <c r="BY691" s="11"/>
      <c r="BZ691" s="11"/>
      <c r="CA691" s="11"/>
      <c r="CB691" s="11"/>
      <c r="CC691" s="11"/>
      <c r="CD691" s="11"/>
      <c r="CE691" s="11"/>
      <c r="CF691" s="11"/>
      <c r="CG691" s="11"/>
      <c r="CH691" s="11"/>
      <c r="CI691" s="11"/>
      <c r="CJ691" s="11"/>
      <c r="CK691" s="11"/>
      <c r="CL691" s="11"/>
      <c r="CM691" s="11"/>
      <c r="CN691" s="11"/>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c r="AZ692" s="6"/>
      <c r="BA692" s="6"/>
      <c r="BB692" s="6"/>
      <c r="BC692" s="6"/>
      <c r="BD692" s="6"/>
      <c r="BE692" s="6"/>
      <c r="BF692" s="6"/>
      <c r="BG692" s="6"/>
      <c r="BH692" s="6"/>
      <c r="BI692" s="6"/>
      <c r="BJ692" s="6"/>
      <c r="BK692" s="6"/>
      <c r="BL692" s="6"/>
      <c r="BM692" s="6"/>
      <c r="BN692" s="6"/>
      <c r="BO692" s="6"/>
      <c r="BP692" s="6"/>
      <c r="BQ692" s="6"/>
      <c r="BR692" s="6"/>
      <c r="BS692" s="6"/>
      <c r="BT692" s="6"/>
      <c r="BU692" s="6"/>
      <c r="BV692" s="6"/>
      <c r="BW692" s="11"/>
      <c r="BX692" s="11"/>
      <c r="BY692" s="11"/>
      <c r="BZ692" s="11"/>
      <c r="CA692" s="11"/>
      <c r="CB692" s="11"/>
      <c r="CC692" s="11"/>
      <c r="CD692" s="11"/>
      <c r="CE692" s="11"/>
      <c r="CF692" s="11"/>
      <c r="CG692" s="11"/>
      <c r="CH692" s="11"/>
      <c r="CI692" s="11"/>
      <c r="CJ692" s="11"/>
      <c r="CK692" s="11"/>
      <c r="CL692" s="11"/>
      <c r="CM692" s="11"/>
      <c r="CN692" s="11"/>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c r="AB693" s="6"/>
      <c r="AC693" s="6"/>
      <c r="AD693" s="6"/>
      <c r="AE693" s="6"/>
      <c r="AF693" s="6"/>
      <c r="AG693" s="6"/>
      <c r="AH693" s="6"/>
      <c r="AI693" s="6"/>
      <c r="AJ693" s="6"/>
      <c r="AK693" s="6"/>
      <c r="AL693" s="6"/>
      <c r="AM693" s="6"/>
      <c r="AN693" s="6"/>
      <c r="AO693" s="6"/>
      <c r="AP693" s="6"/>
      <c r="AQ693" s="6"/>
      <c r="AR693" s="6"/>
      <c r="AS693" s="6"/>
      <c r="AT693" s="6"/>
      <c r="AU693" s="6"/>
      <c r="AV693" s="6"/>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11"/>
      <c r="BX693" s="11"/>
      <c r="BY693" s="11"/>
      <c r="BZ693" s="11"/>
      <c r="CA693" s="11"/>
      <c r="CB693" s="11"/>
      <c r="CC693" s="11"/>
      <c r="CD693" s="11"/>
      <c r="CE693" s="11"/>
      <c r="CF693" s="11"/>
      <c r="CG693" s="11"/>
      <c r="CH693" s="11"/>
      <c r="CI693" s="11"/>
      <c r="CJ693" s="11"/>
      <c r="CK693" s="11"/>
      <c r="CL693" s="11"/>
      <c r="CM693" s="11"/>
      <c r="CN693" s="11"/>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c r="AV694" s="6"/>
      <c r="AW694" s="6"/>
      <c r="AX694" s="6"/>
      <c r="AY694" s="6"/>
      <c r="AZ694" s="6"/>
      <c r="BA694" s="6"/>
      <c r="BB694" s="6"/>
      <c r="BC694" s="6"/>
      <c r="BD694" s="6"/>
      <c r="BE694" s="6"/>
      <c r="BF694" s="6"/>
      <c r="BG694" s="6"/>
      <c r="BH694" s="6"/>
      <c r="BI694" s="6"/>
      <c r="BJ694" s="6"/>
      <c r="BK694" s="6"/>
      <c r="BL694" s="6"/>
      <c r="BM694" s="6"/>
      <c r="BN694" s="6"/>
      <c r="BO694" s="6"/>
      <c r="BP694" s="6"/>
      <c r="BQ694" s="6"/>
      <c r="BR694" s="6"/>
      <c r="BS694" s="6"/>
      <c r="BT694" s="6"/>
      <c r="BU694" s="6"/>
      <c r="BV694" s="6"/>
      <c r="BW694" s="11"/>
      <c r="BX694" s="11"/>
      <c r="BY694" s="11"/>
      <c r="BZ694" s="11"/>
      <c r="CA694" s="11"/>
      <c r="CB694" s="11"/>
      <c r="CC694" s="11"/>
      <c r="CD694" s="11"/>
      <c r="CE694" s="11"/>
      <c r="CF694" s="11"/>
      <c r="CG694" s="11"/>
      <c r="CH694" s="11"/>
      <c r="CI694" s="11"/>
      <c r="CJ694" s="11"/>
      <c r="CK694" s="11"/>
      <c r="CL694" s="11"/>
      <c r="CM694" s="11"/>
      <c r="CN694" s="11"/>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c r="AB695" s="6"/>
      <c r="AC695" s="6"/>
      <c r="AD695" s="6"/>
      <c r="AE695" s="6"/>
      <c r="AF695" s="6"/>
      <c r="AG695" s="6"/>
      <c r="AH695" s="6"/>
      <c r="AI695" s="6"/>
      <c r="AJ695" s="6"/>
      <c r="AK695" s="6"/>
      <c r="AL695" s="6"/>
      <c r="AM695" s="6"/>
      <c r="AN695" s="6"/>
      <c r="AO695" s="6"/>
      <c r="AP695" s="6"/>
      <c r="AQ695" s="6"/>
      <c r="AR695" s="6"/>
      <c r="AS695" s="6"/>
      <c r="AT695" s="6"/>
      <c r="AU695" s="6"/>
      <c r="AV695" s="6"/>
      <c r="AW695" s="6"/>
      <c r="AX695" s="6"/>
      <c r="AY695" s="6"/>
      <c r="AZ695" s="6"/>
      <c r="BA695" s="6"/>
      <c r="BB695" s="6"/>
      <c r="BC695" s="6"/>
      <c r="BD695" s="6"/>
      <c r="BE695" s="6"/>
      <c r="BF695" s="6"/>
      <c r="BG695" s="6"/>
      <c r="BH695" s="6"/>
      <c r="BI695" s="6"/>
      <c r="BJ695" s="6"/>
      <c r="BK695" s="6"/>
      <c r="BL695" s="6"/>
      <c r="BM695" s="6"/>
      <c r="BN695" s="6"/>
      <c r="BO695" s="6"/>
      <c r="BP695" s="6"/>
      <c r="BQ695" s="6"/>
      <c r="BR695" s="6"/>
      <c r="BS695" s="6"/>
      <c r="BT695" s="6"/>
      <c r="BU695" s="6"/>
      <c r="BV695" s="6"/>
      <c r="BW695" s="11"/>
      <c r="BX695" s="11"/>
      <c r="BY695" s="11"/>
      <c r="BZ695" s="11"/>
      <c r="CA695" s="11"/>
      <c r="CB695" s="11"/>
      <c r="CC695" s="11"/>
      <c r="CD695" s="11"/>
      <c r="CE695" s="11"/>
      <c r="CF695" s="11"/>
      <c r="CG695" s="11"/>
      <c r="CH695" s="11"/>
      <c r="CI695" s="11"/>
      <c r="CJ695" s="11"/>
      <c r="CK695" s="11"/>
      <c r="CL695" s="11"/>
      <c r="CM695" s="11"/>
      <c r="CN695" s="11"/>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c r="AV696" s="6"/>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11"/>
      <c r="BX696" s="11"/>
      <c r="BY696" s="11"/>
      <c r="BZ696" s="11"/>
      <c r="CA696" s="11"/>
      <c r="CB696" s="11"/>
      <c r="CC696" s="11"/>
      <c r="CD696" s="11"/>
      <c r="CE696" s="11"/>
      <c r="CF696" s="11"/>
      <c r="CG696" s="11"/>
      <c r="CH696" s="11"/>
      <c r="CI696" s="11"/>
      <c r="CJ696" s="11"/>
      <c r="CK696" s="11"/>
      <c r="CL696" s="11"/>
      <c r="CM696" s="11"/>
      <c r="CN696" s="11"/>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c r="AB697" s="6"/>
      <c r="AC697" s="6"/>
      <c r="AD697" s="6"/>
      <c r="AE697" s="6"/>
      <c r="AF697" s="6"/>
      <c r="AG697" s="6"/>
      <c r="AH697" s="6"/>
      <c r="AI697" s="6"/>
      <c r="AJ697" s="6"/>
      <c r="AK697" s="6"/>
      <c r="AL697" s="6"/>
      <c r="AM697" s="6"/>
      <c r="AN697" s="6"/>
      <c r="AO697" s="6"/>
      <c r="AP697" s="6"/>
      <c r="AQ697" s="6"/>
      <c r="AR697" s="6"/>
      <c r="AS697" s="6"/>
      <c r="AT697" s="6"/>
      <c r="AU697" s="6"/>
      <c r="AV697" s="6"/>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11"/>
      <c r="BX697" s="11"/>
      <c r="BY697" s="11"/>
      <c r="BZ697" s="11"/>
      <c r="CA697" s="11"/>
      <c r="CB697" s="11"/>
      <c r="CC697" s="11"/>
      <c r="CD697" s="11"/>
      <c r="CE697" s="11"/>
      <c r="CF697" s="11"/>
      <c r="CG697" s="11"/>
      <c r="CH697" s="11"/>
      <c r="CI697" s="11"/>
      <c r="CJ697" s="11"/>
      <c r="CK697" s="11"/>
      <c r="CL697" s="11"/>
      <c r="CM697" s="11"/>
      <c r="CN697" s="11"/>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c r="AV698" s="6"/>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11"/>
      <c r="BX698" s="11"/>
      <c r="BY698" s="11"/>
      <c r="BZ698" s="11"/>
      <c r="CA698" s="11"/>
      <c r="CB698" s="11"/>
      <c r="CC698" s="11"/>
      <c r="CD698" s="11"/>
      <c r="CE698" s="11"/>
      <c r="CF698" s="11"/>
      <c r="CG698" s="11"/>
      <c r="CH698" s="11"/>
      <c r="CI698" s="11"/>
      <c r="CJ698" s="11"/>
      <c r="CK698" s="11"/>
      <c r="CL698" s="11"/>
      <c r="CM698" s="11"/>
      <c r="CN698" s="11"/>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c r="AB699" s="6"/>
      <c r="AC699" s="6"/>
      <c r="AD699" s="6"/>
      <c r="AE699" s="6"/>
      <c r="AF699" s="6"/>
      <c r="AG699" s="6"/>
      <c r="AH699" s="6"/>
      <c r="AI699" s="6"/>
      <c r="AJ699" s="6"/>
      <c r="AK699" s="6"/>
      <c r="AL699" s="6"/>
      <c r="AM699" s="6"/>
      <c r="AN699" s="6"/>
      <c r="AO699" s="6"/>
      <c r="AP699" s="6"/>
      <c r="AQ699" s="6"/>
      <c r="AR699" s="6"/>
      <c r="AS699" s="6"/>
      <c r="AT699" s="6"/>
      <c r="AU699" s="6"/>
      <c r="AV699" s="6"/>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11"/>
      <c r="BX699" s="11"/>
      <c r="BY699" s="11"/>
      <c r="BZ699" s="11"/>
      <c r="CA699" s="11"/>
      <c r="CB699" s="11"/>
      <c r="CC699" s="11"/>
      <c r="CD699" s="11"/>
      <c r="CE699" s="11"/>
      <c r="CF699" s="11"/>
      <c r="CG699" s="11"/>
      <c r="CH699" s="11"/>
      <c r="CI699" s="11"/>
      <c r="CJ699" s="11"/>
      <c r="CK699" s="11"/>
      <c r="CL699" s="11"/>
      <c r="CM699" s="11"/>
      <c r="CN699" s="11"/>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c r="AV700" s="6"/>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11"/>
      <c r="BX700" s="11"/>
      <c r="BY700" s="11"/>
      <c r="BZ700" s="11"/>
      <c r="CA700" s="11"/>
      <c r="CB700" s="11"/>
      <c r="CC700" s="11"/>
      <c r="CD700" s="11"/>
      <c r="CE700" s="11"/>
      <c r="CF700" s="11"/>
      <c r="CG700" s="11"/>
      <c r="CH700" s="11"/>
      <c r="CI700" s="11"/>
      <c r="CJ700" s="11"/>
      <c r="CK700" s="11"/>
      <c r="CL700" s="11"/>
      <c r="CM700" s="11"/>
      <c r="CN700" s="11"/>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c r="AB701" s="6"/>
      <c r="AC701" s="6"/>
      <c r="AD701" s="6"/>
      <c r="AE701" s="6"/>
      <c r="AF701" s="6"/>
      <c r="AG701" s="6"/>
      <c r="AH701" s="6"/>
      <c r="AI701" s="6"/>
      <c r="AJ701" s="6"/>
      <c r="AK701" s="6"/>
      <c r="AL701" s="6"/>
      <c r="AM701" s="6"/>
      <c r="AN701" s="6"/>
      <c r="AO701" s="6"/>
      <c r="AP701" s="6"/>
      <c r="AQ701" s="6"/>
      <c r="AR701" s="6"/>
      <c r="AS701" s="6"/>
      <c r="AT701" s="6"/>
      <c r="AU701" s="6"/>
      <c r="AV701" s="6"/>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11"/>
      <c r="BX701" s="11"/>
      <c r="BY701" s="11"/>
      <c r="BZ701" s="11"/>
      <c r="CA701" s="11"/>
      <c r="CB701" s="11"/>
      <c r="CC701" s="11"/>
      <c r="CD701" s="11"/>
      <c r="CE701" s="11"/>
      <c r="CF701" s="11"/>
      <c r="CG701" s="11"/>
      <c r="CH701" s="11"/>
      <c r="CI701" s="11"/>
      <c r="CJ701" s="11"/>
      <c r="CK701" s="11"/>
      <c r="CL701" s="11"/>
      <c r="CM701" s="11"/>
      <c r="CN701" s="11"/>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c r="AV702" s="6"/>
      <c r="AW702" s="6"/>
      <c r="AX702" s="6"/>
      <c r="AY702" s="6"/>
      <c r="AZ702" s="6"/>
      <c r="BA702" s="6"/>
      <c r="BB702" s="6"/>
      <c r="BC702" s="6"/>
      <c r="BD702" s="6"/>
      <c r="BE702" s="6"/>
      <c r="BF702" s="6"/>
      <c r="BG702" s="6"/>
      <c r="BH702" s="6"/>
      <c r="BI702" s="6"/>
      <c r="BJ702" s="6"/>
      <c r="BK702" s="6"/>
      <c r="BL702" s="6"/>
      <c r="BM702" s="6"/>
      <c r="BN702" s="6"/>
      <c r="BO702" s="6"/>
      <c r="BP702" s="6"/>
      <c r="BQ702" s="6"/>
      <c r="BR702" s="6"/>
      <c r="BS702" s="6"/>
      <c r="BT702" s="6"/>
      <c r="BU702" s="6"/>
      <c r="BV702" s="6"/>
      <c r="BW702" s="11"/>
      <c r="BX702" s="11"/>
      <c r="BY702" s="11"/>
      <c r="BZ702" s="11"/>
      <c r="CA702" s="11"/>
      <c r="CB702" s="11"/>
      <c r="CC702" s="11"/>
      <c r="CD702" s="11"/>
      <c r="CE702" s="11"/>
      <c r="CF702" s="11"/>
      <c r="CG702" s="11"/>
      <c r="CH702" s="11"/>
      <c r="CI702" s="11"/>
      <c r="CJ702" s="11"/>
      <c r="CK702" s="11"/>
      <c r="CL702" s="11"/>
      <c r="CM702" s="11"/>
      <c r="CN702" s="11"/>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c r="AB703" s="6"/>
      <c r="AC703" s="6"/>
      <c r="AD703" s="6"/>
      <c r="AE703" s="6"/>
      <c r="AF703" s="6"/>
      <c r="AG703" s="6"/>
      <c r="AH703" s="6"/>
      <c r="AI703" s="6"/>
      <c r="AJ703" s="6"/>
      <c r="AK703" s="6"/>
      <c r="AL703" s="6"/>
      <c r="AM703" s="6"/>
      <c r="AN703" s="6"/>
      <c r="AO703" s="6"/>
      <c r="AP703" s="6"/>
      <c r="AQ703" s="6"/>
      <c r="AR703" s="6"/>
      <c r="AS703" s="6"/>
      <c r="AT703" s="6"/>
      <c r="AU703" s="6"/>
      <c r="AV703" s="6"/>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11"/>
      <c r="BX703" s="11"/>
      <c r="BY703" s="11"/>
      <c r="BZ703" s="11"/>
      <c r="CA703" s="11"/>
      <c r="CB703" s="11"/>
      <c r="CC703" s="11"/>
      <c r="CD703" s="11"/>
      <c r="CE703" s="11"/>
      <c r="CF703" s="11"/>
      <c r="CG703" s="11"/>
      <c r="CH703" s="11"/>
      <c r="CI703" s="11"/>
      <c r="CJ703" s="11"/>
      <c r="CK703" s="11"/>
      <c r="CL703" s="11"/>
      <c r="CM703" s="11"/>
      <c r="CN703" s="11"/>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c r="AV704" s="6"/>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11"/>
      <c r="BX704" s="11"/>
      <c r="BY704" s="11"/>
      <c r="BZ704" s="11"/>
      <c r="CA704" s="11"/>
      <c r="CB704" s="11"/>
      <c r="CC704" s="11"/>
      <c r="CD704" s="11"/>
      <c r="CE704" s="11"/>
      <c r="CF704" s="11"/>
      <c r="CG704" s="11"/>
      <c r="CH704" s="11"/>
      <c r="CI704" s="11"/>
      <c r="CJ704" s="11"/>
      <c r="CK704" s="11"/>
      <c r="CL704" s="11"/>
      <c r="CM704" s="11"/>
      <c r="CN704" s="11"/>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c r="AB705" s="6"/>
      <c r="AC705" s="6"/>
      <c r="AD705" s="6"/>
      <c r="AE705" s="6"/>
      <c r="AF705" s="6"/>
      <c r="AG705" s="6"/>
      <c r="AH705" s="6"/>
      <c r="AI705" s="6"/>
      <c r="AJ705" s="6"/>
      <c r="AK705" s="6"/>
      <c r="AL705" s="6"/>
      <c r="AM705" s="6"/>
      <c r="AN705" s="6"/>
      <c r="AO705" s="6"/>
      <c r="AP705" s="6"/>
      <c r="AQ705" s="6"/>
      <c r="AR705" s="6"/>
      <c r="AS705" s="6"/>
      <c r="AT705" s="6"/>
      <c r="AU705" s="6"/>
      <c r="AV705" s="6"/>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11"/>
      <c r="BX705" s="11"/>
      <c r="BY705" s="11"/>
      <c r="BZ705" s="11"/>
      <c r="CA705" s="11"/>
      <c r="CB705" s="11"/>
      <c r="CC705" s="11"/>
      <c r="CD705" s="11"/>
      <c r="CE705" s="11"/>
      <c r="CF705" s="11"/>
      <c r="CG705" s="11"/>
      <c r="CH705" s="11"/>
      <c r="CI705" s="11"/>
      <c r="CJ705" s="11"/>
      <c r="CK705" s="11"/>
      <c r="CL705" s="11"/>
      <c r="CM705" s="11"/>
      <c r="CN705" s="11"/>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c r="AV706" s="6"/>
      <c r="AW706" s="6"/>
      <c r="AX706" s="6"/>
      <c r="AY706" s="6"/>
      <c r="AZ706" s="6"/>
      <c r="BA706" s="6"/>
      <c r="BB706" s="6"/>
      <c r="BC706" s="6"/>
      <c r="BD706" s="6"/>
      <c r="BE706" s="6"/>
      <c r="BF706" s="6"/>
      <c r="BG706" s="6"/>
      <c r="BH706" s="6"/>
      <c r="BI706" s="6"/>
      <c r="BJ706" s="6"/>
      <c r="BK706" s="6"/>
      <c r="BL706" s="6"/>
      <c r="BM706" s="6"/>
      <c r="BN706" s="6"/>
      <c r="BO706" s="6"/>
      <c r="BP706" s="6"/>
      <c r="BQ706" s="6"/>
      <c r="BR706" s="6"/>
      <c r="BS706" s="6"/>
      <c r="BT706" s="6"/>
      <c r="BU706" s="6"/>
      <c r="BV706" s="6"/>
      <c r="BW706" s="11"/>
      <c r="BX706" s="11"/>
      <c r="BY706" s="11"/>
      <c r="BZ706" s="11"/>
      <c r="CA706" s="11"/>
      <c r="CB706" s="11"/>
      <c r="CC706" s="11"/>
      <c r="CD706" s="11"/>
      <c r="CE706" s="11"/>
      <c r="CF706" s="11"/>
      <c r="CG706" s="11"/>
      <c r="CH706" s="11"/>
      <c r="CI706" s="11"/>
      <c r="CJ706" s="11"/>
      <c r="CK706" s="11"/>
      <c r="CL706" s="11"/>
      <c r="CM706" s="11"/>
      <c r="CN706" s="11"/>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c r="AB707" s="6"/>
      <c r="AC707" s="6"/>
      <c r="AD707" s="6"/>
      <c r="AE707" s="6"/>
      <c r="AF707" s="6"/>
      <c r="AG707" s="6"/>
      <c r="AH707" s="6"/>
      <c r="AI707" s="6"/>
      <c r="AJ707" s="6"/>
      <c r="AK707" s="6"/>
      <c r="AL707" s="6"/>
      <c r="AM707" s="6"/>
      <c r="AN707" s="6"/>
      <c r="AO707" s="6"/>
      <c r="AP707" s="6"/>
      <c r="AQ707" s="6"/>
      <c r="AR707" s="6"/>
      <c r="AS707" s="6"/>
      <c r="AT707" s="6"/>
      <c r="AU707" s="6"/>
      <c r="AV707" s="6"/>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11"/>
      <c r="BX707" s="11"/>
      <c r="BY707" s="11"/>
      <c r="BZ707" s="11"/>
      <c r="CA707" s="11"/>
      <c r="CB707" s="11"/>
      <c r="CC707" s="11"/>
      <c r="CD707" s="11"/>
      <c r="CE707" s="11"/>
      <c r="CF707" s="11"/>
      <c r="CG707" s="11"/>
      <c r="CH707" s="11"/>
      <c r="CI707" s="11"/>
      <c r="CJ707" s="11"/>
      <c r="CK707" s="11"/>
      <c r="CL707" s="11"/>
      <c r="CM707" s="11"/>
      <c r="CN707" s="11"/>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c r="AV708" s="6"/>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11"/>
      <c r="BX708" s="11"/>
      <c r="BY708" s="11"/>
      <c r="BZ708" s="11"/>
      <c r="CA708" s="11"/>
      <c r="CB708" s="11"/>
      <c r="CC708" s="11"/>
      <c r="CD708" s="11"/>
      <c r="CE708" s="11"/>
      <c r="CF708" s="11"/>
      <c r="CG708" s="11"/>
      <c r="CH708" s="11"/>
      <c r="CI708" s="11"/>
      <c r="CJ708" s="11"/>
      <c r="CK708" s="11"/>
      <c r="CL708" s="11"/>
      <c r="CM708" s="11"/>
      <c r="CN708" s="11"/>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c r="AB709" s="6"/>
      <c r="AC709" s="6"/>
      <c r="AD709" s="6"/>
      <c r="AE709" s="6"/>
      <c r="AF709" s="6"/>
      <c r="AG709" s="6"/>
      <c r="AH709" s="6"/>
      <c r="AI709" s="6"/>
      <c r="AJ709" s="6"/>
      <c r="AK709" s="6"/>
      <c r="AL709" s="6"/>
      <c r="AM709" s="6"/>
      <c r="AN709" s="6"/>
      <c r="AO709" s="6"/>
      <c r="AP709" s="6"/>
      <c r="AQ709" s="6"/>
      <c r="AR709" s="6"/>
      <c r="AS709" s="6"/>
      <c r="AT709" s="6"/>
      <c r="AU709" s="6"/>
      <c r="AV709" s="6"/>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11"/>
      <c r="BX709" s="11"/>
      <c r="BY709" s="11"/>
      <c r="BZ709" s="11"/>
      <c r="CA709" s="11"/>
      <c r="CB709" s="11"/>
      <c r="CC709" s="11"/>
      <c r="CD709" s="11"/>
      <c r="CE709" s="11"/>
      <c r="CF709" s="11"/>
      <c r="CG709" s="11"/>
      <c r="CH709" s="11"/>
      <c r="CI709" s="11"/>
      <c r="CJ709" s="11"/>
      <c r="CK709" s="11"/>
      <c r="CL709" s="11"/>
      <c r="CM709" s="11"/>
      <c r="CN709" s="11"/>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c r="AV710" s="6"/>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11"/>
      <c r="BX710" s="11"/>
      <c r="BY710" s="11"/>
      <c r="BZ710" s="11"/>
      <c r="CA710" s="11"/>
      <c r="CB710" s="11"/>
      <c r="CC710" s="11"/>
      <c r="CD710" s="11"/>
      <c r="CE710" s="11"/>
      <c r="CF710" s="11"/>
      <c r="CG710" s="11"/>
      <c r="CH710" s="11"/>
      <c r="CI710" s="11"/>
      <c r="CJ710" s="11"/>
      <c r="CK710" s="11"/>
      <c r="CL710" s="11"/>
      <c r="CM710" s="11"/>
      <c r="CN710" s="11"/>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c r="AB711" s="6"/>
      <c r="AC711" s="6"/>
      <c r="AD711" s="6"/>
      <c r="AE711" s="6"/>
      <c r="AF711" s="6"/>
      <c r="AG711" s="6"/>
      <c r="AH711" s="6"/>
      <c r="AI711" s="6"/>
      <c r="AJ711" s="6"/>
      <c r="AK711" s="6"/>
      <c r="AL711" s="6"/>
      <c r="AM711" s="6"/>
      <c r="AN711" s="6"/>
      <c r="AO711" s="6"/>
      <c r="AP711" s="6"/>
      <c r="AQ711" s="6"/>
      <c r="AR711" s="6"/>
      <c r="AS711" s="6"/>
      <c r="AT711" s="6"/>
      <c r="AU711" s="6"/>
      <c r="AV711" s="6"/>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11"/>
      <c r="BX711" s="11"/>
      <c r="BY711" s="11"/>
      <c r="BZ711" s="11"/>
      <c r="CA711" s="11"/>
      <c r="CB711" s="11"/>
      <c r="CC711" s="11"/>
      <c r="CD711" s="11"/>
      <c r="CE711" s="11"/>
      <c r="CF711" s="11"/>
      <c r="CG711" s="11"/>
      <c r="CH711" s="11"/>
      <c r="CI711" s="11"/>
      <c r="CJ711" s="11"/>
      <c r="CK711" s="11"/>
      <c r="CL711" s="11"/>
      <c r="CM711" s="11"/>
      <c r="CN711" s="11"/>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c r="AV712" s="6"/>
      <c r="AW712" s="6"/>
      <c r="AX712" s="6"/>
      <c r="AY712" s="6"/>
      <c r="AZ712" s="6"/>
      <c r="BA712" s="6"/>
      <c r="BB712" s="6"/>
      <c r="BC712" s="6"/>
      <c r="BD712" s="6"/>
      <c r="BE712" s="6"/>
      <c r="BF712" s="6"/>
      <c r="BG712" s="6"/>
      <c r="BH712" s="6"/>
      <c r="BI712" s="6"/>
      <c r="BJ712" s="6"/>
      <c r="BK712" s="6"/>
      <c r="BL712" s="6"/>
      <c r="BM712" s="6"/>
      <c r="BN712" s="6"/>
      <c r="BO712" s="6"/>
      <c r="BP712" s="6"/>
      <c r="BQ712" s="6"/>
      <c r="BR712" s="6"/>
      <c r="BS712" s="6"/>
      <c r="BT712" s="6"/>
      <c r="BU712" s="6"/>
      <c r="BV712" s="6"/>
      <c r="BW712" s="11"/>
      <c r="BX712" s="11"/>
      <c r="BY712" s="11"/>
      <c r="BZ712" s="11"/>
      <c r="CA712" s="11"/>
      <c r="CB712" s="11"/>
      <c r="CC712" s="11"/>
      <c r="CD712" s="11"/>
      <c r="CE712" s="11"/>
      <c r="CF712" s="11"/>
      <c r="CG712" s="11"/>
      <c r="CH712" s="11"/>
      <c r="CI712" s="11"/>
      <c r="CJ712" s="11"/>
      <c r="CK712" s="11"/>
      <c r="CL712" s="11"/>
      <c r="CM712" s="11"/>
      <c r="CN712" s="11"/>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c r="AB713" s="6"/>
      <c r="AC713" s="6"/>
      <c r="AD713" s="6"/>
      <c r="AE713" s="6"/>
      <c r="AF713" s="6"/>
      <c r="AG713" s="6"/>
      <c r="AH713" s="6"/>
      <c r="AI713" s="6"/>
      <c r="AJ713" s="6"/>
      <c r="AK713" s="6"/>
      <c r="AL713" s="6"/>
      <c r="AM713" s="6"/>
      <c r="AN713" s="6"/>
      <c r="AO713" s="6"/>
      <c r="AP713" s="6"/>
      <c r="AQ713" s="6"/>
      <c r="AR713" s="6"/>
      <c r="AS713" s="6"/>
      <c r="AT713" s="6"/>
      <c r="AU713" s="6"/>
      <c r="AV713" s="6"/>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11"/>
      <c r="BX713" s="11"/>
      <c r="BY713" s="11"/>
      <c r="BZ713" s="11"/>
      <c r="CA713" s="11"/>
      <c r="CB713" s="11"/>
      <c r="CC713" s="11"/>
      <c r="CD713" s="11"/>
      <c r="CE713" s="11"/>
      <c r="CF713" s="11"/>
      <c r="CG713" s="11"/>
      <c r="CH713" s="11"/>
      <c r="CI713" s="11"/>
      <c r="CJ713" s="11"/>
      <c r="CK713" s="11"/>
      <c r="CL713" s="11"/>
      <c r="CM713" s="11"/>
      <c r="CN713" s="11"/>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c r="AV714" s="6"/>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11"/>
      <c r="BX714" s="11"/>
      <c r="BY714" s="11"/>
      <c r="BZ714" s="11"/>
      <c r="CA714" s="11"/>
      <c r="CB714" s="11"/>
      <c r="CC714" s="11"/>
      <c r="CD714" s="11"/>
      <c r="CE714" s="11"/>
      <c r="CF714" s="11"/>
      <c r="CG714" s="11"/>
      <c r="CH714" s="11"/>
      <c r="CI714" s="11"/>
      <c r="CJ714" s="11"/>
      <c r="CK714" s="11"/>
      <c r="CL714" s="11"/>
      <c r="CM714" s="11"/>
      <c r="CN714" s="11"/>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c r="AB715" s="6"/>
      <c r="AC715" s="6"/>
      <c r="AD715" s="6"/>
      <c r="AE715" s="6"/>
      <c r="AF715" s="6"/>
      <c r="AG715" s="6"/>
      <c r="AH715" s="6"/>
      <c r="AI715" s="6"/>
      <c r="AJ715" s="6"/>
      <c r="AK715" s="6"/>
      <c r="AL715" s="6"/>
      <c r="AM715" s="6"/>
      <c r="AN715" s="6"/>
      <c r="AO715" s="6"/>
      <c r="AP715" s="6"/>
      <c r="AQ715" s="6"/>
      <c r="AR715" s="6"/>
      <c r="AS715" s="6"/>
      <c r="AT715" s="6"/>
      <c r="AU715" s="6"/>
      <c r="AV715" s="6"/>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11"/>
      <c r="BX715" s="11"/>
      <c r="BY715" s="11"/>
      <c r="BZ715" s="11"/>
      <c r="CA715" s="11"/>
      <c r="CB715" s="11"/>
      <c r="CC715" s="11"/>
      <c r="CD715" s="11"/>
      <c r="CE715" s="11"/>
      <c r="CF715" s="11"/>
      <c r="CG715" s="11"/>
      <c r="CH715" s="11"/>
      <c r="CI715" s="11"/>
      <c r="CJ715" s="11"/>
      <c r="CK715" s="11"/>
      <c r="CL715" s="11"/>
      <c r="CM715" s="11"/>
      <c r="CN715" s="11"/>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c r="AV716" s="6"/>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11"/>
      <c r="BX716" s="11"/>
      <c r="BY716" s="11"/>
      <c r="BZ716" s="11"/>
      <c r="CA716" s="11"/>
      <c r="CB716" s="11"/>
      <c r="CC716" s="11"/>
      <c r="CD716" s="11"/>
      <c r="CE716" s="11"/>
      <c r="CF716" s="11"/>
      <c r="CG716" s="11"/>
      <c r="CH716" s="11"/>
      <c r="CI716" s="11"/>
      <c r="CJ716" s="11"/>
      <c r="CK716" s="11"/>
      <c r="CL716" s="11"/>
      <c r="CM716" s="11"/>
      <c r="CN716" s="11"/>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c r="AB717" s="6"/>
      <c r="AC717" s="6"/>
      <c r="AD717" s="6"/>
      <c r="AE717" s="6"/>
      <c r="AF717" s="6"/>
      <c r="AG717" s="6"/>
      <c r="AH717" s="6"/>
      <c r="AI717" s="6"/>
      <c r="AJ717" s="6"/>
      <c r="AK717" s="6"/>
      <c r="AL717" s="6"/>
      <c r="AM717" s="6"/>
      <c r="AN717" s="6"/>
      <c r="AO717" s="6"/>
      <c r="AP717" s="6"/>
      <c r="AQ717" s="6"/>
      <c r="AR717" s="6"/>
      <c r="AS717" s="6"/>
      <c r="AT717" s="6"/>
      <c r="AU717" s="6"/>
      <c r="AV717" s="6"/>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11"/>
      <c r="BX717" s="11"/>
      <c r="BY717" s="11"/>
      <c r="BZ717" s="11"/>
      <c r="CA717" s="11"/>
      <c r="CB717" s="11"/>
      <c r="CC717" s="11"/>
      <c r="CD717" s="11"/>
      <c r="CE717" s="11"/>
      <c r="CF717" s="11"/>
      <c r="CG717" s="11"/>
      <c r="CH717" s="11"/>
      <c r="CI717" s="11"/>
      <c r="CJ717" s="11"/>
      <c r="CK717" s="11"/>
      <c r="CL717" s="11"/>
      <c r="CM717" s="11"/>
      <c r="CN717" s="11"/>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c r="AV718" s="6"/>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11"/>
      <c r="BX718" s="11"/>
      <c r="BY718" s="11"/>
      <c r="BZ718" s="11"/>
      <c r="CA718" s="11"/>
      <c r="CB718" s="11"/>
      <c r="CC718" s="11"/>
      <c r="CD718" s="11"/>
      <c r="CE718" s="11"/>
      <c r="CF718" s="11"/>
      <c r="CG718" s="11"/>
      <c r="CH718" s="11"/>
      <c r="CI718" s="11"/>
      <c r="CJ718" s="11"/>
      <c r="CK718" s="11"/>
      <c r="CL718" s="11"/>
      <c r="CM718" s="11"/>
      <c r="CN718" s="11"/>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c r="AB719" s="6"/>
      <c r="AC719" s="6"/>
      <c r="AD719" s="6"/>
      <c r="AE719" s="6"/>
      <c r="AF719" s="6"/>
      <c r="AG719" s="6"/>
      <c r="AH719" s="6"/>
      <c r="AI719" s="6"/>
      <c r="AJ719" s="6"/>
      <c r="AK719" s="6"/>
      <c r="AL719" s="6"/>
      <c r="AM719" s="6"/>
      <c r="AN719" s="6"/>
      <c r="AO719" s="6"/>
      <c r="AP719" s="6"/>
      <c r="AQ719" s="6"/>
      <c r="AR719" s="6"/>
      <c r="AS719" s="6"/>
      <c r="AT719" s="6"/>
      <c r="AU719" s="6"/>
      <c r="AV719" s="6"/>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11"/>
      <c r="BX719" s="11"/>
      <c r="BY719" s="11"/>
      <c r="BZ719" s="11"/>
      <c r="CA719" s="11"/>
      <c r="CB719" s="11"/>
      <c r="CC719" s="11"/>
      <c r="CD719" s="11"/>
      <c r="CE719" s="11"/>
      <c r="CF719" s="11"/>
      <c r="CG719" s="11"/>
      <c r="CH719" s="11"/>
      <c r="CI719" s="11"/>
      <c r="CJ719" s="11"/>
      <c r="CK719" s="11"/>
      <c r="CL719" s="11"/>
      <c r="CM719" s="11"/>
      <c r="CN719" s="11"/>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c r="AV720" s="6"/>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11"/>
      <c r="BX720" s="11"/>
      <c r="BY720" s="11"/>
      <c r="BZ720" s="11"/>
      <c r="CA720" s="11"/>
      <c r="CB720" s="11"/>
      <c r="CC720" s="11"/>
      <c r="CD720" s="11"/>
      <c r="CE720" s="11"/>
      <c r="CF720" s="11"/>
      <c r="CG720" s="11"/>
      <c r="CH720" s="11"/>
      <c r="CI720" s="11"/>
      <c r="CJ720" s="11"/>
      <c r="CK720" s="11"/>
      <c r="CL720" s="11"/>
      <c r="CM720" s="11"/>
      <c r="CN720" s="11"/>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c r="AB721" s="6"/>
      <c r="AC721" s="6"/>
      <c r="AD721" s="6"/>
      <c r="AE721" s="6"/>
      <c r="AF721" s="6"/>
      <c r="AG721" s="6"/>
      <c r="AH721" s="6"/>
      <c r="AI721" s="6"/>
      <c r="AJ721" s="6"/>
      <c r="AK721" s="6"/>
      <c r="AL721" s="6"/>
      <c r="AM721" s="6"/>
      <c r="AN721" s="6"/>
      <c r="AO721" s="6"/>
      <c r="AP721" s="6"/>
      <c r="AQ721" s="6"/>
      <c r="AR721" s="6"/>
      <c r="AS721" s="6"/>
      <c r="AT721" s="6"/>
      <c r="AU721" s="6"/>
      <c r="AV721" s="6"/>
      <c r="AW721" s="6"/>
      <c r="AX721" s="6"/>
      <c r="AY721" s="6"/>
      <c r="AZ721" s="6"/>
      <c r="BA721" s="6"/>
      <c r="BB721" s="6"/>
      <c r="BC721" s="6"/>
      <c r="BD721" s="6"/>
      <c r="BE721" s="6"/>
      <c r="BF721" s="6"/>
      <c r="BG721" s="6"/>
      <c r="BH721" s="6"/>
      <c r="BI721" s="6"/>
      <c r="BJ721" s="6"/>
      <c r="BK721" s="6"/>
      <c r="BL721" s="6"/>
      <c r="BM721" s="6"/>
      <c r="BN721" s="6"/>
      <c r="BO721" s="6"/>
      <c r="BP721" s="6"/>
      <c r="BQ721" s="6"/>
      <c r="BR721" s="6"/>
      <c r="BS721" s="6"/>
      <c r="BT721" s="6"/>
      <c r="BU721" s="6"/>
      <c r="BV721" s="6"/>
      <c r="BW721" s="11"/>
      <c r="BX721" s="11"/>
      <c r="BY721" s="11"/>
      <c r="BZ721" s="11"/>
      <c r="CA721" s="11"/>
      <c r="CB721" s="11"/>
      <c r="CC721" s="11"/>
      <c r="CD721" s="11"/>
      <c r="CE721" s="11"/>
      <c r="CF721" s="11"/>
      <c r="CG721" s="11"/>
      <c r="CH721" s="11"/>
      <c r="CI721" s="11"/>
      <c r="CJ721" s="11"/>
      <c r="CK721" s="11"/>
      <c r="CL721" s="11"/>
      <c r="CM721" s="11"/>
      <c r="CN721" s="11"/>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c r="AV722" s="6"/>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11"/>
      <c r="BX722" s="11"/>
      <c r="BY722" s="11"/>
      <c r="BZ722" s="11"/>
      <c r="CA722" s="11"/>
      <c r="CB722" s="11"/>
      <c r="CC722" s="11"/>
      <c r="CD722" s="11"/>
      <c r="CE722" s="11"/>
      <c r="CF722" s="11"/>
      <c r="CG722" s="11"/>
      <c r="CH722" s="11"/>
      <c r="CI722" s="11"/>
      <c r="CJ722" s="11"/>
      <c r="CK722" s="11"/>
      <c r="CL722" s="11"/>
      <c r="CM722" s="11"/>
      <c r="CN722" s="11"/>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c r="AB723" s="6"/>
      <c r="AC723" s="6"/>
      <c r="AD723" s="6"/>
      <c r="AE723" s="6"/>
      <c r="AF723" s="6"/>
      <c r="AG723" s="6"/>
      <c r="AH723" s="6"/>
      <c r="AI723" s="6"/>
      <c r="AJ723" s="6"/>
      <c r="AK723" s="6"/>
      <c r="AL723" s="6"/>
      <c r="AM723" s="6"/>
      <c r="AN723" s="6"/>
      <c r="AO723" s="6"/>
      <c r="AP723" s="6"/>
      <c r="AQ723" s="6"/>
      <c r="AR723" s="6"/>
      <c r="AS723" s="6"/>
      <c r="AT723" s="6"/>
      <c r="AU723" s="6"/>
      <c r="AV723" s="6"/>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11"/>
      <c r="BX723" s="11"/>
      <c r="BY723" s="11"/>
      <c r="BZ723" s="11"/>
      <c r="CA723" s="11"/>
      <c r="CB723" s="11"/>
      <c r="CC723" s="11"/>
      <c r="CD723" s="11"/>
      <c r="CE723" s="11"/>
      <c r="CF723" s="11"/>
      <c r="CG723" s="11"/>
      <c r="CH723" s="11"/>
      <c r="CI723" s="11"/>
      <c r="CJ723" s="11"/>
      <c r="CK723" s="11"/>
      <c r="CL723" s="11"/>
      <c r="CM723" s="11"/>
      <c r="CN723" s="11"/>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c r="AV724" s="6"/>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11"/>
      <c r="BX724" s="11"/>
      <c r="BY724" s="11"/>
      <c r="BZ724" s="11"/>
      <c r="CA724" s="11"/>
      <c r="CB724" s="11"/>
      <c r="CC724" s="11"/>
      <c r="CD724" s="11"/>
      <c r="CE724" s="11"/>
      <c r="CF724" s="11"/>
      <c r="CG724" s="11"/>
      <c r="CH724" s="11"/>
      <c r="CI724" s="11"/>
      <c r="CJ724" s="11"/>
      <c r="CK724" s="11"/>
      <c r="CL724" s="11"/>
      <c r="CM724" s="11"/>
      <c r="CN724" s="11"/>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c r="AB725" s="6"/>
      <c r="AC725" s="6"/>
      <c r="AD725" s="6"/>
      <c r="AE725" s="6"/>
      <c r="AF725" s="6"/>
      <c r="AG725" s="6"/>
      <c r="AH725" s="6"/>
      <c r="AI725" s="6"/>
      <c r="AJ725" s="6"/>
      <c r="AK725" s="6"/>
      <c r="AL725" s="6"/>
      <c r="AM725" s="6"/>
      <c r="AN725" s="6"/>
      <c r="AO725" s="6"/>
      <c r="AP725" s="6"/>
      <c r="AQ725" s="6"/>
      <c r="AR725" s="6"/>
      <c r="AS725" s="6"/>
      <c r="AT725" s="6"/>
      <c r="AU725" s="6"/>
      <c r="AV725" s="6"/>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11"/>
      <c r="BX725" s="11"/>
      <c r="BY725" s="11"/>
      <c r="BZ725" s="11"/>
      <c r="CA725" s="11"/>
      <c r="CB725" s="11"/>
      <c r="CC725" s="11"/>
      <c r="CD725" s="11"/>
      <c r="CE725" s="11"/>
      <c r="CF725" s="11"/>
      <c r="CG725" s="11"/>
      <c r="CH725" s="11"/>
      <c r="CI725" s="11"/>
      <c r="CJ725" s="11"/>
      <c r="CK725" s="11"/>
      <c r="CL725" s="11"/>
      <c r="CM725" s="11"/>
      <c r="CN725" s="11"/>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c r="AV726" s="6"/>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11"/>
      <c r="BX726" s="11"/>
      <c r="BY726" s="11"/>
      <c r="BZ726" s="11"/>
      <c r="CA726" s="11"/>
      <c r="CB726" s="11"/>
      <c r="CC726" s="11"/>
      <c r="CD726" s="11"/>
      <c r="CE726" s="11"/>
      <c r="CF726" s="11"/>
      <c r="CG726" s="11"/>
      <c r="CH726" s="11"/>
      <c r="CI726" s="11"/>
      <c r="CJ726" s="11"/>
      <c r="CK726" s="11"/>
      <c r="CL726" s="11"/>
      <c r="CM726" s="11"/>
      <c r="CN726" s="11"/>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c r="AB727" s="6"/>
      <c r="AC727" s="6"/>
      <c r="AD727" s="6"/>
      <c r="AE727" s="6"/>
      <c r="AF727" s="6"/>
      <c r="AG727" s="6"/>
      <c r="AH727" s="6"/>
      <c r="AI727" s="6"/>
      <c r="AJ727" s="6"/>
      <c r="AK727" s="6"/>
      <c r="AL727" s="6"/>
      <c r="AM727" s="6"/>
      <c r="AN727" s="6"/>
      <c r="AO727" s="6"/>
      <c r="AP727" s="6"/>
      <c r="AQ727" s="6"/>
      <c r="AR727" s="6"/>
      <c r="AS727" s="6"/>
      <c r="AT727" s="6"/>
      <c r="AU727" s="6"/>
      <c r="AV727" s="6"/>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11"/>
      <c r="BX727" s="11"/>
      <c r="BY727" s="11"/>
      <c r="BZ727" s="11"/>
      <c r="CA727" s="11"/>
      <c r="CB727" s="11"/>
      <c r="CC727" s="11"/>
      <c r="CD727" s="11"/>
      <c r="CE727" s="11"/>
      <c r="CF727" s="11"/>
      <c r="CG727" s="11"/>
      <c r="CH727" s="11"/>
      <c r="CI727" s="11"/>
      <c r="CJ727" s="11"/>
      <c r="CK727" s="11"/>
      <c r="CL727" s="11"/>
      <c r="CM727" s="11"/>
      <c r="CN727" s="11"/>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c r="AV728" s="6"/>
      <c r="AW728" s="6"/>
      <c r="AX728" s="6"/>
      <c r="AY728" s="6"/>
      <c r="AZ728" s="6"/>
      <c r="BA728" s="6"/>
      <c r="BB728" s="6"/>
      <c r="BC728" s="6"/>
      <c r="BD728" s="6"/>
      <c r="BE728" s="6"/>
      <c r="BF728" s="6"/>
      <c r="BG728" s="6"/>
      <c r="BH728" s="6"/>
      <c r="BI728" s="6"/>
      <c r="BJ728" s="6"/>
      <c r="BK728" s="6"/>
      <c r="BL728" s="6"/>
      <c r="BM728" s="6"/>
      <c r="BN728" s="6"/>
      <c r="BO728" s="6"/>
      <c r="BP728" s="6"/>
      <c r="BQ728" s="6"/>
      <c r="BR728" s="6"/>
      <c r="BS728" s="6"/>
      <c r="BT728" s="6"/>
      <c r="BU728" s="6"/>
      <c r="BV728" s="6"/>
      <c r="BW728" s="11"/>
      <c r="BX728" s="11"/>
      <c r="BY728" s="11"/>
      <c r="BZ728" s="11"/>
      <c r="CA728" s="11"/>
      <c r="CB728" s="11"/>
      <c r="CC728" s="11"/>
      <c r="CD728" s="11"/>
      <c r="CE728" s="11"/>
      <c r="CF728" s="11"/>
      <c r="CG728" s="11"/>
      <c r="CH728" s="11"/>
      <c r="CI728" s="11"/>
      <c r="CJ728" s="11"/>
      <c r="CK728" s="11"/>
      <c r="CL728" s="11"/>
      <c r="CM728" s="11"/>
      <c r="CN728" s="11"/>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c r="AB729" s="6"/>
      <c r="AC729" s="6"/>
      <c r="AD729" s="6"/>
      <c r="AE729" s="6"/>
      <c r="AF729" s="6"/>
      <c r="AG729" s="6"/>
      <c r="AH729" s="6"/>
      <c r="AI729" s="6"/>
      <c r="AJ729" s="6"/>
      <c r="AK729" s="6"/>
      <c r="AL729" s="6"/>
      <c r="AM729" s="6"/>
      <c r="AN729" s="6"/>
      <c r="AO729" s="6"/>
      <c r="AP729" s="6"/>
      <c r="AQ729" s="6"/>
      <c r="AR729" s="6"/>
      <c r="AS729" s="6"/>
      <c r="AT729" s="6"/>
      <c r="AU729" s="6"/>
      <c r="AV729" s="6"/>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11"/>
      <c r="BX729" s="11"/>
      <c r="BY729" s="11"/>
      <c r="BZ729" s="11"/>
      <c r="CA729" s="11"/>
      <c r="CB729" s="11"/>
      <c r="CC729" s="11"/>
      <c r="CD729" s="11"/>
      <c r="CE729" s="11"/>
      <c r="CF729" s="11"/>
      <c r="CG729" s="11"/>
      <c r="CH729" s="11"/>
      <c r="CI729" s="11"/>
      <c r="CJ729" s="11"/>
      <c r="CK729" s="11"/>
      <c r="CL729" s="11"/>
      <c r="CM729" s="11"/>
      <c r="CN729" s="11"/>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c r="AV730" s="6"/>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11"/>
      <c r="BX730" s="11"/>
      <c r="BY730" s="11"/>
      <c r="BZ730" s="11"/>
      <c r="CA730" s="11"/>
      <c r="CB730" s="11"/>
      <c r="CC730" s="11"/>
      <c r="CD730" s="11"/>
      <c r="CE730" s="11"/>
      <c r="CF730" s="11"/>
      <c r="CG730" s="11"/>
      <c r="CH730" s="11"/>
      <c r="CI730" s="11"/>
      <c r="CJ730" s="11"/>
      <c r="CK730" s="11"/>
      <c r="CL730" s="11"/>
      <c r="CM730" s="11"/>
      <c r="CN730" s="11"/>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c r="AB731" s="6"/>
      <c r="AC731" s="6"/>
      <c r="AD731" s="6"/>
      <c r="AE731" s="6"/>
      <c r="AF731" s="6"/>
      <c r="AG731" s="6"/>
      <c r="AH731" s="6"/>
      <c r="AI731" s="6"/>
      <c r="AJ731" s="6"/>
      <c r="AK731" s="6"/>
      <c r="AL731" s="6"/>
      <c r="AM731" s="6"/>
      <c r="AN731" s="6"/>
      <c r="AO731" s="6"/>
      <c r="AP731" s="6"/>
      <c r="AQ731" s="6"/>
      <c r="AR731" s="6"/>
      <c r="AS731" s="6"/>
      <c r="AT731" s="6"/>
      <c r="AU731" s="6"/>
      <c r="AV731" s="6"/>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11"/>
      <c r="BX731" s="11"/>
      <c r="BY731" s="11"/>
      <c r="BZ731" s="11"/>
      <c r="CA731" s="11"/>
      <c r="CB731" s="11"/>
      <c r="CC731" s="11"/>
      <c r="CD731" s="11"/>
      <c r="CE731" s="11"/>
      <c r="CF731" s="11"/>
      <c r="CG731" s="11"/>
      <c r="CH731" s="11"/>
      <c r="CI731" s="11"/>
      <c r="CJ731" s="11"/>
      <c r="CK731" s="11"/>
      <c r="CL731" s="11"/>
      <c r="CM731" s="11"/>
      <c r="CN731" s="11"/>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c r="AV732" s="6"/>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11"/>
      <c r="BX732" s="11"/>
      <c r="BY732" s="11"/>
      <c r="BZ732" s="11"/>
      <c r="CA732" s="11"/>
      <c r="CB732" s="11"/>
      <c r="CC732" s="11"/>
      <c r="CD732" s="11"/>
      <c r="CE732" s="11"/>
      <c r="CF732" s="11"/>
      <c r="CG732" s="11"/>
      <c r="CH732" s="11"/>
      <c r="CI732" s="11"/>
      <c r="CJ732" s="11"/>
      <c r="CK732" s="11"/>
      <c r="CL732" s="11"/>
      <c r="CM732" s="11"/>
      <c r="CN732" s="11"/>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c r="AB733" s="6"/>
      <c r="AC733" s="6"/>
      <c r="AD733" s="6"/>
      <c r="AE733" s="6"/>
      <c r="AF733" s="6"/>
      <c r="AG733" s="6"/>
      <c r="AH733" s="6"/>
      <c r="AI733" s="6"/>
      <c r="AJ733" s="6"/>
      <c r="AK733" s="6"/>
      <c r="AL733" s="6"/>
      <c r="AM733" s="6"/>
      <c r="AN733" s="6"/>
      <c r="AO733" s="6"/>
      <c r="AP733" s="6"/>
      <c r="AQ733" s="6"/>
      <c r="AR733" s="6"/>
      <c r="AS733" s="6"/>
      <c r="AT733" s="6"/>
      <c r="AU733" s="6"/>
      <c r="AV733" s="6"/>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11"/>
      <c r="BX733" s="11"/>
      <c r="BY733" s="11"/>
      <c r="BZ733" s="11"/>
      <c r="CA733" s="11"/>
      <c r="CB733" s="11"/>
      <c r="CC733" s="11"/>
      <c r="CD733" s="11"/>
      <c r="CE733" s="11"/>
      <c r="CF733" s="11"/>
      <c r="CG733" s="11"/>
      <c r="CH733" s="11"/>
      <c r="CI733" s="11"/>
      <c r="CJ733" s="11"/>
      <c r="CK733" s="11"/>
      <c r="CL733" s="11"/>
      <c r="CM733" s="11"/>
      <c r="CN733" s="11"/>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11"/>
      <c r="BX734" s="11"/>
      <c r="BY734" s="11"/>
      <c r="BZ734" s="11"/>
      <c r="CA734" s="11"/>
      <c r="CB734" s="11"/>
      <c r="CC734" s="11"/>
      <c r="CD734" s="11"/>
      <c r="CE734" s="11"/>
      <c r="CF734" s="11"/>
      <c r="CG734" s="11"/>
      <c r="CH734" s="11"/>
      <c r="CI734" s="11"/>
      <c r="CJ734" s="11"/>
      <c r="CK734" s="11"/>
      <c r="CL734" s="11"/>
      <c r="CM734" s="11"/>
      <c r="CN734" s="11"/>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c r="AB735" s="6"/>
      <c r="AC735" s="6"/>
      <c r="AD735" s="6"/>
      <c r="AE735" s="6"/>
      <c r="AF735" s="6"/>
      <c r="AG735" s="6"/>
      <c r="AH735" s="6"/>
      <c r="AI735" s="6"/>
      <c r="AJ735" s="6"/>
      <c r="AK735" s="6"/>
      <c r="AL735" s="6"/>
      <c r="AM735" s="6"/>
      <c r="AN735" s="6"/>
      <c r="AO735" s="6"/>
      <c r="AP735" s="6"/>
      <c r="AQ735" s="6"/>
      <c r="AR735" s="6"/>
      <c r="AS735" s="6"/>
      <c r="AT735" s="6"/>
      <c r="AU735" s="6"/>
      <c r="AV735" s="6"/>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11"/>
      <c r="BX735" s="11"/>
      <c r="BY735" s="11"/>
      <c r="BZ735" s="11"/>
      <c r="CA735" s="11"/>
      <c r="CB735" s="11"/>
      <c r="CC735" s="11"/>
      <c r="CD735" s="11"/>
      <c r="CE735" s="11"/>
      <c r="CF735" s="11"/>
      <c r="CG735" s="11"/>
      <c r="CH735" s="11"/>
      <c r="CI735" s="11"/>
      <c r="CJ735" s="11"/>
      <c r="CK735" s="11"/>
      <c r="CL735" s="11"/>
      <c r="CM735" s="11"/>
      <c r="CN735" s="11"/>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c r="AV736" s="6"/>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11"/>
      <c r="BX736" s="11"/>
      <c r="BY736" s="11"/>
      <c r="BZ736" s="11"/>
      <c r="CA736" s="11"/>
      <c r="CB736" s="11"/>
      <c r="CC736" s="11"/>
      <c r="CD736" s="11"/>
      <c r="CE736" s="11"/>
      <c r="CF736" s="11"/>
      <c r="CG736" s="11"/>
      <c r="CH736" s="11"/>
      <c r="CI736" s="11"/>
      <c r="CJ736" s="11"/>
      <c r="CK736" s="11"/>
      <c r="CL736" s="11"/>
      <c r="CM736" s="11"/>
      <c r="CN736" s="11"/>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c r="AB737" s="6"/>
      <c r="AC737" s="6"/>
      <c r="AD737" s="6"/>
      <c r="AE737" s="6"/>
      <c r="AF737" s="6"/>
      <c r="AG737" s="6"/>
      <c r="AH737" s="6"/>
      <c r="AI737" s="6"/>
      <c r="AJ737" s="6"/>
      <c r="AK737" s="6"/>
      <c r="AL737" s="6"/>
      <c r="AM737" s="6"/>
      <c r="AN737" s="6"/>
      <c r="AO737" s="6"/>
      <c r="AP737" s="6"/>
      <c r="AQ737" s="6"/>
      <c r="AR737" s="6"/>
      <c r="AS737" s="6"/>
      <c r="AT737" s="6"/>
      <c r="AU737" s="6"/>
      <c r="AV737" s="6"/>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11"/>
      <c r="BX737" s="11"/>
      <c r="BY737" s="11"/>
      <c r="BZ737" s="11"/>
      <c r="CA737" s="11"/>
      <c r="CB737" s="11"/>
      <c r="CC737" s="11"/>
      <c r="CD737" s="11"/>
      <c r="CE737" s="11"/>
      <c r="CF737" s="11"/>
      <c r="CG737" s="11"/>
      <c r="CH737" s="11"/>
      <c r="CI737" s="11"/>
      <c r="CJ737" s="11"/>
      <c r="CK737" s="11"/>
      <c r="CL737" s="11"/>
      <c r="CM737" s="11"/>
      <c r="CN737" s="11"/>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c r="AV738" s="6"/>
      <c r="AW738" s="6"/>
      <c r="AX738" s="6"/>
      <c r="AY738" s="6"/>
      <c r="AZ738" s="6"/>
      <c r="BA738" s="6"/>
      <c r="BB738" s="6"/>
      <c r="BC738" s="6"/>
      <c r="BD738" s="6"/>
      <c r="BE738" s="6"/>
      <c r="BF738" s="6"/>
      <c r="BG738" s="6"/>
      <c r="BH738" s="6"/>
      <c r="BI738" s="6"/>
      <c r="BJ738" s="6"/>
      <c r="BK738" s="6"/>
      <c r="BL738" s="6"/>
      <c r="BM738" s="6"/>
      <c r="BN738" s="6"/>
      <c r="BO738" s="6"/>
      <c r="BP738" s="6"/>
      <c r="BQ738" s="6"/>
      <c r="BR738" s="6"/>
      <c r="BS738" s="6"/>
      <c r="BT738" s="6"/>
      <c r="BU738" s="6"/>
      <c r="BV738" s="6"/>
      <c r="BW738" s="11"/>
      <c r="BX738" s="11"/>
      <c r="BY738" s="11"/>
      <c r="BZ738" s="11"/>
      <c r="CA738" s="11"/>
      <c r="CB738" s="11"/>
      <c r="CC738" s="11"/>
      <c r="CD738" s="11"/>
      <c r="CE738" s="11"/>
      <c r="CF738" s="11"/>
      <c r="CG738" s="11"/>
      <c r="CH738" s="11"/>
      <c r="CI738" s="11"/>
      <c r="CJ738" s="11"/>
      <c r="CK738" s="11"/>
      <c r="CL738" s="11"/>
      <c r="CM738" s="11"/>
      <c r="CN738" s="11"/>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c r="AB739" s="6"/>
      <c r="AC739" s="6"/>
      <c r="AD739" s="6"/>
      <c r="AE739" s="6"/>
      <c r="AF739" s="6"/>
      <c r="AG739" s="6"/>
      <c r="AH739" s="6"/>
      <c r="AI739" s="6"/>
      <c r="AJ739" s="6"/>
      <c r="AK739" s="6"/>
      <c r="AL739" s="6"/>
      <c r="AM739" s="6"/>
      <c r="AN739" s="6"/>
      <c r="AO739" s="6"/>
      <c r="AP739" s="6"/>
      <c r="AQ739" s="6"/>
      <c r="AR739" s="6"/>
      <c r="AS739" s="6"/>
      <c r="AT739" s="6"/>
      <c r="AU739" s="6"/>
      <c r="AV739" s="6"/>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11"/>
      <c r="BX739" s="11"/>
      <c r="BY739" s="11"/>
      <c r="BZ739" s="11"/>
      <c r="CA739" s="11"/>
      <c r="CB739" s="11"/>
      <c r="CC739" s="11"/>
      <c r="CD739" s="11"/>
      <c r="CE739" s="11"/>
      <c r="CF739" s="11"/>
      <c r="CG739" s="11"/>
      <c r="CH739" s="11"/>
      <c r="CI739" s="11"/>
      <c r="CJ739" s="11"/>
      <c r="CK739" s="11"/>
      <c r="CL739" s="11"/>
      <c r="CM739" s="11"/>
      <c r="CN739" s="11"/>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c r="AV740" s="6"/>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11"/>
      <c r="BX740" s="11"/>
      <c r="BY740" s="11"/>
      <c r="BZ740" s="11"/>
      <c r="CA740" s="11"/>
      <c r="CB740" s="11"/>
      <c r="CC740" s="11"/>
      <c r="CD740" s="11"/>
      <c r="CE740" s="11"/>
      <c r="CF740" s="11"/>
      <c r="CG740" s="11"/>
      <c r="CH740" s="11"/>
      <c r="CI740" s="11"/>
      <c r="CJ740" s="11"/>
      <c r="CK740" s="11"/>
      <c r="CL740" s="11"/>
      <c r="CM740" s="11"/>
      <c r="CN740" s="11"/>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c r="AB741" s="6"/>
      <c r="AC741" s="6"/>
      <c r="AD741" s="6"/>
      <c r="AE741" s="6"/>
      <c r="AF741" s="6"/>
      <c r="AG741" s="6"/>
      <c r="AH741" s="6"/>
      <c r="AI741" s="6"/>
      <c r="AJ741" s="6"/>
      <c r="AK741" s="6"/>
      <c r="AL741" s="6"/>
      <c r="AM741" s="6"/>
      <c r="AN741" s="6"/>
      <c r="AO741" s="6"/>
      <c r="AP741" s="6"/>
      <c r="AQ741" s="6"/>
      <c r="AR741" s="6"/>
      <c r="AS741" s="6"/>
      <c r="AT741" s="6"/>
      <c r="AU741" s="6"/>
      <c r="AV741" s="6"/>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11"/>
      <c r="BX741" s="11"/>
      <c r="BY741" s="11"/>
      <c r="BZ741" s="11"/>
      <c r="CA741" s="11"/>
      <c r="CB741" s="11"/>
      <c r="CC741" s="11"/>
      <c r="CD741" s="11"/>
      <c r="CE741" s="11"/>
      <c r="CF741" s="11"/>
      <c r="CG741" s="11"/>
      <c r="CH741" s="11"/>
      <c r="CI741" s="11"/>
      <c r="CJ741" s="11"/>
      <c r="CK741" s="11"/>
      <c r="CL741" s="11"/>
      <c r="CM741" s="11"/>
      <c r="CN741" s="11"/>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c r="AV742" s="6"/>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11"/>
      <c r="BX742" s="11"/>
      <c r="BY742" s="11"/>
      <c r="BZ742" s="11"/>
      <c r="CA742" s="11"/>
      <c r="CB742" s="11"/>
      <c r="CC742" s="11"/>
      <c r="CD742" s="11"/>
      <c r="CE742" s="11"/>
      <c r="CF742" s="11"/>
      <c r="CG742" s="11"/>
      <c r="CH742" s="11"/>
      <c r="CI742" s="11"/>
      <c r="CJ742" s="11"/>
      <c r="CK742" s="11"/>
      <c r="CL742" s="11"/>
      <c r="CM742" s="11"/>
      <c r="CN742" s="11"/>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c r="AB743" s="6"/>
      <c r="AC743" s="6"/>
      <c r="AD743" s="6"/>
      <c r="AE743" s="6"/>
      <c r="AF743" s="6"/>
      <c r="AG743" s="6"/>
      <c r="AH743" s="6"/>
      <c r="AI743" s="6"/>
      <c r="AJ743" s="6"/>
      <c r="AK743" s="6"/>
      <c r="AL743" s="6"/>
      <c r="AM743" s="6"/>
      <c r="AN743" s="6"/>
      <c r="AO743" s="6"/>
      <c r="AP743" s="6"/>
      <c r="AQ743" s="6"/>
      <c r="AR743" s="6"/>
      <c r="AS743" s="6"/>
      <c r="AT743" s="6"/>
      <c r="AU743" s="6"/>
      <c r="AV743" s="6"/>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11"/>
      <c r="BX743" s="11"/>
      <c r="BY743" s="11"/>
      <c r="BZ743" s="11"/>
      <c r="CA743" s="11"/>
      <c r="CB743" s="11"/>
      <c r="CC743" s="11"/>
      <c r="CD743" s="11"/>
      <c r="CE743" s="11"/>
      <c r="CF743" s="11"/>
      <c r="CG743" s="11"/>
      <c r="CH743" s="11"/>
      <c r="CI743" s="11"/>
      <c r="CJ743" s="11"/>
      <c r="CK743" s="11"/>
      <c r="CL743" s="11"/>
      <c r="CM743" s="11"/>
      <c r="CN743" s="11"/>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c r="AV744" s="6"/>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11"/>
      <c r="BX744" s="11"/>
      <c r="BY744" s="11"/>
      <c r="BZ744" s="11"/>
      <c r="CA744" s="11"/>
      <c r="CB744" s="11"/>
      <c r="CC744" s="11"/>
      <c r="CD744" s="11"/>
      <c r="CE744" s="11"/>
      <c r="CF744" s="11"/>
      <c r="CG744" s="11"/>
      <c r="CH744" s="11"/>
      <c r="CI744" s="11"/>
      <c r="CJ744" s="11"/>
      <c r="CK744" s="11"/>
      <c r="CL744" s="11"/>
      <c r="CM744" s="11"/>
      <c r="CN744" s="11"/>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c r="AB745" s="6"/>
      <c r="AC745" s="6"/>
      <c r="AD745" s="6"/>
      <c r="AE745" s="6"/>
      <c r="AF745" s="6"/>
      <c r="AG745" s="6"/>
      <c r="AH745" s="6"/>
      <c r="AI745" s="6"/>
      <c r="AJ745" s="6"/>
      <c r="AK745" s="6"/>
      <c r="AL745" s="6"/>
      <c r="AM745" s="6"/>
      <c r="AN745" s="6"/>
      <c r="AO745" s="6"/>
      <c r="AP745" s="6"/>
      <c r="AQ745" s="6"/>
      <c r="AR745" s="6"/>
      <c r="AS745" s="6"/>
      <c r="AT745" s="6"/>
      <c r="AU745" s="6"/>
      <c r="AV745" s="6"/>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11"/>
      <c r="BX745" s="11"/>
      <c r="BY745" s="11"/>
      <c r="BZ745" s="11"/>
      <c r="CA745" s="11"/>
      <c r="CB745" s="11"/>
      <c r="CC745" s="11"/>
      <c r="CD745" s="11"/>
      <c r="CE745" s="11"/>
      <c r="CF745" s="11"/>
      <c r="CG745" s="11"/>
      <c r="CH745" s="11"/>
      <c r="CI745" s="11"/>
      <c r="CJ745" s="11"/>
      <c r="CK745" s="11"/>
      <c r="CL745" s="11"/>
      <c r="CM745" s="11"/>
      <c r="CN745" s="11"/>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c r="AV746" s="6"/>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11"/>
      <c r="BX746" s="11"/>
      <c r="BY746" s="11"/>
      <c r="BZ746" s="11"/>
      <c r="CA746" s="11"/>
      <c r="CB746" s="11"/>
      <c r="CC746" s="11"/>
      <c r="CD746" s="11"/>
      <c r="CE746" s="11"/>
      <c r="CF746" s="11"/>
      <c r="CG746" s="11"/>
      <c r="CH746" s="11"/>
      <c r="CI746" s="11"/>
      <c r="CJ746" s="11"/>
      <c r="CK746" s="11"/>
      <c r="CL746" s="11"/>
      <c r="CM746" s="11"/>
      <c r="CN746" s="11"/>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c r="AB747" s="6"/>
      <c r="AC747" s="6"/>
      <c r="AD747" s="6"/>
      <c r="AE747" s="6"/>
      <c r="AF747" s="6"/>
      <c r="AG747" s="6"/>
      <c r="AH747" s="6"/>
      <c r="AI747" s="6"/>
      <c r="AJ747" s="6"/>
      <c r="AK747" s="6"/>
      <c r="AL747" s="6"/>
      <c r="AM747" s="6"/>
      <c r="AN747" s="6"/>
      <c r="AO747" s="6"/>
      <c r="AP747" s="6"/>
      <c r="AQ747" s="6"/>
      <c r="AR747" s="6"/>
      <c r="AS747" s="6"/>
      <c r="AT747" s="6"/>
      <c r="AU747" s="6"/>
      <c r="AV747" s="6"/>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11"/>
      <c r="BX747" s="11"/>
      <c r="BY747" s="11"/>
      <c r="BZ747" s="11"/>
      <c r="CA747" s="11"/>
      <c r="CB747" s="11"/>
      <c r="CC747" s="11"/>
      <c r="CD747" s="11"/>
      <c r="CE747" s="11"/>
      <c r="CF747" s="11"/>
      <c r="CG747" s="11"/>
      <c r="CH747" s="11"/>
      <c r="CI747" s="11"/>
      <c r="CJ747" s="11"/>
      <c r="CK747" s="11"/>
      <c r="CL747" s="11"/>
      <c r="CM747" s="11"/>
      <c r="CN747" s="11"/>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c r="AV748" s="6"/>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11"/>
      <c r="BX748" s="11"/>
      <c r="BY748" s="11"/>
      <c r="BZ748" s="11"/>
      <c r="CA748" s="11"/>
      <c r="CB748" s="11"/>
      <c r="CC748" s="11"/>
      <c r="CD748" s="11"/>
      <c r="CE748" s="11"/>
      <c r="CF748" s="11"/>
      <c r="CG748" s="11"/>
      <c r="CH748" s="11"/>
      <c r="CI748" s="11"/>
      <c r="CJ748" s="11"/>
      <c r="CK748" s="11"/>
      <c r="CL748" s="11"/>
      <c r="CM748" s="11"/>
      <c r="CN748" s="11"/>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c r="AB749" s="6"/>
      <c r="AC749" s="6"/>
      <c r="AD749" s="6"/>
      <c r="AE749" s="6"/>
      <c r="AF749" s="6"/>
      <c r="AG749" s="6"/>
      <c r="AH749" s="6"/>
      <c r="AI749" s="6"/>
      <c r="AJ749" s="6"/>
      <c r="AK749" s="6"/>
      <c r="AL749" s="6"/>
      <c r="AM749" s="6"/>
      <c r="AN749" s="6"/>
      <c r="AO749" s="6"/>
      <c r="AP749" s="6"/>
      <c r="AQ749" s="6"/>
      <c r="AR749" s="6"/>
      <c r="AS749" s="6"/>
      <c r="AT749" s="6"/>
      <c r="AU749" s="6"/>
      <c r="AV749" s="6"/>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11"/>
      <c r="BX749" s="11"/>
      <c r="BY749" s="11"/>
      <c r="BZ749" s="11"/>
      <c r="CA749" s="11"/>
      <c r="CB749" s="11"/>
      <c r="CC749" s="11"/>
      <c r="CD749" s="11"/>
      <c r="CE749" s="11"/>
      <c r="CF749" s="11"/>
      <c r="CG749" s="11"/>
      <c r="CH749" s="11"/>
      <c r="CI749" s="11"/>
      <c r="CJ749" s="11"/>
      <c r="CK749" s="11"/>
      <c r="CL749" s="11"/>
      <c r="CM749" s="11"/>
      <c r="CN749" s="11"/>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c r="AV750" s="6"/>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11"/>
      <c r="BX750" s="11"/>
      <c r="BY750" s="11"/>
      <c r="BZ750" s="11"/>
      <c r="CA750" s="11"/>
      <c r="CB750" s="11"/>
      <c r="CC750" s="11"/>
      <c r="CD750" s="11"/>
      <c r="CE750" s="11"/>
      <c r="CF750" s="11"/>
      <c r="CG750" s="11"/>
      <c r="CH750" s="11"/>
      <c r="CI750" s="11"/>
      <c r="CJ750" s="11"/>
      <c r="CK750" s="11"/>
      <c r="CL750" s="11"/>
      <c r="CM750" s="11"/>
      <c r="CN750" s="11"/>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c r="AB751" s="6"/>
      <c r="AC751" s="6"/>
      <c r="AD751" s="6"/>
      <c r="AE751" s="6"/>
      <c r="AF751" s="6"/>
      <c r="AG751" s="6"/>
      <c r="AH751" s="6"/>
      <c r="AI751" s="6"/>
      <c r="AJ751" s="6"/>
      <c r="AK751" s="6"/>
      <c r="AL751" s="6"/>
      <c r="AM751" s="6"/>
      <c r="AN751" s="6"/>
      <c r="AO751" s="6"/>
      <c r="AP751" s="6"/>
      <c r="AQ751" s="6"/>
      <c r="AR751" s="6"/>
      <c r="AS751" s="6"/>
      <c r="AT751" s="6"/>
      <c r="AU751" s="6"/>
      <c r="AV751" s="6"/>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11"/>
      <c r="BX751" s="11"/>
      <c r="BY751" s="11"/>
      <c r="BZ751" s="11"/>
      <c r="CA751" s="11"/>
      <c r="CB751" s="11"/>
      <c r="CC751" s="11"/>
      <c r="CD751" s="11"/>
      <c r="CE751" s="11"/>
      <c r="CF751" s="11"/>
      <c r="CG751" s="11"/>
      <c r="CH751" s="11"/>
      <c r="CI751" s="11"/>
      <c r="CJ751" s="11"/>
      <c r="CK751" s="11"/>
      <c r="CL751" s="11"/>
      <c r="CM751" s="11"/>
      <c r="CN751" s="11"/>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c r="AV752" s="6"/>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11"/>
      <c r="BX752" s="11"/>
      <c r="BY752" s="11"/>
      <c r="BZ752" s="11"/>
      <c r="CA752" s="11"/>
      <c r="CB752" s="11"/>
      <c r="CC752" s="11"/>
      <c r="CD752" s="11"/>
      <c r="CE752" s="11"/>
      <c r="CF752" s="11"/>
      <c r="CG752" s="11"/>
      <c r="CH752" s="11"/>
      <c r="CI752" s="11"/>
      <c r="CJ752" s="11"/>
      <c r="CK752" s="11"/>
      <c r="CL752" s="11"/>
      <c r="CM752" s="11"/>
      <c r="CN752" s="11"/>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c r="AB753" s="6"/>
      <c r="AC753" s="6"/>
      <c r="AD753" s="6"/>
      <c r="AE753" s="6"/>
      <c r="AF753" s="6"/>
      <c r="AG753" s="6"/>
      <c r="AH753" s="6"/>
      <c r="AI753" s="6"/>
      <c r="AJ753" s="6"/>
      <c r="AK753" s="6"/>
      <c r="AL753" s="6"/>
      <c r="AM753" s="6"/>
      <c r="AN753" s="6"/>
      <c r="AO753" s="6"/>
      <c r="AP753" s="6"/>
      <c r="AQ753" s="6"/>
      <c r="AR753" s="6"/>
      <c r="AS753" s="6"/>
      <c r="AT753" s="6"/>
      <c r="AU753" s="6"/>
      <c r="AV753" s="6"/>
      <c r="AW753" s="6"/>
      <c r="AX753" s="6"/>
      <c r="AY753" s="6"/>
      <c r="AZ753" s="6"/>
      <c r="BA753" s="6"/>
      <c r="BB753" s="6"/>
      <c r="BC753" s="6"/>
      <c r="BD753" s="6"/>
      <c r="BE753" s="6"/>
      <c r="BF753" s="6"/>
      <c r="BG753" s="6"/>
      <c r="BH753" s="6"/>
      <c r="BI753" s="6"/>
      <c r="BJ753" s="6"/>
      <c r="BK753" s="6"/>
      <c r="BL753" s="6"/>
      <c r="BM753" s="6"/>
      <c r="BN753" s="6"/>
      <c r="BO753" s="6"/>
      <c r="BP753" s="6"/>
      <c r="BQ753" s="6"/>
      <c r="BR753" s="6"/>
      <c r="BS753" s="6"/>
      <c r="BT753" s="6"/>
      <c r="BU753" s="6"/>
      <c r="BV753" s="6"/>
      <c r="BW753" s="11"/>
      <c r="BX753" s="11"/>
      <c r="BY753" s="11"/>
      <c r="BZ753" s="11"/>
      <c r="CA753" s="11"/>
      <c r="CB753" s="11"/>
      <c r="CC753" s="11"/>
      <c r="CD753" s="11"/>
      <c r="CE753" s="11"/>
      <c r="CF753" s="11"/>
      <c r="CG753" s="11"/>
      <c r="CH753" s="11"/>
      <c r="CI753" s="11"/>
      <c r="CJ753" s="11"/>
      <c r="CK753" s="11"/>
      <c r="CL753" s="11"/>
      <c r="CM753" s="11"/>
      <c r="CN753" s="11"/>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c r="AV754" s="6"/>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11"/>
      <c r="BX754" s="11"/>
      <c r="BY754" s="11"/>
      <c r="BZ754" s="11"/>
      <c r="CA754" s="11"/>
      <c r="CB754" s="11"/>
      <c r="CC754" s="11"/>
      <c r="CD754" s="11"/>
      <c r="CE754" s="11"/>
      <c r="CF754" s="11"/>
      <c r="CG754" s="11"/>
      <c r="CH754" s="11"/>
      <c r="CI754" s="11"/>
      <c r="CJ754" s="11"/>
      <c r="CK754" s="11"/>
      <c r="CL754" s="11"/>
      <c r="CM754" s="11"/>
      <c r="CN754" s="11"/>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c r="AB755" s="6"/>
      <c r="AC755" s="6"/>
      <c r="AD755" s="6"/>
      <c r="AE755" s="6"/>
      <c r="AF755" s="6"/>
      <c r="AG755" s="6"/>
      <c r="AH755" s="6"/>
      <c r="AI755" s="6"/>
      <c r="AJ755" s="6"/>
      <c r="AK755" s="6"/>
      <c r="AL755" s="6"/>
      <c r="AM755" s="6"/>
      <c r="AN755" s="6"/>
      <c r="AO755" s="6"/>
      <c r="AP755" s="6"/>
      <c r="AQ755" s="6"/>
      <c r="AR755" s="6"/>
      <c r="AS755" s="6"/>
      <c r="AT755" s="6"/>
      <c r="AU755" s="6"/>
      <c r="AV755" s="6"/>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11"/>
      <c r="BX755" s="11"/>
      <c r="BY755" s="11"/>
      <c r="BZ755" s="11"/>
      <c r="CA755" s="11"/>
      <c r="CB755" s="11"/>
      <c r="CC755" s="11"/>
      <c r="CD755" s="11"/>
      <c r="CE755" s="11"/>
      <c r="CF755" s="11"/>
      <c r="CG755" s="11"/>
      <c r="CH755" s="11"/>
      <c r="CI755" s="11"/>
      <c r="CJ755" s="11"/>
      <c r="CK755" s="11"/>
      <c r="CL755" s="11"/>
      <c r="CM755" s="11"/>
      <c r="CN755" s="11"/>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c r="AV756" s="6"/>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11"/>
      <c r="BX756" s="11"/>
      <c r="BY756" s="11"/>
      <c r="BZ756" s="11"/>
      <c r="CA756" s="11"/>
      <c r="CB756" s="11"/>
      <c r="CC756" s="11"/>
      <c r="CD756" s="11"/>
      <c r="CE756" s="11"/>
      <c r="CF756" s="11"/>
      <c r="CG756" s="11"/>
      <c r="CH756" s="11"/>
      <c r="CI756" s="11"/>
      <c r="CJ756" s="11"/>
      <c r="CK756" s="11"/>
      <c r="CL756" s="11"/>
      <c r="CM756" s="11"/>
      <c r="CN756" s="11"/>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c r="AB757" s="6"/>
      <c r="AC757" s="6"/>
      <c r="AD757" s="6"/>
      <c r="AE757" s="6"/>
      <c r="AF757" s="6"/>
      <c r="AG757" s="6"/>
      <c r="AH757" s="6"/>
      <c r="AI757" s="6"/>
      <c r="AJ757" s="6"/>
      <c r="AK757" s="6"/>
      <c r="AL757" s="6"/>
      <c r="AM757" s="6"/>
      <c r="AN757" s="6"/>
      <c r="AO757" s="6"/>
      <c r="AP757" s="6"/>
      <c r="AQ757" s="6"/>
      <c r="AR757" s="6"/>
      <c r="AS757" s="6"/>
      <c r="AT757" s="6"/>
      <c r="AU757" s="6"/>
      <c r="AV757" s="6"/>
      <c r="AW757" s="6"/>
      <c r="AX757" s="6"/>
      <c r="AY757" s="6"/>
      <c r="AZ757" s="6"/>
      <c r="BA757" s="6"/>
      <c r="BB757" s="6"/>
      <c r="BC757" s="6"/>
      <c r="BD757" s="6"/>
      <c r="BE757" s="6"/>
      <c r="BF757" s="6"/>
      <c r="BG757" s="6"/>
      <c r="BH757" s="6"/>
      <c r="BI757" s="6"/>
      <c r="BJ757" s="6"/>
      <c r="BK757" s="6"/>
      <c r="BL757" s="6"/>
      <c r="BM757" s="6"/>
      <c r="BN757" s="6"/>
      <c r="BO757" s="6"/>
      <c r="BP757" s="6"/>
      <c r="BQ757" s="6"/>
      <c r="BR757" s="6"/>
      <c r="BS757" s="6"/>
      <c r="BT757" s="6"/>
      <c r="BU757" s="6"/>
      <c r="BV757" s="6"/>
      <c r="BW757" s="11"/>
      <c r="BX757" s="11"/>
      <c r="BY757" s="11"/>
      <c r="BZ757" s="11"/>
      <c r="CA757" s="11"/>
      <c r="CB757" s="11"/>
      <c r="CC757" s="11"/>
      <c r="CD757" s="11"/>
      <c r="CE757" s="11"/>
      <c r="CF757" s="11"/>
      <c r="CG757" s="11"/>
      <c r="CH757" s="11"/>
      <c r="CI757" s="11"/>
      <c r="CJ757" s="11"/>
      <c r="CK757" s="11"/>
      <c r="CL757" s="11"/>
      <c r="CM757" s="11"/>
      <c r="CN757" s="11"/>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c r="AV758" s="6"/>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11"/>
      <c r="BX758" s="11"/>
      <c r="BY758" s="11"/>
      <c r="BZ758" s="11"/>
      <c r="CA758" s="11"/>
      <c r="CB758" s="11"/>
      <c r="CC758" s="11"/>
      <c r="CD758" s="11"/>
      <c r="CE758" s="11"/>
      <c r="CF758" s="11"/>
      <c r="CG758" s="11"/>
      <c r="CH758" s="11"/>
      <c r="CI758" s="11"/>
      <c r="CJ758" s="11"/>
      <c r="CK758" s="11"/>
      <c r="CL758" s="11"/>
      <c r="CM758" s="11"/>
      <c r="CN758" s="11"/>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c r="AB759" s="6"/>
      <c r="AC759" s="6"/>
      <c r="AD759" s="6"/>
      <c r="AE759" s="6"/>
      <c r="AF759" s="6"/>
      <c r="AG759" s="6"/>
      <c r="AH759" s="6"/>
      <c r="AI759" s="6"/>
      <c r="AJ759" s="6"/>
      <c r="AK759" s="6"/>
      <c r="AL759" s="6"/>
      <c r="AM759" s="6"/>
      <c r="AN759" s="6"/>
      <c r="AO759" s="6"/>
      <c r="AP759" s="6"/>
      <c r="AQ759" s="6"/>
      <c r="AR759" s="6"/>
      <c r="AS759" s="6"/>
      <c r="AT759" s="6"/>
      <c r="AU759" s="6"/>
      <c r="AV759" s="6"/>
      <c r="AW759" s="6"/>
      <c r="AX759" s="6"/>
      <c r="AY759" s="6"/>
      <c r="AZ759" s="6"/>
      <c r="BA759" s="6"/>
      <c r="BB759" s="6"/>
      <c r="BC759" s="6"/>
      <c r="BD759" s="6"/>
      <c r="BE759" s="6"/>
      <c r="BF759" s="6"/>
      <c r="BG759" s="6"/>
      <c r="BH759" s="6"/>
      <c r="BI759" s="6"/>
      <c r="BJ759" s="6"/>
      <c r="BK759" s="6"/>
      <c r="BL759" s="6"/>
      <c r="BM759" s="6"/>
      <c r="BN759" s="6"/>
      <c r="BO759" s="6"/>
      <c r="BP759" s="6"/>
      <c r="BQ759" s="6"/>
      <c r="BR759" s="6"/>
      <c r="BS759" s="6"/>
      <c r="BT759" s="6"/>
      <c r="BU759" s="6"/>
      <c r="BV759" s="6"/>
      <c r="BW759" s="11"/>
      <c r="BX759" s="11"/>
      <c r="BY759" s="11"/>
      <c r="BZ759" s="11"/>
      <c r="CA759" s="11"/>
      <c r="CB759" s="11"/>
      <c r="CC759" s="11"/>
      <c r="CD759" s="11"/>
      <c r="CE759" s="11"/>
      <c r="CF759" s="11"/>
      <c r="CG759" s="11"/>
      <c r="CH759" s="11"/>
      <c r="CI759" s="11"/>
      <c r="CJ759" s="11"/>
      <c r="CK759" s="11"/>
      <c r="CL759" s="11"/>
      <c r="CM759" s="11"/>
      <c r="CN759" s="11"/>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c r="AV760" s="6"/>
      <c r="AW760" s="6"/>
      <c r="AX760" s="6"/>
      <c r="AY760" s="6"/>
      <c r="AZ760" s="6"/>
      <c r="BA760" s="6"/>
      <c r="BB760" s="6"/>
      <c r="BC760" s="6"/>
      <c r="BD760" s="6"/>
      <c r="BE760" s="6"/>
      <c r="BF760" s="6"/>
      <c r="BG760" s="6"/>
      <c r="BH760" s="6"/>
      <c r="BI760" s="6"/>
      <c r="BJ760" s="6"/>
      <c r="BK760" s="6"/>
      <c r="BL760" s="6"/>
      <c r="BM760" s="6"/>
      <c r="BN760" s="6"/>
      <c r="BO760" s="6"/>
      <c r="BP760" s="6"/>
      <c r="BQ760" s="6"/>
      <c r="BR760" s="6"/>
      <c r="BS760" s="6"/>
      <c r="BT760" s="6"/>
      <c r="BU760" s="6"/>
      <c r="BV760" s="6"/>
      <c r="BW760" s="11"/>
      <c r="BX760" s="11"/>
      <c r="BY760" s="11"/>
      <c r="BZ760" s="11"/>
      <c r="CA760" s="11"/>
      <c r="CB760" s="11"/>
      <c r="CC760" s="11"/>
      <c r="CD760" s="11"/>
      <c r="CE760" s="11"/>
      <c r="CF760" s="11"/>
      <c r="CG760" s="11"/>
      <c r="CH760" s="11"/>
      <c r="CI760" s="11"/>
      <c r="CJ760" s="11"/>
      <c r="CK760" s="11"/>
      <c r="CL760" s="11"/>
      <c r="CM760" s="11"/>
      <c r="CN760" s="11"/>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c r="AB761" s="6"/>
      <c r="AC761" s="6"/>
      <c r="AD761" s="6"/>
      <c r="AE761" s="6"/>
      <c r="AF761" s="6"/>
      <c r="AG761" s="6"/>
      <c r="AH761" s="6"/>
      <c r="AI761" s="6"/>
      <c r="AJ761" s="6"/>
      <c r="AK761" s="6"/>
      <c r="AL761" s="6"/>
      <c r="AM761" s="6"/>
      <c r="AN761" s="6"/>
      <c r="AO761" s="6"/>
      <c r="AP761" s="6"/>
      <c r="AQ761" s="6"/>
      <c r="AR761" s="6"/>
      <c r="AS761" s="6"/>
      <c r="AT761" s="6"/>
      <c r="AU761" s="6"/>
      <c r="AV761" s="6"/>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11"/>
      <c r="BX761" s="11"/>
      <c r="BY761" s="11"/>
      <c r="BZ761" s="11"/>
      <c r="CA761" s="11"/>
      <c r="CB761" s="11"/>
      <c r="CC761" s="11"/>
      <c r="CD761" s="11"/>
      <c r="CE761" s="11"/>
      <c r="CF761" s="11"/>
      <c r="CG761" s="11"/>
      <c r="CH761" s="11"/>
      <c r="CI761" s="11"/>
      <c r="CJ761" s="11"/>
      <c r="CK761" s="11"/>
      <c r="CL761" s="11"/>
      <c r="CM761" s="11"/>
      <c r="CN761" s="11"/>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c r="AV762" s="6"/>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11"/>
      <c r="BX762" s="11"/>
      <c r="BY762" s="11"/>
      <c r="BZ762" s="11"/>
      <c r="CA762" s="11"/>
      <c r="CB762" s="11"/>
      <c r="CC762" s="11"/>
      <c r="CD762" s="11"/>
      <c r="CE762" s="11"/>
      <c r="CF762" s="11"/>
      <c r="CG762" s="11"/>
      <c r="CH762" s="11"/>
      <c r="CI762" s="11"/>
      <c r="CJ762" s="11"/>
      <c r="CK762" s="11"/>
      <c r="CL762" s="11"/>
      <c r="CM762" s="11"/>
      <c r="CN762" s="11"/>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c r="AB763" s="6"/>
      <c r="AC763" s="6"/>
      <c r="AD763" s="6"/>
      <c r="AE763" s="6"/>
      <c r="AF763" s="6"/>
      <c r="AG763" s="6"/>
      <c r="AH763" s="6"/>
      <c r="AI763" s="6"/>
      <c r="AJ763" s="6"/>
      <c r="AK763" s="6"/>
      <c r="AL763" s="6"/>
      <c r="AM763" s="6"/>
      <c r="AN763" s="6"/>
      <c r="AO763" s="6"/>
      <c r="AP763" s="6"/>
      <c r="AQ763" s="6"/>
      <c r="AR763" s="6"/>
      <c r="AS763" s="6"/>
      <c r="AT763" s="6"/>
      <c r="AU763" s="6"/>
      <c r="AV763" s="6"/>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11"/>
      <c r="BX763" s="11"/>
      <c r="BY763" s="11"/>
      <c r="BZ763" s="11"/>
      <c r="CA763" s="11"/>
      <c r="CB763" s="11"/>
      <c r="CC763" s="11"/>
      <c r="CD763" s="11"/>
      <c r="CE763" s="11"/>
      <c r="CF763" s="11"/>
      <c r="CG763" s="11"/>
      <c r="CH763" s="11"/>
      <c r="CI763" s="11"/>
      <c r="CJ763" s="11"/>
      <c r="CK763" s="11"/>
      <c r="CL763" s="11"/>
      <c r="CM763" s="11"/>
      <c r="CN763" s="11"/>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c r="AV764" s="6"/>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11"/>
      <c r="BX764" s="11"/>
      <c r="BY764" s="11"/>
      <c r="BZ764" s="11"/>
      <c r="CA764" s="11"/>
      <c r="CB764" s="11"/>
      <c r="CC764" s="11"/>
      <c r="CD764" s="11"/>
      <c r="CE764" s="11"/>
      <c r="CF764" s="11"/>
      <c r="CG764" s="11"/>
      <c r="CH764" s="11"/>
      <c r="CI764" s="11"/>
      <c r="CJ764" s="11"/>
      <c r="CK764" s="11"/>
      <c r="CL764" s="11"/>
      <c r="CM764" s="11"/>
      <c r="CN764" s="11"/>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c r="AB765" s="6"/>
      <c r="AC765" s="6"/>
      <c r="AD765" s="6"/>
      <c r="AE765" s="6"/>
      <c r="AF765" s="6"/>
      <c r="AG765" s="6"/>
      <c r="AH765" s="6"/>
      <c r="AI765" s="6"/>
      <c r="AJ765" s="6"/>
      <c r="AK765" s="6"/>
      <c r="AL765" s="6"/>
      <c r="AM765" s="6"/>
      <c r="AN765" s="6"/>
      <c r="AO765" s="6"/>
      <c r="AP765" s="6"/>
      <c r="AQ765" s="6"/>
      <c r="AR765" s="6"/>
      <c r="AS765" s="6"/>
      <c r="AT765" s="6"/>
      <c r="AU765" s="6"/>
      <c r="AV765" s="6"/>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11"/>
      <c r="BX765" s="11"/>
      <c r="BY765" s="11"/>
      <c r="BZ765" s="11"/>
      <c r="CA765" s="11"/>
      <c r="CB765" s="11"/>
      <c r="CC765" s="11"/>
      <c r="CD765" s="11"/>
      <c r="CE765" s="11"/>
      <c r="CF765" s="11"/>
      <c r="CG765" s="11"/>
      <c r="CH765" s="11"/>
      <c r="CI765" s="11"/>
      <c r="CJ765" s="11"/>
      <c r="CK765" s="11"/>
      <c r="CL765" s="11"/>
      <c r="CM765" s="11"/>
      <c r="CN765" s="11"/>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c r="AV766" s="6"/>
      <c r="AW766" s="6"/>
      <c r="AX766" s="6"/>
      <c r="AY766" s="6"/>
      <c r="AZ766" s="6"/>
      <c r="BA766" s="6"/>
      <c r="BB766" s="6"/>
      <c r="BC766" s="6"/>
      <c r="BD766" s="6"/>
      <c r="BE766" s="6"/>
      <c r="BF766" s="6"/>
      <c r="BG766" s="6"/>
      <c r="BH766" s="6"/>
      <c r="BI766" s="6"/>
      <c r="BJ766" s="6"/>
      <c r="BK766" s="6"/>
      <c r="BL766" s="6"/>
      <c r="BM766" s="6"/>
      <c r="BN766" s="6"/>
      <c r="BO766" s="6"/>
      <c r="BP766" s="6"/>
      <c r="BQ766" s="6"/>
      <c r="BR766" s="6"/>
      <c r="BS766" s="6"/>
      <c r="BT766" s="6"/>
      <c r="BU766" s="6"/>
      <c r="BV766" s="6"/>
      <c r="BW766" s="11"/>
      <c r="BX766" s="11"/>
      <c r="BY766" s="11"/>
      <c r="BZ766" s="11"/>
      <c r="CA766" s="11"/>
      <c r="CB766" s="11"/>
      <c r="CC766" s="11"/>
      <c r="CD766" s="11"/>
      <c r="CE766" s="11"/>
      <c r="CF766" s="11"/>
      <c r="CG766" s="11"/>
      <c r="CH766" s="11"/>
      <c r="CI766" s="11"/>
      <c r="CJ766" s="11"/>
      <c r="CK766" s="11"/>
      <c r="CL766" s="11"/>
      <c r="CM766" s="11"/>
      <c r="CN766" s="11"/>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c r="AB767" s="6"/>
      <c r="AC767" s="6"/>
      <c r="AD767" s="6"/>
      <c r="AE767" s="6"/>
      <c r="AF767" s="6"/>
      <c r="AG767" s="6"/>
      <c r="AH767" s="6"/>
      <c r="AI767" s="6"/>
      <c r="AJ767" s="6"/>
      <c r="AK767" s="6"/>
      <c r="AL767" s="6"/>
      <c r="AM767" s="6"/>
      <c r="AN767" s="6"/>
      <c r="AO767" s="6"/>
      <c r="AP767" s="6"/>
      <c r="AQ767" s="6"/>
      <c r="AR767" s="6"/>
      <c r="AS767" s="6"/>
      <c r="AT767" s="6"/>
      <c r="AU767" s="6"/>
      <c r="AV767" s="6"/>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11"/>
      <c r="BX767" s="11"/>
      <c r="BY767" s="11"/>
      <c r="BZ767" s="11"/>
      <c r="CA767" s="11"/>
      <c r="CB767" s="11"/>
      <c r="CC767" s="11"/>
      <c r="CD767" s="11"/>
      <c r="CE767" s="11"/>
      <c r="CF767" s="11"/>
      <c r="CG767" s="11"/>
      <c r="CH767" s="11"/>
      <c r="CI767" s="11"/>
      <c r="CJ767" s="11"/>
      <c r="CK767" s="11"/>
      <c r="CL767" s="11"/>
      <c r="CM767" s="11"/>
      <c r="CN767" s="11"/>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c r="AV768" s="6"/>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11"/>
      <c r="BX768" s="11"/>
      <c r="BY768" s="11"/>
      <c r="BZ768" s="11"/>
      <c r="CA768" s="11"/>
      <c r="CB768" s="11"/>
      <c r="CC768" s="11"/>
      <c r="CD768" s="11"/>
      <c r="CE768" s="11"/>
      <c r="CF768" s="11"/>
      <c r="CG768" s="11"/>
      <c r="CH768" s="11"/>
      <c r="CI768" s="11"/>
      <c r="CJ768" s="11"/>
      <c r="CK768" s="11"/>
      <c r="CL768" s="11"/>
      <c r="CM768" s="11"/>
      <c r="CN768" s="11"/>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c r="AB769" s="6"/>
      <c r="AC769" s="6"/>
      <c r="AD769" s="6"/>
      <c r="AE769" s="6"/>
      <c r="AF769" s="6"/>
      <c r="AG769" s="6"/>
      <c r="AH769" s="6"/>
      <c r="AI769" s="6"/>
      <c r="AJ769" s="6"/>
      <c r="AK769" s="6"/>
      <c r="AL769" s="6"/>
      <c r="AM769" s="6"/>
      <c r="AN769" s="6"/>
      <c r="AO769" s="6"/>
      <c r="AP769" s="6"/>
      <c r="AQ769" s="6"/>
      <c r="AR769" s="6"/>
      <c r="AS769" s="6"/>
      <c r="AT769" s="6"/>
      <c r="AU769" s="6"/>
      <c r="AV769" s="6"/>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11"/>
      <c r="BX769" s="11"/>
      <c r="BY769" s="11"/>
      <c r="BZ769" s="11"/>
      <c r="CA769" s="11"/>
      <c r="CB769" s="11"/>
      <c r="CC769" s="11"/>
      <c r="CD769" s="11"/>
      <c r="CE769" s="11"/>
      <c r="CF769" s="11"/>
      <c r="CG769" s="11"/>
      <c r="CH769" s="11"/>
      <c r="CI769" s="11"/>
      <c r="CJ769" s="11"/>
      <c r="CK769" s="11"/>
      <c r="CL769" s="11"/>
      <c r="CM769" s="11"/>
      <c r="CN769" s="11"/>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c r="AV770" s="6"/>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11"/>
      <c r="BX770" s="11"/>
      <c r="BY770" s="11"/>
      <c r="BZ770" s="11"/>
      <c r="CA770" s="11"/>
      <c r="CB770" s="11"/>
      <c r="CC770" s="11"/>
      <c r="CD770" s="11"/>
      <c r="CE770" s="11"/>
      <c r="CF770" s="11"/>
      <c r="CG770" s="11"/>
      <c r="CH770" s="11"/>
      <c r="CI770" s="11"/>
      <c r="CJ770" s="11"/>
      <c r="CK770" s="11"/>
      <c r="CL770" s="11"/>
      <c r="CM770" s="11"/>
      <c r="CN770" s="11"/>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c r="AB771" s="6"/>
      <c r="AC771" s="6"/>
      <c r="AD771" s="6"/>
      <c r="AE771" s="6"/>
      <c r="AF771" s="6"/>
      <c r="AG771" s="6"/>
      <c r="AH771" s="6"/>
      <c r="AI771" s="6"/>
      <c r="AJ771" s="6"/>
      <c r="AK771" s="6"/>
      <c r="AL771" s="6"/>
      <c r="AM771" s="6"/>
      <c r="AN771" s="6"/>
      <c r="AO771" s="6"/>
      <c r="AP771" s="6"/>
      <c r="AQ771" s="6"/>
      <c r="AR771" s="6"/>
      <c r="AS771" s="6"/>
      <c r="AT771" s="6"/>
      <c r="AU771" s="6"/>
      <c r="AV771" s="6"/>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11"/>
      <c r="BX771" s="11"/>
      <c r="BY771" s="11"/>
      <c r="BZ771" s="11"/>
      <c r="CA771" s="11"/>
      <c r="CB771" s="11"/>
      <c r="CC771" s="11"/>
      <c r="CD771" s="11"/>
      <c r="CE771" s="11"/>
      <c r="CF771" s="11"/>
      <c r="CG771" s="11"/>
      <c r="CH771" s="11"/>
      <c r="CI771" s="11"/>
      <c r="CJ771" s="11"/>
      <c r="CK771" s="11"/>
      <c r="CL771" s="11"/>
      <c r="CM771" s="11"/>
      <c r="CN771" s="11"/>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c r="AV772" s="6"/>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11"/>
      <c r="BX772" s="11"/>
      <c r="BY772" s="11"/>
      <c r="BZ772" s="11"/>
      <c r="CA772" s="11"/>
      <c r="CB772" s="11"/>
      <c r="CC772" s="11"/>
      <c r="CD772" s="11"/>
      <c r="CE772" s="11"/>
      <c r="CF772" s="11"/>
      <c r="CG772" s="11"/>
      <c r="CH772" s="11"/>
      <c r="CI772" s="11"/>
      <c r="CJ772" s="11"/>
      <c r="CK772" s="11"/>
      <c r="CL772" s="11"/>
      <c r="CM772" s="11"/>
      <c r="CN772" s="11"/>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c r="AB773" s="6"/>
      <c r="AC773" s="6"/>
      <c r="AD773" s="6"/>
      <c r="AE773" s="6"/>
      <c r="AF773" s="6"/>
      <c r="AG773" s="6"/>
      <c r="AH773" s="6"/>
      <c r="AI773" s="6"/>
      <c r="AJ773" s="6"/>
      <c r="AK773" s="6"/>
      <c r="AL773" s="6"/>
      <c r="AM773" s="6"/>
      <c r="AN773" s="6"/>
      <c r="AO773" s="6"/>
      <c r="AP773" s="6"/>
      <c r="AQ773" s="6"/>
      <c r="AR773" s="6"/>
      <c r="AS773" s="6"/>
      <c r="AT773" s="6"/>
      <c r="AU773" s="6"/>
      <c r="AV773" s="6"/>
      <c r="AW773" s="6"/>
      <c r="AX773" s="6"/>
      <c r="AY773" s="6"/>
      <c r="AZ773" s="6"/>
      <c r="BA773" s="6"/>
      <c r="BB773" s="6"/>
      <c r="BC773" s="6"/>
      <c r="BD773" s="6"/>
      <c r="BE773" s="6"/>
      <c r="BF773" s="6"/>
      <c r="BG773" s="6"/>
      <c r="BH773" s="6"/>
      <c r="BI773" s="6"/>
      <c r="BJ773" s="6"/>
      <c r="BK773" s="6"/>
      <c r="BL773" s="6"/>
      <c r="BM773" s="6"/>
      <c r="BN773" s="6"/>
      <c r="BO773" s="6"/>
      <c r="BP773" s="6"/>
      <c r="BQ773" s="6"/>
      <c r="BR773" s="6"/>
      <c r="BS773" s="6"/>
      <c r="BT773" s="6"/>
      <c r="BU773" s="6"/>
      <c r="BV773" s="6"/>
      <c r="BW773" s="11"/>
      <c r="BX773" s="11"/>
      <c r="BY773" s="11"/>
      <c r="BZ773" s="11"/>
      <c r="CA773" s="11"/>
      <c r="CB773" s="11"/>
      <c r="CC773" s="11"/>
      <c r="CD773" s="11"/>
      <c r="CE773" s="11"/>
      <c r="CF773" s="11"/>
      <c r="CG773" s="11"/>
      <c r="CH773" s="11"/>
      <c r="CI773" s="11"/>
      <c r="CJ773" s="11"/>
      <c r="CK773" s="11"/>
      <c r="CL773" s="11"/>
      <c r="CM773" s="11"/>
      <c r="CN773" s="11"/>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c r="AV774" s="6"/>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11"/>
      <c r="BX774" s="11"/>
      <c r="BY774" s="11"/>
      <c r="BZ774" s="11"/>
      <c r="CA774" s="11"/>
      <c r="CB774" s="11"/>
      <c r="CC774" s="11"/>
      <c r="CD774" s="11"/>
      <c r="CE774" s="11"/>
      <c r="CF774" s="11"/>
      <c r="CG774" s="11"/>
      <c r="CH774" s="11"/>
      <c r="CI774" s="11"/>
      <c r="CJ774" s="11"/>
      <c r="CK774" s="11"/>
      <c r="CL774" s="11"/>
      <c r="CM774" s="11"/>
      <c r="CN774" s="11"/>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c r="AB775" s="6"/>
      <c r="AC775" s="6"/>
      <c r="AD775" s="6"/>
      <c r="AE775" s="6"/>
      <c r="AF775" s="6"/>
      <c r="AG775" s="6"/>
      <c r="AH775" s="6"/>
      <c r="AI775" s="6"/>
      <c r="AJ775" s="6"/>
      <c r="AK775" s="6"/>
      <c r="AL775" s="6"/>
      <c r="AM775" s="6"/>
      <c r="AN775" s="6"/>
      <c r="AO775" s="6"/>
      <c r="AP775" s="6"/>
      <c r="AQ775" s="6"/>
      <c r="AR775" s="6"/>
      <c r="AS775" s="6"/>
      <c r="AT775" s="6"/>
      <c r="AU775" s="6"/>
      <c r="AV775" s="6"/>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11"/>
      <c r="BX775" s="11"/>
      <c r="BY775" s="11"/>
      <c r="BZ775" s="11"/>
      <c r="CA775" s="11"/>
      <c r="CB775" s="11"/>
      <c r="CC775" s="11"/>
      <c r="CD775" s="11"/>
      <c r="CE775" s="11"/>
      <c r="CF775" s="11"/>
      <c r="CG775" s="11"/>
      <c r="CH775" s="11"/>
      <c r="CI775" s="11"/>
      <c r="CJ775" s="11"/>
      <c r="CK775" s="11"/>
      <c r="CL775" s="11"/>
      <c r="CM775" s="11"/>
      <c r="CN775" s="11"/>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c r="AV776" s="6"/>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11"/>
      <c r="BX776" s="11"/>
      <c r="BY776" s="11"/>
      <c r="BZ776" s="11"/>
      <c r="CA776" s="11"/>
      <c r="CB776" s="11"/>
      <c r="CC776" s="11"/>
      <c r="CD776" s="11"/>
      <c r="CE776" s="11"/>
      <c r="CF776" s="11"/>
      <c r="CG776" s="11"/>
      <c r="CH776" s="11"/>
      <c r="CI776" s="11"/>
      <c r="CJ776" s="11"/>
      <c r="CK776" s="11"/>
      <c r="CL776" s="11"/>
      <c r="CM776" s="11"/>
      <c r="CN776" s="11"/>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c r="AB777" s="6"/>
      <c r="AC777" s="6"/>
      <c r="AD777" s="6"/>
      <c r="AE777" s="6"/>
      <c r="AF777" s="6"/>
      <c r="AG777" s="6"/>
      <c r="AH777" s="6"/>
      <c r="AI777" s="6"/>
      <c r="AJ777" s="6"/>
      <c r="AK777" s="6"/>
      <c r="AL777" s="6"/>
      <c r="AM777" s="6"/>
      <c r="AN777" s="6"/>
      <c r="AO777" s="6"/>
      <c r="AP777" s="6"/>
      <c r="AQ777" s="6"/>
      <c r="AR777" s="6"/>
      <c r="AS777" s="6"/>
      <c r="AT777" s="6"/>
      <c r="AU777" s="6"/>
      <c r="AV777" s="6"/>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11"/>
      <c r="BX777" s="11"/>
      <c r="BY777" s="11"/>
      <c r="BZ777" s="11"/>
      <c r="CA777" s="11"/>
      <c r="CB777" s="11"/>
      <c r="CC777" s="11"/>
      <c r="CD777" s="11"/>
      <c r="CE777" s="11"/>
      <c r="CF777" s="11"/>
      <c r="CG777" s="11"/>
      <c r="CH777" s="11"/>
      <c r="CI777" s="11"/>
      <c r="CJ777" s="11"/>
      <c r="CK777" s="11"/>
      <c r="CL777" s="11"/>
      <c r="CM777" s="11"/>
      <c r="CN777" s="11"/>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11"/>
      <c r="BX778" s="11"/>
      <c r="BY778" s="11"/>
      <c r="BZ778" s="11"/>
      <c r="CA778" s="11"/>
      <c r="CB778" s="11"/>
      <c r="CC778" s="11"/>
      <c r="CD778" s="11"/>
      <c r="CE778" s="11"/>
      <c r="CF778" s="11"/>
      <c r="CG778" s="11"/>
      <c r="CH778" s="11"/>
      <c r="CI778" s="11"/>
      <c r="CJ778" s="11"/>
      <c r="CK778" s="11"/>
      <c r="CL778" s="11"/>
      <c r="CM778" s="11"/>
      <c r="CN778" s="11"/>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c r="AB779" s="6"/>
      <c r="AC779" s="6"/>
      <c r="AD779" s="6"/>
      <c r="AE779" s="6"/>
      <c r="AF779" s="6"/>
      <c r="AG779" s="6"/>
      <c r="AH779" s="6"/>
      <c r="AI779" s="6"/>
      <c r="AJ779" s="6"/>
      <c r="AK779" s="6"/>
      <c r="AL779" s="6"/>
      <c r="AM779" s="6"/>
      <c r="AN779" s="6"/>
      <c r="AO779" s="6"/>
      <c r="AP779" s="6"/>
      <c r="AQ779" s="6"/>
      <c r="AR779" s="6"/>
      <c r="AS779" s="6"/>
      <c r="AT779" s="6"/>
      <c r="AU779" s="6"/>
      <c r="AV779" s="6"/>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11"/>
      <c r="BX779" s="11"/>
      <c r="BY779" s="11"/>
      <c r="BZ779" s="11"/>
      <c r="CA779" s="11"/>
      <c r="CB779" s="11"/>
      <c r="CC779" s="11"/>
      <c r="CD779" s="11"/>
      <c r="CE779" s="11"/>
      <c r="CF779" s="11"/>
      <c r="CG779" s="11"/>
      <c r="CH779" s="11"/>
      <c r="CI779" s="11"/>
      <c r="CJ779" s="11"/>
      <c r="CK779" s="11"/>
      <c r="CL779" s="11"/>
      <c r="CM779" s="11"/>
      <c r="CN779" s="11"/>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c r="AV780" s="6"/>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11"/>
      <c r="BX780" s="11"/>
      <c r="BY780" s="11"/>
      <c r="BZ780" s="11"/>
      <c r="CA780" s="11"/>
      <c r="CB780" s="11"/>
      <c r="CC780" s="11"/>
      <c r="CD780" s="11"/>
      <c r="CE780" s="11"/>
      <c r="CF780" s="11"/>
      <c r="CG780" s="11"/>
      <c r="CH780" s="11"/>
      <c r="CI780" s="11"/>
      <c r="CJ780" s="11"/>
      <c r="CK780" s="11"/>
      <c r="CL780" s="11"/>
      <c r="CM780" s="11"/>
      <c r="CN780" s="11"/>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c r="AB781" s="6"/>
      <c r="AC781" s="6"/>
      <c r="AD781" s="6"/>
      <c r="AE781" s="6"/>
      <c r="AF781" s="6"/>
      <c r="AG781" s="6"/>
      <c r="AH781" s="6"/>
      <c r="AI781" s="6"/>
      <c r="AJ781" s="6"/>
      <c r="AK781" s="6"/>
      <c r="AL781" s="6"/>
      <c r="AM781" s="6"/>
      <c r="AN781" s="6"/>
      <c r="AO781" s="6"/>
      <c r="AP781" s="6"/>
      <c r="AQ781" s="6"/>
      <c r="AR781" s="6"/>
      <c r="AS781" s="6"/>
      <c r="AT781" s="6"/>
      <c r="AU781" s="6"/>
      <c r="AV781" s="6"/>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11"/>
      <c r="BX781" s="11"/>
      <c r="BY781" s="11"/>
      <c r="BZ781" s="11"/>
      <c r="CA781" s="11"/>
      <c r="CB781" s="11"/>
      <c r="CC781" s="11"/>
      <c r="CD781" s="11"/>
      <c r="CE781" s="11"/>
      <c r="CF781" s="11"/>
      <c r="CG781" s="11"/>
      <c r="CH781" s="11"/>
      <c r="CI781" s="11"/>
      <c r="CJ781" s="11"/>
      <c r="CK781" s="11"/>
      <c r="CL781" s="11"/>
      <c r="CM781" s="11"/>
      <c r="CN781" s="11"/>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c r="AV782" s="6"/>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11"/>
      <c r="BX782" s="11"/>
      <c r="BY782" s="11"/>
      <c r="BZ782" s="11"/>
      <c r="CA782" s="11"/>
      <c r="CB782" s="11"/>
      <c r="CC782" s="11"/>
      <c r="CD782" s="11"/>
      <c r="CE782" s="11"/>
      <c r="CF782" s="11"/>
      <c r="CG782" s="11"/>
      <c r="CH782" s="11"/>
      <c r="CI782" s="11"/>
      <c r="CJ782" s="11"/>
      <c r="CK782" s="11"/>
      <c r="CL782" s="11"/>
      <c r="CM782" s="11"/>
      <c r="CN782" s="11"/>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c r="AB783" s="6"/>
      <c r="AC783" s="6"/>
      <c r="AD783" s="6"/>
      <c r="AE783" s="6"/>
      <c r="AF783" s="6"/>
      <c r="AG783" s="6"/>
      <c r="AH783" s="6"/>
      <c r="AI783" s="6"/>
      <c r="AJ783" s="6"/>
      <c r="AK783" s="6"/>
      <c r="AL783" s="6"/>
      <c r="AM783" s="6"/>
      <c r="AN783" s="6"/>
      <c r="AO783" s="6"/>
      <c r="AP783" s="6"/>
      <c r="AQ783" s="6"/>
      <c r="AR783" s="6"/>
      <c r="AS783" s="6"/>
      <c r="AT783" s="6"/>
      <c r="AU783" s="6"/>
      <c r="AV783" s="6"/>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11"/>
      <c r="BX783" s="11"/>
      <c r="BY783" s="11"/>
      <c r="BZ783" s="11"/>
      <c r="CA783" s="11"/>
      <c r="CB783" s="11"/>
      <c r="CC783" s="11"/>
      <c r="CD783" s="11"/>
      <c r="CE783" s="11"/>
      <c r="CF783" s="11"/>
      <c r="CG783" s="11"/>
      <c r="CH783" s="11"/>
      <c r="CI783" s="11"/>
      <c r="CJ783" s="11"/>
      <c r="CK783" s="11"/>
      <c r="CL783" s="11"/>
      <c r="CM783" s="11"/>
      <c r="CN783" s="11"/>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c r="AV784" s="6"/>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11"/>
      <c r="BX784" s="11"/>
      <c r="BY784" s="11"/>
      <c r="BZ784" s="11"/>
      <c r="CA784" s="11"/>
      <c r="CB784" s="11"/>
      <c r="CC784" s="11"/>
      <c r="CD784" s="11"/>
      <c r="CE784" s="11"/>
      <c r="CF784" s="11"/>
      <c r="CG784" s="11"/>
      <c r="CH784" s="11"/>
      <c r="CI784" s="11"/>
      <c r="CJ784" s="11"/>
      <c r="CK784" s="11"/>
      <c r="CL784" s="11"/>
      <c r="CM784" s="11"/>
      <c r="CN784" s="11"/>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c r="AB785" s="6"/>
      <c r="AC785" s="6"/>
      <c r="AD785" s="6"/>
      <c r="AE785" s="6"/>
      <c r="AF785" s="6"/>
      <c r="AG785" s="6"/>
      <c r="AH785" s="6"/>
      <c r="AI785" s="6"/>
      <c r="AJ785" s="6"/>
      <c r="AK785" s="6"/>
      <c r="AL785" s="6"/>
      <c r="AM785" s="6"/>
      <c r="AN785" s="6"/>
      <c r="AO785" s="6"/>
      <c r="AP785" s="6"/>
      <c r="AQ785" s="6"/>
      <c r="AR785" s="6"/>
      <c r="AS785" s="6"/>
      <c r="AT785" s="6"/>
      <c r="AU785" s="6"/>
      <c r="AV785" s="6"/>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11"/>
      <c r="BX785" s="11"/>
      <c r="BY785" s="11"/>
      <c r="BZ785" s="11"/>
      <c r="CA785" s="11"/>
      <c r="CB785" s="11"/>
      <c r="CC785" s="11"/>
      <c r="CD785" s="11"/>
      <c r="CE785" s="11"/>
      <c r="CF785" s="11"/>
      <c r="CG785" s="11"/>
      <c r="CH785" s="11"/>
      <c r="CI785" s="11"/>
      <c r="CJ785" s="11"/>
      <c r="CK785" s="11"/>
      <c r="CL785" s="11"/>
      <c r="CM785" s="11"/>
      <c r="CN785" s="11"/>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c r="AV786" s="6"/>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11"/>
      <c r="BX786" s="11"/>
      <c r="BY786" s="11"/>
      <c r="BZ786" s="11"/>
      <c r="CA786" s="11"/>
      <c r="CB786" s="11"/>
      <c r="CC786" s="11"/>
      <c r="CD786" s="11"/>
      <c r="CE786" s="11"/>
      <c r="CF786" s="11"/>
      <c r="CG786" s="11"/>
      <c r="CH786" s="11"/>
      <c r="CI786" s="11"/>
      <c r="CJ786" s="11"/>
      <c r="CK786" s="11"/>
      <c r="CL786" s="11"/>
      <c r="CM786" s="11"/>
      <c r="CN786" s="11"/>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c r="AB787" s="6"/>
      <c r="AC787" s="6"/>
      <c r="AD787" s="6"/>
      <c r="AE787" s="6"/>
      <c r="AF787" s="6"/>
      <c r="AG787" s="6"/>
      <c r="AH787" s="6"/>
      <c r="AI787" s="6"/>
      <c r="AJ787" s="6"/>
      <c r="AK787" s="6"/>
      <c r="AL787" s="6"/>
      <c r="AM787" s="6"/>
      <c r="AN787" s="6"/>
      <c r="AO787" s="6"/>
      <c r="AP787" s="6"/>
      <c r="AQ787" s="6"/>
      <c r="AR787" s="6"/>
      <c r="AS787" s="6"/>
      <c r="AT787" s="6"/>
      <c r="AU787" s="6"/>
      <c r="AV787" s="6"/>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11"/>
      <c r="BX787" s="11"/>
      <c r="BY787" s="11"/>
      <c r="BZ787" s="11"/>
      <c r="CA787" s="11"/>
      <c r="CB787" s="11"/>
      <c r="CC787" s="11"/>
      <c r="CD787" s="11"/>
      <c r="CE787" s="11"/>
      <c r="CF787" s="11"/>
      <c r="CG787" s="11"/>
      <c r="CH787" s="11"/>
      <c r="CI787" s="11"/>
      <c r="CJ787" s="11"/>
      <c r="CK787" s="11"/>
      <c r="CL787" s="11"/>
      <c r="CM787" s="11"/>
      <c r="CN787" s="11"/>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c r="AV788" s="6"/>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11"/>
      <c r="BX788" s="11"/>
      <c r="BY788" s="11"/>
      <c r="BZ788" s="11"/>
      <c r="CA788" s="11"/>
      <c r="CB788" s="11"/>
      <c r="CC788" s="11"/>
      <c r="CD788" s="11"/>
      <c r="CE788" s="11"/>
      <c r="CF788" s="11"/>
      <c r="CG788" s="11"/>
      <c r="CH788" s="11"/>
      <c r="CI788" s="11"/>
      <c r="CJ788" s="11"/>
      <c r="CK788" s="11"/>
      <c r="CL788" s="11"/>
      <c r="CM788" s="11"/>
      <c r="CN788" s="11"/>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c r="AB789" s="6"/>
      <c r="AC789" s="6"/>
      <c r="AD789" s="6"/>
      <c r="AE789" s="6"/>
      <c r="AF789" s="6"/>
      <c r="AG789" s="6"/>
      <c r="AH789" s="6"/>
      <c r="AI789" s="6"/>
      <c r="AJ789" s="6"/>
      <c r="AK789" s="6"/>
      <c r="AL789" s="6"/>
      <c r="AM789" s="6"/>
      <c r="AN789" s="6"/>
      <c r="AO789" s="6"/>
      <c r="AP789" s="6"/>
      <c r="AQ789" s="6"/>
      <c r="AR789" s="6"/>
      <c r="AS789" s="6"/>
      <c r="AT789" s="6"/>
      <c r="AU789" s="6"/>
      <c r="AV789" s="6"/>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11"/>
      <c r="BX789" s="11"/>
      <c r="BY789" s="11"/>
      <c r="BZ789" s="11"/>
      <c r="CA789" s="11"/>
      <c r="CB789" s="11"/>
      <c r="CC789" s="11"/>
      <c r="CD789" s="11"/>
      <c r="CE789" s="11"/>
      <c r="CF789" s="11"/>
      <c r="CG789" s="11"/>
      <c r="CH789" s="11"/>
      <c r="CI789" s="11"/>
      <c r="CJ789" s="11"/>
      <c r="CK789" s="11"/>
      <c r="CL789" s="11"/>
      <c r="CM789" s="11"/>
      <c r="CN789" s="11"/>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c r="AV790" s="6"/>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11"/>
      <c r="BX790" s="11"/>
      <c r="BY790" s="11"/>
      <c r="BZ790" s="11"/>
      <c r="CA790" s="11"/>
      <c r="CB790" s="11"/>
      <c r="CC790" s="11"/>
      <c r="CD790" s="11"/>
      <c r="CE790" s="11"/>
      <c r="CF790" s="11"/>
      <c r="CG790" s="11"/>
      <c r="CH790" s="11"/>
      <c r="CI790" s="11"/>
      <c r="CJ790" s="11"/>
      <c r="CK790" s="11"/>
      <c r="CL790" s="11"/>
      <c r="CM790" s="11"/>
      <c r="CN790" s="11"/>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c r="AB791" s="6"/>
      <c r="AC791" s="6"/>
      <c r="AD791" s="6"/>
      <c r="AE791" s="6"/>
      <c r="AF791" s="6"/>
      <c r="AG791" s="6"/>
      <c r="AH791" s="6"/>
      <c r="AI791" s="6"/>
      <c r="AJ791" s="6"/>
      <c r="AK791" s="6"/>
      <c r="AL791" s="6"/>
      <c r="AM791" s="6"/>
      <c r="AN791" s="6"/>
      <c r="AO791" s="6"/>
      <c r="AP791" s="6"/>
      <c r="AQ791" s="6"/>
      <c r="AR791" s="6"/>
      <c r="AS791" s="6"/>
      <c r="AT791" s="6"/>
      <c r="AU791" s="6"/>
      <c r="AV791" s="6"/>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11"/>
      <c r="BX791" s="11"/>
      <c r="BY791" s="11"/>
      <c r="BZ791" s="11"/>
      <c r="CA791" s="11"/>
      <c r="CB791" s="11"/>
      <c r="CC791" s="11"/>
      <c r="CD791" s="11"/>
      <c r="CE791" s="11"/>
      <c r="CF791" s="11"/>
      <c r="CG791" s="11"/>
      <c r="CH791" s="11"/>
      <c r="CI791" s="11"/>
      <c r="CJ791" s="11"/>
      <c r="CK791" s="11"/>
      <c r="CL791" s="11"/>
      <c r="CM791" s="11"/>
      <c r="CN791" s="11"/>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c r="AV792" s="6"/>
      <c r="AW792" s="6"/>
      <c r="AX792" s="6"/>
      <c r="AY792" s="6"/>
      <c r="AZ792" s="6"/>
      <c r="BA792" s="6"/>
      <c r="BB792" s="6"/>
      <c r="BC792" s="6"/>
      <c r="BD792" s="6"/>
      <c r="BE792" s="6"/>
      <c r="BF792" s="6"/>
      <c r="BG792" s="6"/>
      <c r="BH792" s="6"/>
      <c r="BI792" s="6"/>
      <c r="BJ792" s="6"/>
      <c r="BK792" s="6"/>
      <c r="BL792" s="6"/>
      <c r="BM792" s="6"/>
      <c r="BN792" s="6"/>
      <c r="BO792" s="6"/>
      <c r="BP792" s="6"/>
      <c r="BQ792" s="6"/>
      <c r="BR792" s="6"/>
      <c r="BS792" s="6"/>
      <c r="BT792" s="6"/>
      <c r="BU792" s="6"/>
      <c r="BV792" s="6"/>
      <c r="BW792" s="11"/>
      <c r="BX792" s="11"/>
      <c r="BY792" s="11"/>
      <c r="BZ792" s="11"/>
      <c r="CA792" s="11"/>
      <c r="CB792" s="11"/>
      <c r="CC792" s="11"/>
      <c r="CD792" s="11"/>
      <c r="CE792" s="11"/>
      <c r="CF792" s="11"/>
      <c r="CG792" s="11"/>
      <c r="CH792" s="11"/>
      <c r="CI792" s="11"/>
      <c r="CJ792" s="11"/>
      <c r="CK792" s="11"/>
      <c r="CL792" s="11"/>
      <c r="CM792" s="11"/>
      <c r="CN792" s="11"/>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c r="AB793" s="6"/>
      <c r="AC793" s="6"/>
      <c r="AD793" s="6"/>
      <c r="AE793" s="6"/>
      <c r="AF793" s="6"/>
      <c r="AG793" s="6"/>
      <c r="AH793" s="6"/>
      <c r="AI793" s="6"/>
      <c r="AJ793" s="6"/>
      <c r="AK793" s="6"/>
      <c r="AL793" s="6"/>
      <c r="AM793" s="6"/>
      <c r="AN793" s="6"/>
      <c r="AO793" s="6"/>
      <c r="AP793" s="6"/>
      <c r="AQ793" s="6"/>
      <c r="AR793" s="6"/>
      <c r="AS793" s="6"/>
      <c r="AT793" s="6"/>
      <c r="AU793" s="6"/>
      <c r="AV793" s="6"/>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11"/>
      <c r="BX793" s="11"/>
      <c r="BY793" s="11"/>
      <c r="BZ793" s="11"/>
      <c r="CA793" s="11"/>
      <c r="CB793" s="11"/>
      <c r="CC793" s="11"/>
      <c r="CD793" s="11"/>
      <c r="CE793" s="11"/>
      <c r="CF793" s="11"/>
      <c r="CG793" s="11"/>
      <c r="CH793" s="11"/>
      <c r="CI793" s="11"/>
      <c r="CJ793" s="11"/>
      <c r="CK793" s="11"/>
      <c r="CL793" s="11"/>
      <c r="CM793" s="11"/>
      <c r="CN793" s="11"/>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c r="AV794" s="6"/>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11"/>
      <c r="BX794" s="11"/>
      <c r="BY794" s="11"/>
      <c r="BZ794" s="11"/>
      <c r="CA794" s="11"/>
      <c r="CB794" s="11"/>
      <c r="CC794" s="11"/>
      <c r="CD794" s="11"/>
      <c r="CE794" s="11"/>
      <c r="CF794" s="11"/>
      <c r="CG794" s="11"/>
      <c r="CH794" s="11"/>
      <c r="CI794" s="11"/>
      <c r="CJ794" s="11"/>
      <c r="CK794" s="11"/>
      <c r="CL794" s="11"/>
      <c r="CM794" s="11"/>
      <c r="CN794" s="11"/>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c r="AB795" s="6"/>
      <c r="AC795" s="6"/>
      <c r="AD795" s="6"/>
      <c r="AE795" s="6"/>
      <c r="AF795" s="6"/>
      <c r="AG795" s="6"/>
      <c r="AH795" s="6"/>
      <c r="AI795" s="6"/>
      <c r="AJ795" s="6"/>
      <c r="AK795" s="6"/>
      <c r="AL795" s="6"/>
      <c r="AM795" s="6"/>
      <c r="AN795" s="6"/>
      <c r="AO795" s="6"/>
      <c r="AP795" s="6"/>
      <c r="AQ795" s="6"/>
      <c r="AR795" s="6"/>
      <c r="AS795" s="6"/>
      <c r="AT795" s="6"/>
      <c r="AU795" s="6"/>
      <c r="AV795" s="6"/>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11"/>
      <c r="BX795" s="11"/>
      <c r="BY795" s="11"/>
      <c r="BZ795" s="11"/>
      <c r="CA795" s="11"/>
      <c r="CB795" s="11"/>
      <c r="CC795" s="11"/>
      <c r="CD795" s="11"/>
      <c r="CE795" s="11"/>
      <c r="CF795" s="11"/>
      <c r="CG795" s="11"/>
      <c r="CH795" s="11"/>
      <c r="CI795" s="11"/>
      <c r="CJ795" s="11"/>
      <c r="CK795" s="11"/>
      <c r="CL795" s="11"/>
      <c r="CM795" s="11"/>
      <c r="CN795" s="11"/>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c r="AV796" s="6"/>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11"/>
      <c r="BX796" s="11"/>
      <c r="BY796" s="11"/>
      <c r="BZ796" s="11"/>
      <c r="CA796" s="11"/>
      <c r="CB796" s="11"/>
      <c r="CC796" s="11"/>
      <c r="CD796" s="11"/>
      <c r="CE796" s="11"/>
      <c r="CF796" s="11"/>
      <c r="CG796" s="11"/>
      <c r="CH796" s="11"/>
      <c r="CI796" s="11"/>
      <c r="CJ796" s="11"/>
      <c r="CK796" s="11"/>
      <c r="CL796" s="11"/>
      <c r="CM796" s="11"/>
      <c r="CN796" s="11"/>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c r="AB797" s="6"/>
      <c r="AC797" s="6"/>
      <c r="AD797" s="6"/>
      <c r="AE797" s="6"/>
      <c r="AF797" s="6"/>
      <c r="AG797" s="6"/>
      <c r="AH797" s="6"/>
      <c r="AI797" s="6"/>
      <c r="AJ797" s="6"/>
      <c r="AK797" s="6"/>
      <c r="AL797" s="6"/>
      <c r="AM797" s="6"/>
      <c r="AN797" s="6"/>
      <c r="AO797" s="6"/>
      <c r="AP797" s="6"/>
      <c r="AQ797" s="6"/>
      <c r="AR797" s="6"/>
      <c r="AS797" s="6"/>
      <c r="AT797" s="6"/>
      <c r="AU797" s="6"/>
      <c r="AV797" s="6"/>
      <c r="AW797" s="6"/>
      <c r="AX797" s="6"/>
      <c r="AY797" s="6"/>
      <c r="AZ797" s="6"/>
      <c r="BA797" s="6"/>
      <c r="BB797" s="6"/>
      <c r="BC797" s="6"/>
      <c r="BD797" s="6"/>
      <c r="BE797" s="6"/>
      <c r="BF797" s="6"/>
      <c r="BG797" s="6"/>
      <c r="BH797" s="6"/>
      <c r="BI797" s="6"/>
      <c r="BJ797" s="6"/>
      <c r="BK797" s="6"/>
      <c r="BL797" s="6"/>
      <c r="BM797" s="6"/>
      <c r="BN797" s="6"/>
      <c r="BO797" s="6"/>
      <c r="BP797" s="6"/>
      <c r="BQ797" s="6"/>
      <c r="BR797" s="6"/>
      <c r="BS797" s="6"/>
      <c r="BT797" s="6"/>
      <c r="BU797" s="6"/>
      <c r="BV797" s="6"/>
      <c r="BW797" s="11"/>
      <c r="BX797" s="11"/>
      <c r="BY797" s="11"/>
      <c r="BZ797" s="11"/>
      <c r="CA797" s="11"/>
      <c r="CB797" s="11"/>
      <c r="CC797" s="11"/>
      <c r="CD797" s="11"/>
      <c r="CE797" s="11"/>
      <c r="CF797" s="11"/>
      <c r="CG797" s="11"/>
      <c r="CH797" s="11"/>
      <c r="CI797" s="11"/>
      <c r="CJ797" s="11"/>
      <c r="CK797" s="11"/>
      <c r="CL797" s="11"/>
      <c r="CM797" s="11"/>
      <c r="CN797" s="11"/>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c r="AV798" s="6"/>
      <c r="AW798" s="6"/>
      <c r="AX798" s="6"/>
      <c r="AY798" s="6"/>
      <c r="AZ798" s="6"/>
      <c r="BA798" s="6"/>
      <c r="BB798" s="6"/>
      <c r="BC798" s="6"/>
      <c r="BD798" s="6"/>
      <c r="BE798" s="6"/>
      <c r="BF798" s="6"/>
      <c r="BG798" s="6"/>
      <c r="BH798" s="6"/>
      <c r="BI798" s="6"/>
      <c r="BJ798" s="6"/>
      <c r="BK798" s="6"/>
      <c r="BL798" s="6"/>
      <c r="BM798" s="6"/>
      <c r="BN798" s="6"/>
      <c r="BO798" s="6"/>
      <c r="BP798" s="6"/>
      <c r="BQ798" s="6"/>
      <c r="BR798" s="6"/>
      <c r="BS798" s="6"/>
      <c r="BT798" s="6"/>
      <c r="BU798" s="6"/>
      <c r="BV798" s="6"/>
      <c r="BW798" s="11"/>
      <c r="BX798" s="11"/>
      <c r="BY798" s="11"/>
      <c r="BZ798" s="11"/>
      <c r="CA798" s="11"/>
      <c r="CB798" s="11"/>
      <c r="CC798" s="11"/>
      <c r="CD798" s="11"/>
      <c r="CE798" s="11"/>
      <c r="CF798" s="11"/>
      <c r="CG798" s="11"/>
      <c r="CH798" s="11"/>
      <c r="CI798" s="11"/>
      <c r="CJ798" s="11"/>
      <c r="CK798" s="11"/>
      <c r="CL798" s="11"/>
      <c r="CM798" s="11"/>
      <c r="CN798" s="11"/>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c r="AB799" s="6"/>
      <c r="AC799" s="6"/>
      <c r="AD799" s="6"/>
      <c r="AE799" s="6"/>
      <c r="AF799" s="6"/>
      <c r="AG799" s="6"/>
      <c r="AH799" s="6"/>
      <c r="AI799" s="6"/>
      <c r="AJ799" s="6"/>
      <c r="AK799" s="6"/>
      <c r="AL799" s="6"/>
      <c r="AM799" s="6"/>
      <c r="AN799" s="6"/>
      <c r="AO799" s="6"/>
      <c r="AP799" s="6"/>
      <c r="AQ799" s="6"/>
      <c r="AR799" s="6"/>
      <c r="AS799" s="6"/>
      <c r="AT799" s="6"/>
      <c r="AU799" s="6"/>
      <c r="AV799" s="6"/>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11"/>
      <c r="BX799" s="11"/>
      <c r="BY799" s="11"/>
      <c r="BZ799" s="11"/>
      <c r="CA799" s="11"/>
      <c r="CB799" s="11"/>
      <c r="CC799" s="11"/>
      <c r="CD799" s="11"/>
      <c r="CE799" s="11"/>
      <c r="CF799" s="11"/>
      <c r="CG799" s="11"/>
      <c r="CH799" s="11"/>
      <c r="CI799" s="11"/>
      <c r="CJ799" s="11"/>
      <c r="CK799" s="11"/>
      <c r="CL799" s="11"/>
      <c r="CM799" s="11"/>
      <c r="CN799" s="11"/>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c r="AV800" s="6"/>
      <c r="AW800" s="6"/>
      <c r="AX800" s="6"/>
      <c r="AY800" s="6"/>
      <c r="AZ800" s="6"/>
      <c r="BA800" s="6"/>
      <c r="BB800" s="6"/>
      <c r="BC800" s="6"/>
      <c r="BD800" s="6"/>
      <c r="BE800" s="6"/>
      <c r="BF800" s="6"/>
      <c r="BG800" s="6"/>
      <c r="BH800" s="6"/>
      <c r="BI800" s="6"/>
      <c r="BJ800" s="6"/>
      <c r="BK800" s="6"/>
      <c r="BL800" s="6"/>
      <c r="BM800" s="6"/>
      <c r="BN800" s="6"/>
      <c r="BO800" s="6"/>
      <c r="BP800" s="6"/>
      <c r="BQ800" s="6"/>
      <c r="BR800" s="6"/>
      <c r="BS800" s="6"/>
      <c r="BT800" s="6"/>
      <c r="BU800" s="6"/>
      <c r="BV800" s="6"/>
      <c r="BW800" s="11"/>
      <c r="BX800" s="11"/>
      <c r="BY800" s="11"/>
      <c r="BZ800" s="11"/>
      <c r="CA800" s="11"/>
      <c r="CB800" s="11"/>
      <c r="CC800" s="11"/>
      <c r="CD800" s="11"/>
      <c r="CE800" s="11"/>
      <c r="CF800" s="11"/>
      <c r="CG800" s="11"/>
      <c r="CH800" s="11"/>
      <c r="CI800" s="11"/>
      <c r="CJ800" s="11"/>
      <c r="CK800" s="11"/>
      <c r="CL800" s="11"/>
      <c r="CM800" s="11"/>
      <c r="CN800" s="11"/>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c r="AB801" s="6"/>
      <c r="AC801" s="6"/>
      <c r="AD801" s="6"/>
      <c r="AE801" s="6"/>
      <c r="AF801" s="6"/>
      <c r="AG801" s="6"/>
      <c r="AH801" s="6"/>
      <c r="AI801" s="6"/>
      <c r="AJ801" s="6"/>
      <c r="AK801" s="6"/>
      <c r="AL801" s="6"/>
      <c r="AM801" s="6"/>
      <c r="AN801" s="6"/>
      <c r="AO801" s="6"/>
      <c r="AP801" s="6"/>
      <c r="AQ801" s="6"/>
      <c r="AR801" s="6"/>
      <c r="AS801" s="6"/>
      <c r="AT801" s="6"/>
      <c r="AU801" s="6"/>
      <c r="AV801" s="6"/>
      <c r="AW801" s="6"/>
      <c r="AX801" s="6"/>
      <c r="AY801" s="6"/>
      <c r="AZ801" s="6"/>
      <c r="BA801" s="6"/>
      <c r="BB801" s="6"/>
      <c r="BC801" s="6"/>
      <c r="BD801" s="6"/>
      <c r="BE801" s="6"/>
      <c r="BF801" s="6"/>
      <c r="BG801" s="6"/>
      <c r="BH801" s="6"/>
      <c r="BI801" s="6"/>
      <c r="BJ801" s="6"/>
      <c r="BK801" s="6"/>
      <c r="BL801" s="6"/>
      <c r="BM801" s="6"/>
      <c r="BN801" s="6"/>
      <c r="BO801" s="6"/>
      <c r="BP801" s="6"/>
      <c r="BQ801" s="6"/>
      <c r="BR801" s="6"/>
      <c r="BS801" s="6"/>
      <c r="BT801" s="6"/>
      <c r="BU801" s="6"/>
      <c r="BV801" s="6"/>
      <c r="BW801" s="11"/>
      <c r="BX801" s="11"/>
      <c r="BY801" s="11"/>
      <c r="BZ801" s="11"/>
      <c r="CA801" s="11"/>
      <c r="CB801" s="11"/>
      <c r="CC801" s="11"/>
      <c r="CD801" s="11"/>
      <c r="CE801" s="11"/>
      <c r="CF801" s="11"/>
      <c r="CG801" s="11"/>
      <c r="CH801" s="11"/>
      <c r="CI801" s="11"/>
      <c r="CJ801" s="11"/>
      <c r="CK801" s="11"/>
      <c r="CL801" s="11"/>
      <c r="CM801" s="11"/>
      <c r="CN801" s="11"/>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c r="AV802" s="6"/>
      <c r="AW802" s="6"/>
      <c r="AX802" s="6"/>
      <c r="AY802" s="6"/>
      <c r="AZ802" s="6"/>
      <c r="BA802" s="6"/>
      <c r="BB802" s="6"/>
      <c r="BC802" s="6"/>
      <c r="BD802" s="6"/>
      <c r="BE802" s="6"/>
      <c r="BF802" s="6"/>
      <c r="BG802" s="6"/>
      <c r="BH802" s="6"/>
      <c r="BI802" s="6"/>
      <c r="BJ802" s="6"/>
      <c r="BK802" s="6"/>
      <c r="BL802" s="6"/>
      <c r="BM802" s="6"/>
      <c r="BN802" s="6"/>
      <c r="BO802" s="6"/>
      <c r="BP802" s="6"/>
      <c r="BQ802" s="6"/>
      <c r="BR802" s="6"/>
      <c r="BS802" s="6"/>
      <c r="BT802" s="6"/>
      <c r="BU802" s="6"/>
      <c r="BV802" s="6"/>
      <c r="BW802" s="11"/>
      <c r="BX802" s="11"/>
      <c r="BY802" s="11"/>
      <c r="BZ802" s="11"/>
      <c r="CA802" s="11"/>
      <c r="CB802" s="11"/>
      <c r="CC802" s="11"/>
      <c r="CD802" s="11"/>
      <c r="CE802" s="11"/>
      <c r="CF802" s="11"/>
      <c r="CG802" s="11"/>
      <c r="CH802" s="11"/>
      <c r="CI802" s="11"/>
      <c r="CJ802" s="11"/>
      <c r="CK802" s="11"/>
      <c r="CL802" s="11"/>
      <c r="CM802" s="11"/>
      <c r="CN802" s="11"/>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c r="AB803" s="6"/>
      <c r="AC803" s="6"/>
      <c r="AD803" s="6"/>
      <c r="AE803" s="6"/>
      <c r="AF803" s="6"/>
      <c r="AG803" s="6"/>
      <c r="AH803" s="6"/>
      <c r="AI803" s="6"/>
      <c r="AJ803" s="6"/>
      <c r="AK803" s="6"/>
      <c r="AL803" s="6"/>
      <c r="AM803" s="6"/>
      <c r="AN803" s="6"/>
      <c r="AO803" s="6"/>
      <c r="AP803" s="6"/>
      <c r="AQ803" s="6"/>
      <c r="AR803" s="6"/>
      <c r="AS803" s="6"/>
      <c r="AT803" s="6"/>
      <c r="AU803" s="6"/>
      <c r="AV803" s="6"/>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11"/>
      <c r="BX803" s="11"/>
      <c r="BY803" s="11"/>
      <c r="BZ803" s="11"/>
      <c r="CA803" s="11"/>
      <c r="CB803" s="11"/>
      <c r="CC803" s="11"/>
      <c r="CD803" s="11"/>
      <c r="CE803" s="11"/>
      <c r="CF803" s="11"/>
      <c r="CG803" s="11"/>
      <c r="CH803" s="11"/>
      <c r="CI803" s="11"/>
      <c r="CJ803" s="11"/>
      <c r="CK803" s="11"/>
      <c r="CL803" s="11"/>
      <c r="CM803" s="11"/>
      <c r="CN803" s="11"/>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c r="AV804" s="6"/>
      <c r="AW804" s="6"/>
      <c r="AX804" s="6"/>
      <c r="AY804" s="6"/>
      <c r="AZ804" s="6"/>
      <c r="BA804" s="6"/>
      <c r="BB804" s="6"/>
      <c r="BC804" s="6"/>
      <c r="BD804" s="6"/>
      <c r="BE804" s="6"/>
      <c r="BF804" s="6"/>
      <c r="BG804" s="6"/>
      <c r="BH804" s="6"/>
      <c r="BI804" s="6"/>
      <c r="BJ804" s="6"/>
      <c r="BK804" s="6"/>
      <c r="BL804" s="6"/>
      <c r="BM804" s="6"/>
      <c r="BN804" s="6"/>
      <c r="BO804" s="6"/>
      <c r="BP804" s="6"/>
      <c r="BQ804" s="6"/>
      <c r="BR804" s="6"/>
      <c r="BS804" s="6"/>
      <c r="BT804" s="6"/>
      <c r="BU804" s="6"/>
      <c r="BV804" s="6"/>
      <c r="BW804" s="11"/>
      <c r="BX804" s="11"/>
      <c r="BY804" s="11"/>
      <c r="BZ804" s="11"/>
      <c r="CA804" s="11"/>
      <c r="CB804" s="11"/>
      <c r="CC804" s="11"/>
      <c r="CD804" s="11"/>
      <c r="CE804" s="11"/>
      <c r="CF804" s="11"/>
      <c r="CG804" s="11"/>
      <c r="CH804" s="11"/>
      <c r="CI804" s="11"/>
      <c r="CJ804" s="11"/>
      <c r="CK804" s="11"/>
      <c r="CL804" s="11"/>
      <c r="CM804" s="11"/>
      <c r="CN804" s="11"/>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c r="AB805" s="6"/>
      <c r="AC805" s="6"/>
      <c r="AD805" s="6"/>
      <c r="AE805" s="6"/>
      <c r="AF805" s="6"/>
      <c r="AG805" s="6"/>
      <c r="AH805" s="6"/>
      <c r="AI805" s="6"/>
      <c r="AJ805" s="6"/>
      <c r="AK805" s="6"/>
      <c r="AL805" s="6"/>
      <c r="AM805" s="6"/>
      <c r="AN805" s="6"/>
      <c r="AO805" s="6"/>
      <c r="AP805" s="6"/>
      <c r="AQ805" s="6"/>
      <c r="AR805" s="6"/>
      <c r="AS805" s="6"/>
      <c r="AT805" s="6"/>
      <c r="AU805" s="6"/>
      <c r="AV805" s="6"/>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11"/>
      <c r="BX805" s="11"/>
      <c r="BY805" s="11"/>
      <c r="BZ805" s="11"/>
      <c r="CA805" s="11"/>
      <c r="CB805" s="11"/>
      <c r="CC805" s="11"/>
      <c r="CD805" s="11"/>
      <c r="CE805" s="11"/>
      <c r="CF805" s="11"/>
      <c r="CG805" s="11"/>
      <c r="CH805" s="11"/>
      <c r="CI805" s="11"/>
      <c r="CJ805" s="11"/>
      <c r="CK805" s="11"/>
      <c r="CL805" s="11"/>
      <c r="CM805" s="11"/>
      <c r="CN805" s="11"/>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c r="AV806" s="6"/>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11"/>
      <c r="BX806" s="11"/>
      <c r="BY806" s="11"/>
      <c r="BZ806" s="11"/>
      <c r="CA806" s="11"/>
      <c r="CB806" s="11"/>
      <c r="CC806" s="11"/>
      <c r="CD806" s="11"/>
      <c r="CE806" s="11"/>
      <c r="CF806" s="11"/>
      <c r="CG806" s="11"/>
      <c r="CH806" s="11"/>
      <c r="CI806" s="11"/>
      <c r="CJ806" s="11"/>
      <c r="CK806" s="11"/>
      <c r="CL806" s="11"/>
      <c r="CM806" s="11"/>
      <c r="CN806" s="11"/>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c r="AB807" s="6"/>
      <c r="AC807" s="6"/>
      <c r="AD807" s="6"/>
      <c r="AE807" s="6"/>
      <c r="AF807" s="6"/>
      <c r="AG807" s="6"/>
      <c r="AH807" s="6"/>
      <c r="AI807" s="6"/>
      <c r="AJ807" s="6"/>
      <c r="AK807" s="6"/>
      <c r="AL807" s="6"/>
      <c r="AM807" s="6"/>
      <c r="AN807" s="6"/>
      <c r="AO807" s="6"/>
      <c r="AP807" s="6"/>
      <c r="AQ807" s="6"/>
      <c r="AR807" s="6"/>
      <c r="AS807" s="6"/>
      <c r="AT807" s="6"/>
      <c r="AU807" s="6"/>
      <c r="AV807" s="6"/>
      <c r="AW807" s="6"/>
      <c r="AX807" s="6"/>
      <c r="AY807" s="6"/>
      <c r="AZ807" s="6"/>
      <c r="BA807" s="6"/>
      <c r="BB807" s="6"/>
      <c r="BC807" s="6"/>
      <c r="BD807" s="6"/>
      <c r="BE807" s="6"/>
      <c r="BF807" s="6"/>
      <c r="BG807" s="6"/>
      <c r="BH807" s="6"/>
      <c r="BI807" s="6"/>
      <c r="BJ807" s="6"/>
      <c r="BK807" s="6"/>
      <c r="BL807" s="6"/>
      <c r="BM807" s="6"/>
      <c r="BN807" s="6"/>
      <c r="BO807" s="6"/>
      <c r="BP807" s="6"/>
      <c r="BQ807" s="6"/>
      <c r="BR807" s="6"/>
      <c r="BS807" s="6"/>
      <c r="BT807" s="6"/>
      <c r="BU807" s="6"/>
      <c r="BV807" s="6"/>
      <c r="BW807" s="11"/>
      <c r="BX807" s="11"/>
      <c r="BY807" s="11"/>
      <c r="BZ807" s="11"/>
      <c r="CA807" s="11"/>
      <c r="CB807" s="11"/>
      <c r="CC807" s="11"/>
      <c r="CD807" s="11"/>
      <c r="CE807" s="11"/>
      <c r="CF807" s="11"/>
      <c r="CG807" s="11"/>
      <c r="CH807" s="11"/>
      <c r="CI807" s="11"/>
      <c r="CJ807" s="11"/>
      <c r="CK807" s="11"/>
      <c r="CL807" s="11"/>
      <c r="CM807" s="11"/>
      <c r="CN807" s="11"/>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c r="AV808" s="6"/>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11"/>
      <c r="BX808" s="11"/>
      <c r="BY808" s="11"/>
      <c r="BZ808" s="11"/>
      <c r="CA808" s="11"/>
      <c r="CB808" s="11"/>
      <c r="CC808" s="11"/>
      <c r="CD808" s="11"/>
      <c r="CE808" s="11"/>
      <c r="CF808" s="11"/>
      <c r="CG808" s="11"/>
      <c r="CH808" s="11"/>
      <c r="CI808" s="11"/>
      <c r="CJ808" s="11"/>
      <c r="CK808" s="11"/>
      <c r="CL808" s="11"/>
      <c r="CM808" s="11"/>
      <c r="CN808" s="11"/>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c r="AB809" s="6"/>
      <c r="AC809" s="6"/>
      <c r="AD809" s="6"/>
      <c r="AE809" s="6"/>
      <c r="AF809" s="6"/>
      <c r="AG809" s="6"/>
      <c r="AH809" s="6"/>
      <c r="AI809" s="6"/>
      <c r="AJ809" s="6"/>
      <c r="AK809" s="6"/>
      <c r="AL809" s="6"/>
      <c r="AM809" s="6"/>
      <c r="AN809" s="6"/>
      <c r="AO809" s="6"/>
      <c r="AP809" s="6"/>
      <c r="AQ809" s="6"/>
      <c r="AR809" s="6"/>
      <c r="AS809" s="6"/>
      <c r="AT809" s="6"/>
      <c r="AU809" s="6"/>
      <c r="AV809" s="6"/>
      <c r="AW809" s="6"/>
      <c r="AX809" s="6"/>
      <c r="AY809" s="6"/>
      <c r="AZ809" s="6"/>
      <c r="BA809" s="6"/>
      <c r="BB809" s="6"/>
      <c r="BC809" s="6"/>
      <c r="BD809" s="6"/>
      <c r="BE809" s="6"/>
      <c r="BF809" s="6"/>
      <c r="BG809" s="6"/>
      <c r="BH809" s="6"/>
      <c r="BI809" s="6"/>
      <c r="BJ809" s="6"/>
      <c r="BK809" s="6"/>
      <c r="BL809" s="6"/>
      <c r="BM809" s="6"/>
      <c r="BN809" s="6"/>
      <c r="BO809" s="6"/>
      <c r="BP809" s="6"/>
      <c r="BQ809" s="6"/>
      <c r="BR809" s="6"/>
      <c r="BS809" s="6"/>
      <c r="BT809" s="6"/>
      <c r="BU809" s="6"/>
      <c r="BV809" s="6"/>
      <c r="BW809" s="11"/>
      <c r="BX809" s="11"/>
      <c r="BY809" s="11"/>
      <c r="BZ809" s="11"/>
      <c r="CA809" s="11"/>
      <c r="CB809" s="11"/>
      <c r="CC809" s="11"/>
      <c r="CD809" s="11"/>
      <c r="CE809" s="11"/>
      <c r="CF809" s="11"/>
      <c r="CG809" s="11"/>
      <c r="CH809" s="11"/>
      <c r="CI809" s="11"/>
      <c r="CJ809" s="11"/>
      <c r="CK809" s="11"/>
      <c r="CL809" s="11"/>
      <c r="CM809" s="11"/>
      <c r="CN809" s="11"/>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c r="AV810" s="6"/>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11"/>
      <c r="BX810" s="11"/>
      <c r="BY810" s="11"/>
      <c r="BZ810" s="11"/>
      <c r="CA810" s="11"/>
      <c r="CB810" s="11"/>
      <c r="CC810" s="11"/>
      <c r="CD810" s="11"/>
      <c r="CE810" s="11"/>
      <c r="CF810" s="11"/>
      <c r="CG810" s="11"/>
      <c r="CH810" s="11"/>
      <c r="CI810" s="11"/>
      <c r="CJ810" s="11"/>
      <c r="CK810" s="11"/>
      <c r="CL810" s="11"/>
      <c r="CM810" s="11"/>
      <c r="CN810" s="11"/>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c r="AB811" s="6"/>
      <c r="AC811" s="6"/>
      <c r="AD811" s="6"/>
      <c r="AE811" s="6"/>
      <c r="AF811" s="6"/>
      <c r="AG811" s="6"/>
      <c r="AH811" s="6"/>
      <c r="AI811" s="6"/>
      <c r="AJ811" s="6"/>
      <c r="AK811" s="6"/>
      <c r="AL811" s="6"/>
      <c r="AM811" s="6"/>
      <c r="AN811" s="6"/>
      <c r="AO811" s="6"/>
      <c r="AP811" s="6"/>
      <c r="AQ811" s="6"/>
      <c r="AR811" s="6"/>
      <c r="AS811" s="6"/>
      <c r="AT811" s="6"/>
      <c r="AU811" s="6"/>
      <c r="AV811" s="6"/>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11"/>
      <c r="BX811" s="11"/>
      <c r="BY811" s="11"/>
      <c r="BZ811" s="11"/>
      <c r="CA811" s="11"/>
      <c r="CB811" s="11"/>
      <c r="CC811" s="11"/>
      <c r="CD811" s="11"/>
      <c r="CE811" s="11"/>
      <c r="CF811" s="11"/>
      <c r="CG811" s="11"/>
      <c r="CH811" s="11"/>
      <c r="CI811" s="11"/>
      <c r="CJ811" s="11"/>
      <c r="CK811" s="11"/>
      <c r="CL811" s="11"/>
      <c r="CM811" s="11"/>
      <c r="CN811" s="11"/>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c r="AV812" s="6"/>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11"/>
      <c r="BX812" s="11"/>
      <c r="BY812" s="11"/>
      <c r="BZ812" s="11"/>
      <c r="CA812" s="11"/>
      <c r="CB812" s="11"/>
      <c r="CC812" s="11"/>
      <c r="CD812" s="11"/>
      <c r="CE812" s="11"/>
      <c r="CF812" s="11"/>
      <c r="CG812" s="11"/>
      <c r="CH812" s="11"/>
      <c r="CI812" s="11"/>
      <c r="CJ812" s="11"/>
      <c r="CK812" s="11"/>
      <c r="CL812" s="11"/>
      <c r="CM812" s="11"/>
      <c r="CN812" s="11"/>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c r="AB813" s="6"/>
      <c r="AC813" s="6"/>
      <c r="AD813" s="6"/>
      <c r="AE813" s="6"/>
      <c r="AF813" s="6"/>
      <c r="AG813" s="6"/>
      <c r="AH813" s="6"/>
      <c r="AI813" s="6"/>
      <c r="AJ813" s="6"/>
      <c r="AK813" s="6"/>
      <c r="AL813" s="6"/>
      <c r="AM813" s="6"/>
      <c r="AN813" s="6"/>
      <c r="AO813" s="6"/>
      <c r="AP813" s="6"/>
      <c r="AQ813" s="6"/>
      <c r="AR813" s="6"/>
      <c r="AS813" s="6"/>
      <c r="AT813" s="6"/>
      <c r="AU813" s="6"/>
      <c r="AV813" s="6"/>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11"/>
      <c r="BX813" s="11"/>
      <c r="BY813" s="11"/>
      <c r="BZ813" s="11"/>
      <c r="CA813" s="11"/>
      <c r="CB813" s="11"/>
      <c r="CC813" s="11"/>
      <c r="CD813" s="11"/>
      <c r="CE813" s="11"/>
      <c r="CF813" s="11"/>
      <c r="CG813" s="11"/>
      <c r="CH813" s="11"/>
      <c r="CI813" s="11"/>
      <c r="CJ813" s="11"/>
      <c r="CK813" s="11"/>
      <c r="CL813" s="11"/>
      <c r="CM813" s="11"/>
      <c r="CN813" s="11"/>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c r="AV814" s="6"/>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11"/>
      <c r="BX814" s="11"/>
      <c r="BY814" s="11"/>
      <c r="BZ814" s="11"/>
      <c r="CA814" s="11"/>
      <c r="CB814" s="11"/>
      <c r="CC814" s="11"/>
      <c r="CD814" s="11"/>
      <c r="CE814" s="11"/>
      <c r="CF814" s="11"/>
      <c r="CG814" s="11"/>
      <c r="CH814" s="11"/>
      <c r="CI814" s="11"/>
      <c r="CJ814" s="11"/>
      <c r="CK814" s="11"/>
      <c r="CL814" s="11"/>
      <c r="CM814" s="11"/>
      <c r="CN814" s="11"/>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c r="AB815" s="6"/>
      <c r="AC815" s="6"/>
      <c r="AD815" s="6"/>
      <c r="AE815" s="6"/>
      <c r="AF815" s="6"/>
      <c r="AG815" s="6"/>
      <c r="AH815" s="6"/>
      <c r="AI815" s="6"/>
      <c r="AJ815" s="6"/>
      <c r="AK815" s="6"/>
      <c r="AL815" s="6"/>
      <c r="AM815" s="6"/>
      <c r="AN815" s="6"/>
      <c r="AO815" s="6"/>
      <c r="AP815" s="6"/>
      <c r="AQ815" s="6"/>
      <c r="AR815" s="6"/>
      <c r="AS815" s="6"/>
      <c r="AT815" s="6"/>
      <c r="AU815" s="6"/>
      <c r="AV815" s="6"/>
      <c r="AW815" s="6"/>
      <c r="AX815" s="6"/>
      <c r="AY815" s="6"/>
      <c r="AZ815" s="6"/>
      <c r="BA815" s="6"/>
      <c r="BB815" s="6"/>
      <c r="BC815" s="6"/>
      <c r="BD815" s="6"/>
      <c r="BE815" s="6"/>
      <c r="BF815" s="6"/>
      <c r="BG815" s="6"/>
      <c r="BH815" s="6"/>
      <c r="BI815" s="6"/>
      <c r="BJ815" s="6"/>
      <c r="BK815" s="6"/>
      <c r="BL815" s="6"/>
      <c r="BM815" s="6"/>
      <c r="BN815" s="6"/>
      <c r="BO815" s="6"/>
      <c r="BP815" s="6"/>
      <c r="BQ815" s="6"/>
      <c r="BR815" s="6"/>
      <c r="BS815" s="6"/>
      <c r="BT815" s="6"/>
      <c r="BU815" s="6"/>
      <c r="BV815" s="6"/>
      <c r="BW815" s="11"/>
      <c r="BX815" s="11"/>
      <c r="BY815" s="11"/>
      <c r="BZ815" s="11"/>
      <c r="CA815" s="11"/>
      <c r="CB815" s="11"/>
      <c r="CC815" s="11"/>
      <c r="CD815" s="11"/>
      <c r="CE815" s="11"/>
      <c r="CF815" s="11"/>
      <c r="CG815" s="11"/>
      <c r="CH815" s="11"/>
      <c r="CI815" s="11"/>
      <c r="CJ815" s="11"/>
      <c r="CK815" s="11"/>
      <c r="CL815" s="11"/>
      <c r="CM815" s="11"/>
      <c r="CN815" s="11"/>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c r="AV816" s="6"/>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11"/>
      <c r="BX816" s="11"/>
      <c r="BY816" s="11"/>
      <c r="BZ816" s="11"/>
      <c r="CA816" s="11"/>
      <c r="CB816" s="11"/>
      <c r="CC816" s="11"/>
      <c r="CD816" s="11"/>
      <c r="CE816" s="11"/>
      <c r="CF816" s="11"/>
      <c r="CG816" s="11"/>
      <c r="CH816" s="11"/>
      <c r="CI816" s="11"/>
      <c r="CJ816" s="11"/>
      <c r="CK816" s="11"/>
      <c r="CL816" s="11"/>
      <c r="CM816" s="11"/>
      <c r="CN816" s="11"/>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c r="AB817" s="6"/>
      <c r="AC817" s="6"/>
      <c r="AD817" s="6"/>
      <c r="AE817" s="6"/>
      <c r="AF817" s="6"/>
      <c r="AG817" s="6"/>
      <c r="AH817" s="6"/>
      <c r="AI817" s="6"/>
      <c r="AJ817" s="6"/>
      <c r="AK817" s="6"/>
      <c r="AL817" s="6"/>
      <c r="AM817" s="6"/>
      <c r="AN817" s="6"/>
      <c r="AO817" s="6"/>
      <c r="AP817" s="6"/>
      <c r="AQ817" s="6"/>
      <c r="AR817" s="6"/>
      <c r="AS817" s="6"/>
      <c r="AT817" s="6"/>
      <c r="AU817" s="6"/>
      <c r="AV817" s="6"/>
      <c r="AW817" s="6"/>
      <c r="AX817" s="6"/>
      <c r="AY817" s="6"/>
      <c r="AZ817" s="6"/>
      <c r="BA817" s="6"/>
      <c r="BB817" s="6"/>
      <c r="BC817" s="6"/>
      <c r="BD817" s="6"/>
      <c r="BE817" s="6"/>
      <c r="BF817" s="6"/>
      <c r="BG817" s="6"/>
      <c r="BH817" s="6"/>
      <c r="BI817" s="6"/>
      <c r="BJ817" s="6"/>
      <c r="BK817" s="6"/>
      <c r="BL817" s="6"/>
      <c r="BM817" s="6"/>
      <c r="BN817" s="6"/>
      <c r="BO817" s="6"/>
      <c r="BP817" s="6"/>
      <c r="BQ817" s="6"/>
      <c r="BR817" s="6"/>
      <c r="BS817" s="6"/>
      <c r="BT817" s="6"/>
      <c r="BU817" s="6"/>
      <c r="BV817" s="6"/>
      <c r="BW817" s="11"/>
      <c r="BX817" s="11"/>
      <c r="BY817" s="11"/>
      <c r="BZ817" s="11"/>
      <c r="CA817" s="11"/>
      <c r="CB817" s="11"/>
      <c r="CC817" s="11"/>
      <c r="CD817" s="11"/>
      <c r="CE817" s="11"/>
      <c r="CF817" s="11"/>
      <c r="CG817" s="11"/>
      <c r="CH817" s="11"/>
      <c r="CI817" s="11"/>
      <c r="CJ817" s="11"/>
      <c r="CK817" s="11"/>
      <c r="CL817" s="11"/>
      <c r="CM817" s="11"/>
      <c r="CN817" s="11"/>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c r="AV818" s="6"/>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11"/>
      <c r="BX818" s="11"/>
      <c r="BY818" s="11"/>
      <c r="BZ818" s="11"/>
      <c r="CA818" s="11"/>
      <c r="CB818" s="11"/>
      <c r="CC818" s="11"/>
      <c r="CD818" s="11"/>
      <c r="CE818" s="11"/>
      <c r="CF818" s="11"/>
      <c r="CG818" s="11"/>
      <c r="CH818" s="11"/>
      <c r="CI818" s="11"/>
      <c r="CJ818" s="11"/>
      <c r="CK818" s="11"/>
      <c r="CL818" s="11"/>
      <c r="CM818" s="11"/>
      <c r="CN818" s="11"/>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c r="AB819" s="6"/>
      <c r="AC819" s="6"/>
      <c r="AD819" s="6"/>
      <c r="AE819" s="6"/>
      <c r="AF819" s="6"/>
      <c r="AG819" s="6"/>
      <c r="AH819" s="6"/>
      <c r="AI819" s="6"/>
      <c r="AJ819" s="6"/>
      <c r="AK819" s="6"/>
      <c r="AL819" s="6"/>
      <c r="AM819" s="6"/>
      <c r="AN819" s="6"/>
      <c r="AO819" s="6"/>
      <c r="AP819" s="6"/>
      <c r="AQ819" s="6"/>
      <c r="AR819" s="6"/>
      <c r="AS819" s="6"/>
      <c r="AT819" s="6"/>
      <c r="AU819" s="6"/>
      <c r="AV819" s="6"/>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11"/>
      <c r="BX819" s="11"/>
      <c r="BY819" s="11"/>
      <c r="BZ819" s="11"/>
      <c r="CA819" s="11"/>
      <c r="CB819" s="11"/>
      <c r="CC819" s="11"/>
      <c r="CD819" s="11"/>
      <c r="CE819" s="11"/>
      <c r="CF819" s="11"/>
      <c r="CG819" s="11"/>
      <c r="CH819" s="11"/>
      <c r="CI819" s="11"/>
      <c r="CJ819" s="11"/>
      <c r="CK819" s="11"/>
      <c r="CL819" s="11"/>
      <c r="CM819" s="11"/>
      <c r="CN819" s="11"/>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c r="AV820" s="6"/>
      <c r="AW820" s="6"/>
      <c r="AX820" s="6"/>
      <c r="AY820" s="6"/>
      <c r="AZ820" s="6"/>
      <c r="BA820" s="6"/>
      <c r="BB820" s="6"/>
      <c r="BC820" s="6"/>
      <c r="BD820" s="6"/>
      <c r="BE820" s="6"/>
      <c r="BF820" s="6"/>
      <c r="BG820" s="6"/>
      <c r="BH820" s="6"/>
      <c r="BI820" s="6"/>
      <c r="BJ820" s="6"/>
      <c r="BK820" s="6"/>
      <c r="BL820" s="6"/>
      <c r="BM820" s="6"/>
      <c r="BN820" s="6"/>
      <c r="BO820" s="6"/>
      <c r="BP820" s="6"/>
      <c r="BQ820" s="6"/>
      <c r="BR820" s="6"/>
      <c r="BS820" s="6"/>
      <c r="BT820" s="6"/>
      <c r="BU820" s="6"/>
      <c r="BV820" s="6"/>
      <c r="BW820" s="11"/>
      <c r="BX820" s="11"/>
      <c r="BY820" s="11"/>
      <c r="BZ820" s="11"/>
      <c r="CA820" s="11"/>
      <c r="CB820" s="11"/>
      <c r="CC820" s="11"/>
      <c r="CD820" s="11"/>
      <c r="CE820" s="11"/>
      <c r="CF820" s="11"/>
      <c r="CG820" s="11"/>
      <c r="CH820" s="11"/>
      <c r="CI820" s="11"/>
      <c r="CJ820" s="11"/>
      <c r="CK820" s="11"/>
      <c r="CL820" s="11"/>
      <c r="CM820" s="11"/>
      <c r="CN820" s="11"/>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c r="AB821" s="6"/>
      <c r="AC821" s="6"/>
      <c r="AD821" s="6"/>
      <c r="AE821" s="6"/>
      <c r="AF821" s="6"/>
      <c r="AG821" s="6"/>
      <c r="AH821" s="6"/>
      <c r="AI821" s="6"/>
      <c r="AJ821" s="6"/>
      <c r="AK821" s="6"/>
      <c r="AL821" s="6"/>
      <c r="AM821" s="6"/>
      <c r="AN821" s="6"/>
      <c r="AO821" s="6"/>
      <c r="AP821" s="6"/>
      <c r="AQ821" s="6"/>
      <c r="AR821" s="6"/>
      <c r="AS821" s="6"/>
      <c r="AT821" s="6"/>
      <c r="AU821" s="6"/>
      <c r="AV821" s="6"/>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11"/>
      <c r="BX821" s="11"/>
      <c r="BY821" s="11"/>
      <c r="BZ821" s="11"/>
      <c r="CA821" s="11"/>
      <c r="CB821" s="11"/>
      <c r="CC821" s="11"/>
      <c r="CD821" s="11"/>
      <c r="CE821" s="11"/>
      <c r="CF821" s="11"/>
      <c r="CG821" s="11"/>
      <c r="CH821" s="11"/>
      <c r="CI821" s="11"/>
      <c r="CJ821" s="11"/>
      <c r="CK821" s="11"/>
      <c r="CL821" s="11"/>
      <c r="CM821" s="11"/>
      <c r="CN821" s="11"/>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c r="AV822" s="6"/>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11"/>
      <c r="BX822" s="11"/>
      <c r="BY822" s="11"/>
      <c r="BZ822" s="11"/>
      <c r="CA822" s="11"/>
      <c r="CB822" s="11"/>
      <c r="CC822" s="11"/>
      <c r="CD822" s="11"/>
      <c r="CE822" s="11"/>
      <c r="CF822" s="11"/>
      <c r="CG822" s="11"/>
      <c r="CH822" s="11"/>
      <c r="CI822" s="11"/>
      <c r="CJ822" s="11"/>
      <c r="CK822" s="11"/>
      <c r="CL822" s="11"/>
      <c r="CM822" s="11"/>
      <c r="CN822" s="11"/>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c r="AB823" s="6"/>
      <c r="AC823" s="6"/>
      <c r="AD823" s="6"/>
      <c r="AE823" s="6"/>
      <c r="AF823" s="6"/>
      <c r="AG823" s="6"/>
      <c r="AH823" s="6"/>
      <c r="AI823" s="6"/>
      <c r="AJ823" s="6"/>
      <c r="AK823" s="6"/>
      <c r="AL823" s="6"/>
      <c r="AM823" s="6"/>
      <c r="AN823" s="6"/>
      <c r="AO823" s="6"/>
      <c r="AP823" s="6"/>
      <c r="AQ823" s="6"/>
      <c r="AR823" s="6"/>
      <c r="AS823" s="6"/>
      <c r="AT823" s="6"/>
      <c r="AU823" s="6"/>
      <c r="AV823" s="6"/>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11"/>
      <c r="BX823" s="11"/>
      <c r="BY823" s="11"/>
      <c r="BZ823" s="11"/>
      <c r="CA823" s="11"/>
      <c r="CB823" s="11"/>
      <c r="CC823" s="11"/>
      <c r="CD823" s="11"/>
      <c r="CE823" s="11"/>
      <c r="CF823" s="11"/>
      <c r="CG823" s="11"/>
      <c r="CH823" s="11"/>
      <c r="CI823" s="11"/>
      <c r="CJ823" s="11"/>
      <c r="CK823" s="11"/>
      <c r="CL823" s="11"/>
      <c r="CM823" s="11"/>
      <c r="CN823" s="11"/>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c r="AV824" s="6"/>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11"/>
      <c r="BX824" s="11"/>
      <c r="BY824" s="11"/>
      <c r="BZ824" s="11"/>
      <c r="CA824" s="11"/>
      <c r="CB824" s="11"/>
      <c r="CC824" s="11"/>
      <c r="CD824" s="11"/>
      <c r="CE824" s="11"/>
      <c r="CF824" s="11"/>
      <c r="CG824" s="11"/>
      <c r="CH824" s="11"/>
      <c r="CI824" s="11"/>
      <c r="CJ824" s="11"/>
      <c r="CK824" s="11"/>
      <c r="CL824" s="11"/>
      <c r="CM824" s="11"/>
      <c r="CN824" s="11"/>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c r="AB825" s="6"/>
      <c r="AC825" s="6"/>
      <c r="AD825" s="6"/>
      <c r="AE825" s="6"/>
      <c r="AF825" s="6"/>
      <c r="AG825" s="6"/>
      <c r="AH825" s="6"/>
      <c r="AI825" s="6"/>
      <c r="AJ825" s="6"/>
      <c r="AK825" s="6"/>
      <c r="AL825" s="6"/>
      <c r="AM825" s="6"/>
      <c r="AN825" s="6"/>
      <c r="AO825" s="6"/>
      <c r="AP825" s="6"/>
      <c r="AQ825" s="6"/>
      <c r="AR825" s="6"/>
      <c r="AS825" s="6"/>
      <c r="AT825" s="6"/>
      <c r="AU825" s="6"/>
      <c r="AV825" s="6"/>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11"/>
      <c r="BX825" s="11"/>
      <c r="BY825" s="11"/>
      <c r="BZ825" s="11"/>
      <c r="CA825" s="11"/>
      <c r="CB825" s="11"/>
      <c r="CC825" s="11"/>
      <c r="CD825" s="11"/>
      <c r="CE825" s="11"/>
      <c r="CF825" s="11"/>
      <c r="CG825" s="11"/>
      <c r="CH825" s="11"/>
      <c r="CI825" s="11"/>
      <c r="CJ825" s="11"/>
      <c r="CK825" s="11"/>
      <c r="CL825" s="11"/>
      <c r="CM825" s="11"/>
      <c r="CN825" s="11"/>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c r="AV826" s="6"/>
      <c r="AW826" s="6"/>
      <c r="AX826" s="6"/>
      <c r="AY826" s="6"/>
      <c r="AZ826" s="6"/>
      <c r="BA826" s="6"/>
      <c r="BB826" s="6"/>
      <c r="BC826" s="6"/>
      <c r="BD826" s="6"/>
      <c r="BE826" s="6"/>
      <c r="BF826" s="6"/>
      <c r="BG826" s="6"/>
      <c r="BH826" s="6"/>
      <c r="BI826" s="6"/>
      <c r="BJ826" s="6"/>
      <c r="BK826" s="6"/>
      <c r="BL826" s="6"/>
      <c r="BM826" s="6"/>
      <c r="BN826" s="6"/>
      <c r="BO826" s="6"/>
      <c r="BP826" s="6"/>
      <c r="BQ826" s="6"/>
      <c r="BR826" s="6"/>
      <c r="BS826" s="6"/>
      <c r="BT826" s="6"/>
      <c r="BU826" s="6"/>
      <c r="BV826" s="6"/>
      <c r="BW826" s="11"/>
      <c r="BX826" s="11"/>
      <c r="BY826" s="11"/>
      <c r="BZ826" s="11"/>
      <c r="CA826" s="11"/>
      <c r="CB826" s="11"/>
      <c r="CC826" s="11"/>
      <c r="CD826" s="11"/>
      <c r="CE826" s="11"/>
      <c r="CF826" s="11"/>
      <c r="CG826" s="11"/>
      <c r="CH826" s="11"/>
      <c r="CI826" s="11"/>
      <c r="CJ826" s="11"/>
      <c r="CK826" s="11"/>
      <c r="CL826" s="11"/>
      <c r="CM826" s="11"/>
      <c r="CN826" s="11"/>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c r="AB827" s="6"/>
      <c r="AC827" s="6"/>
      <c r="AD827" s="6"/>
      <c r="AE827" s="6"/>
      <c r="AF827" s="6"/>
      <c r="AG827" s="6"/>
      <c r="AH827" s="6"/>
      <c r="AI827" s="6"/>
      <c r="AJ827" s="6"/>
      <c r="AK827" s="6"/>
      <c r="AL827" s="6"/>
      <c r="AM827" s="6"/>
      <c r="AN827" s="6"/>
      <c r="AO827" s="6"/>
      <c r="AP827" s="6"/>
      <c r="AQ827" s="6"/>
      <c r="AR827" s="6"/>
      <c r="AS827" s="6"/>
      <c r="AT827" s="6"/>
      <c r="AU827" s="6"/>
      <c r="AV827" s="6"/>
      <c r="AW827" s="6"/>
      <c r="AX827" s="6"/>
      <c r="AY827" s="6"/>
      <c r="AZ827" s="6"/>
      <c r="BA827" s="6"/>
      <c r="BB827" s="6"/>
      <c r="BC827" s="6"/>
      <c r="BD827" s="6"/>
      <c r="BE827" s="6"/>
      <c r="BF827" s="6"/>
      <c r="BG827" s="6"/>
      <c r="BH827" s="6"/>
      <c r="BI827" s="6"/>
      <c r="BJ827" s="6"/>
      <c r="BK827" s="6"/>
      <c r="BL827" s="6"/>
      <c r="BM827" s="6"/>
      <c r="BN827" s="6"/>
      <c r="BO827" s="6"/>
      <c r="BP827" s="6"/>
      <c r="BQ827" s="6"/>
      <c r="BR827" s="6"/>
      <c r="BS827" s="6"/>
      <c r="BT827" s="6"/>
      <c r="BU827" s="6"/>
      <c r="BV827" s="6"/>
      <c r="BW827" s="11"/>
      <c r="BX827" s="11"/>
      <c r="BY827" s="11"/>
      <c r="BZ827" s="11"/>
      <c r="CA827" s="11"/>
      <c r="CB827" s="11"/>
      <c r="CC827" s="11"/>
      <c r="CD827" s="11"/>
      <c r="CE827" s="11"/>
      <c r="CF827" s="11"/>
      <c r="CG827" s="11"/>
      <c r="CH827" s="11"/>
      <c r="CI827" s="11"/>
      <c r="CJ827" s="11"/>
      <c r="CK827" s="11"/>
      <c r="CL827" s="11"/>
      <c r="CM827" s="11"/>
      <c r="CN827" s="11"/>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c r="AV828" s="6"/>
      <c r="AW828" s="6"/>
      <c r="AX828" s="6"/>
      <c r="AY828" s="6"/>
      <c r="AZ828" s="6"/>
      <c r="BA828" s="6"/>
      <c r="BB828" s="6"/>
      <c r="BC828" s="6"/>
      <c r="BD828" s="6"/>
      <c r="BE828" s="6"/>
      <c r="BF828" s="6"/>
      <c r="BG828" s="6"/>
      <c r="BH828" s="6"/>
      <c r="BI828" s="6"/>
      <c r="BJ828" s="6"/>
      <c r="BK828" s="6"/>
      <c r="BL828" s="6"/>
      <c r="BM828" s="6"/>
      <c r="BN828" s="6"/>
      <c r="BO828" s="6"/>
      <c r="BP828" s="6"/>
      <c r="BQ828" s="6"/>
      <c r="BR828" s="6"/>
      <c r="BS828" s="6"/>
      <c r="BT828" s="6"/>
      <c r="BU828" s="6"/>
      <c r="BV828" s="6"/>
      <c r="BW828" s="11"/>
      <c r="BX828" s="11"/>
      <c r="BY828" s="11"/>
      <c r="BZ828" s="11"/>
      <c r="CA828" s="11"/>
      <c r="CB828" s="11"/>
      <c r="CC828" s="11"/>
      <c r="CD828" s="11"/>
      <c r="CE828" s="11"/>
      <c r="CF828" s="11"/>
      <c r="CG828" s="11"/>
      <c r="CH828" s="11"/>
      <c r="CI828" s="11"/>
      <c r="CJ828" s="11"/>
      <c r="CK828" s="11"/>
      <c r="CL828" s="11"/>
      <c r="CM828" s="11"/>
      <c r="CN828" s="11"/>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c r="AB829" s="6"/>
      <c r="AC829" s="6"/>
      <c r="AD829" s="6"/>
      <c r="AE829" s="6"/>
      <c r="AF829" s="6"/>
      <c r="AG829" s="6"/>
      <c r="AH829" s="6"/>
      <c r="AI829" s="6"/>
      <c r="AJ829" s="6"/>
      <c r="AK829" s="6"/>
      <c r="AL829" s="6"/>
      <c r="AM829" s="6"/>
      <c r="AN829" s="6"/>
      <c r="AO829" s="6"/>
      <c r="AP829" s="6"/>
      <c r="AQ829" s="6"/>
      <c r="AR829" s="6"/>
      <c r="AS829" s="6"/>
      <c r="AT829" s="6"/>
      <c r="AU829" s="6"/>
      <c r="AV829" s="6"/>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11"/>
      <c r="BX829" s="11"/>
      <c r="BY829" s="11"/>
      <c r="BZ829" s="11"/>
      <c r="CA829" s="11"/>
      <c r="CB829" s="11"/>
      <c r="CC829" s="11"/>
      <c r="CD829" s="11"/>
      <c r="CE829" s="11"/>
      <c r="CF829" s="11"/>
      <c r="CG829" s="11"/>
      <c r="CH829" s="11"/>
      <c r="CI829" s="11"/>
      <c r="CJ829" s="11"/>
      <c r="CK829" s="11"/>
      <c r="CL829" s="11"/>
      <c r="CM829" s="11"/>
      <c r="CN829" s="11"/>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c r="AV830" s="6"/>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11"/>
      <c r="BX830" s="11"/>
      <c r="BY830" s="11"/>
      <c r="BZ830" s="11"/>
      <c r="CA830" s="11"/>
      <c r="CB830" s="11"/>
      <c r="CC830" s="11"/>
      <c r="CD830" s="11"/>
      <c r="CE830" s="11"/>
      <c r="CF830" s="11"/>
      <c r="CG830" s="11"/>
      <c r="CH830" s="11"/>
      <c r="CI830" s="11"/>
      <c r="CJ830" s="11"/>
      <c r="CK830" s="11"/>
      <c r="CL830" s="11"/>
      <c r="CM830" s="11"/>
      <c r="CN830" s="11"/>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c r="AB831" s="6"/>
      <c r="AC831" s="6"/>
      <c r="AD831" s="6"/>
      <c r="AE831" s="6"/>
      <c r="AF831" s="6"/>
      <c r="AG831" s="6"/>
      <c r="AH831" s="6"/>
      <c r="AI831" s="6"/>
      <c r="AJ831" s="6"/>
      <c r="AK831" s="6"/>
      <c r="AL831" s="6"/>
      <c r="AM831" s="6"/>
      <c r="AN831" s="6"/>
      <c r="AO831" s="6"/>
      <c r="AP831" s="6"/>
      <c r="AQ831" s="6"/>
      <c r="AR831" s="6"/>
      <c r="AS831" s="6"/>
      <c r="AT831" s="6"/>
      <c r="AU831" s="6"/>
      <c r="AV831" s="6"/>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11"/>
      <c r="BX831" s="11"/>
      <c r="BY831" s="11"/>
      <c r="BZ831" s="11"/>
      <c r="CA831" s="11"/>
      <c r="CB831" s="11"/>
      <c r="CC831" s="11"/>
      <c r="CD831" s="11"/>
      <c r="CE831" s="11"/>
      <c r="CF831" s="11"/>
      <c r="CG831" s="11"/>
      <c r="CH831" s="11"/>
      <c r="CI831" s="11"/>
      <c r="CJ831" s="11"/>
      <c r="CK831" s="11"/>
      <c r="CL831" s="11"/>
      <c r="CM831" s="11"/>
      <c r="CN831" s="11"/>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c r="AV832" s="6"/>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11"/>
      <c r="BX832" s="11"/>
      <c r="BY832" s="11"/>
      <c r="BZ832" s="11"/>
      <c r="CA832" s="11"/>
      <c r="CB832" s="11"/>
      <c r="CC832" s="11"/>
      <c r="CD832" s="11"/>
      <c r="CE832" s="11"/>
      <c r="CF832" s="11"/>
      <c r="CG832" s="11"/>
      <c r="CH832" s="11"/>
      <c r="CI832" s="11"/>
      <c r="CJ832" s="11"/>
      <c r="CK832" s="11"/>
      <c r="CL832" s="11"/>
      <c r="CM832" s="11"/>
      <c r="CN832" s="11"/>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c r="AB833" s="6"/>
      <c r="AC833" s="6"/>
      <c r="AD833" s="6"/>
      <c r="AE833" s="6"/>
      <c r="AF833" s="6"/>
      <c r="AG833" s="6"/>
      <c r="AH833" s="6"/>
      <c r="AI833" s="6"/>
      <c r="AJ833" s="6"/>
      <c r="AK833" s="6"/>
      <c r="AL833" s="6"/>
      <c r="AM833" s="6"/>
      <c r="AN833" s="6"/>
      <c r="AO833" s="6"/>
      <c r="AP833" s="6"/>
      <c r="AQ833" s="6"/>
      <c r="AR833" s="6"/>
      <c r="AS833" s="6"/>
      <c r="AT833" s="6"/>
      <c r="AU833" s="6"/>
      <c r="AV833" s="6"/>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11"/>
      <c r="BX833" s="11"/>
      <c r="BY833" s="11"/>
      <c r="BZ833" s="11"/>
      <c r="CA833" s="11"/>
      <c r="CB833" s="11"/>
      <c r="CC833" s="11"/>
      <c r="CD833" s="11"/>
      <c r="CE833" s="11"/>
      <c r="CF833" s="11"/>
      <c r="CG833" s="11"/>
      <c r="CH833" s="11"/>
      <c r="CI833" s="11"/>
      <c r="CJ833" s="11"/>
      <c r="CK833" s="11"/>
      <c r="CL833" s="11"/>
      <c r="CM833" s="11"/>
      <c r="CN833" s="11"/>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c r="AV834" s="6"/>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11"/>
      <c r="BX834" s="11"/>
      <c r="BY834" s="11"/>
      <c r="BZ834" s="11"/>
      <c r="CA834" s="11"/>
      <c r="CB834" s="11"/>
      <c r="CC834" s="11"/>
      <c r="CD834" s="11"/>
      <c r="CE834" s="11"/>
      <c r="CF834" s="11"/>
      <c r="CG834" s="11"/>
      <c r="CH834" s="11"/>
      <c r="CI834" s="11"/>
      <c r="CJ834" s="11"/>
      <c r="CK834" s="11"/>
      <c r="CL834" s="11"/>
      <c r="CM834" s="11"/>
      <c r="CN834" s="11"/>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c r="AB835" s="6"/>
      <c r="AC835" s="6"/>
      <c r="AD835" s="6"/>
      <c r="AE835" s="6"/>
      <c r="AF835" s="6"/>
      <c r="AG835" s="6"/>
      <c r="AH835" s="6"/>
      <c r="AI835" s="6"/>
      <c r="AJ835" s="6"/>
      <c r="AK835" s="6"/>
      <c r="AL835" s="6"/>
      <c r="AM835" s="6"/>
      <c r="AN835" s="6"/>
      <c r="AO835" s="6"/>
      <c r="AP835" s="6"/>
      <c r="AQ835" s="6"/>
      <c r="AR835" s="6"/>
      <c r="AS835" s="6"/>
      <c r="AT835" s="6"/>
      <c r="AU835" s="6"/>
      <c r="AV835" s="6"/>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11"/>
      <c r="BX835" s="11"/>
      <c r="BY835" s="11"/>
      <c r="BZ835" s="11"/>
      <c r="CA835" s="11"/>
      <c r="CB835" s="11"/>
      <c r="CC835" s="11"/>
      <c r="CD835" s="11"/>
      <c r="CE835" s="11"/>
      <c r="CF835" s="11"/>
      <c r="CG835" s="11"/>
      <c r="CH835" s="11"/>
      <c r="CI835" s="11"/>
      <c r="CJ835" s="11"/>
      <c r="CK835" s="11"/>
      <c r="CL835" s="11"/>
      <c r="CM835" s="11"/>
      <c r="CN835" s="11"/>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c r="AV836" s="6"/>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11"/>
      <c r="BX836" s="11"/>
      <c r="BY836" s="11"/>
      <c r="BZ836" s="11"/>
      <c r="CA836" s="11"/>
      <c r="CB836" s="11"/>
      <c r="CC836" s="11"/>
      <c r="CD836" s="11"/>
      <c r="CE836" s="11"/>
      <c r="CF836" s="11"/>
      <c r="CG836" s="11"/>
      <c r="CH836" s="11"/>
      <c r="CI836" s="11"/>
      <c r="CJ836" s="11"/>
      <c r="CK836" s="11"/>
      <c r="CL836" s="11"/>
      <c r="CM836" s="11"/>
      <c r="CN836" s="11"/>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c r="AB837" s="6"/>
      <c r="AC837" s="6"/>
      <c r="AD837" s="6"/>
      <c r="AE837" s="6"/>
      <c r="AF837" s="6"/>
      <c r="AG837" s="6"/>
      <c r="AH837" s="6"/>
      <c r="AI837" s="6"/>
      <c r="AJ837" s="6"/>
      <c r="AK837" s="6"/>
      <c r="AL837" s="6"/>
      <c r="AM837" s="6"/>
      <c r="AN837" s="6"/>
      <c r="AO837" s="6"/>
      <c r="AP837" s="6"/>
      <c r="AQ837" s="6"/>
      <c r="AR837" s="6"/>
      <c r="AS837" s="6"/>
      <c r="AT837" s="6"/>
      <c r="AU837" s="6"/>
      <c r="AV837" s="6"/>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11"/>
      <c r="BX837" s="11"/>
      <c r="BY837" s="11"/>
      <c r="BZ837" s="11"/>
      <c r="CA837" s="11"/>
      <c r="CB837" s="11"/>
      <c r="CC837" s="11"/>
      <c r="CD837" s="11"/>
      <c r="CE837" s="11"/>
      <c r="CF837" s="11"/>
      <c r="CG837" s="11"/>
      <c r="CH837" s="11"/>
      <c r="CI837" s="11"/>
      <c r="CJ837" s="11"/>
      <c r="CK837" s="11"/>
      <c r="CL837" s="11"/>
      <c r="CM837" s="11"/>
      <c r="CN837" s="11"/>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c r="AV838" s="6"/>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11"/>
      <c r="BX838" s="11"/>
      <c r="BY838" s="11"/>
      <c r="BZ838" s="11"/>
      <c r="CA838" s="11"/>
      <c r="CB838" s="11"/>
      <c r="CC838" s="11"/>
      <c r="CD838" s="11"/>
      <c r="CE838" s="11"/>
      <c r="CF838" s="11"/>
      <c r="CG838" s="11"/>
      <c r="CH838" s="11"/>
      <c r="CI838" s="11"/>
      <c r="CJ838" s="11"/>
      <c r="CK838" s="11"/>
      <c r="CL838" s="11"/>
      <c r="CM838" s="11"/>
      <c r="CN838" s="11"/>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6"/>
      <c r="AJ839" s="6"/>
      <c r="AK839" s="6"/>
      <c r="AL839" s="6"/>
      <c r="AM839" s="6"/>
      <c r="AN839" s="6"/>
      <c r="AO839" s="6"/>
      <c r="AP839" s="6"/>
      <c r="AQ839" s="6"/>
      <c r="AR839" s="6"/>
      <c r="AS839" s="6"/>
      <c r="AT839" s="6"/>
      <c r="AU839" s="6"/>
      <c r="AV839" s="6"/>
      <c r="AW839" s="6"/>
      <c r="AX839" s="6"/>
      <c r="AY839" s="6"/>
      <c r="AZ839" s="6"/>
      <c r="BA839" s="6"/>
      <c r="BB839" s="6"/>
      <c r="BC839" s="6"/>
      <c r="BD839" s="6"/>
      <c r="BE839" s="6"/>
      <c r="BF839" s="6"/>
      <c r="BG839" s="6"/>
      <c r="BH839" s="6"/>
      <c r="BI839" s="6"/>
      <c r="BJ839" s="6"/>
      <c r="BK839" s="6"/>
      <c r="BL839" s="6"/>
      <c r="BM839" s="6"/>
      <c r="BN839" s="6"/>
      <c r="BO839" s="6"/>
      <c r="BP839" s="6"/>
      <c r="BQ839" s="6"/>
      <c r="BR839" s="6"/>
      <c r="BS839" s="6"/>
      <c r="BT839" s="6"/>
      <c r="BU839" s="6"/>
      <c r="BV839" s="6"/>
      <c r="BW839" s="11"/>
      <c r="BX839" s="11"/>
      <c r="BY839" s="11"/>
      <c r="BZ839" s="11"/>
      <c r="CA839" s="11"/>
      <c r="CB839" s="11"/>
      <c r="CC839" s="11"/>
      <c r="CD839" s="11"/>
      <c r="CE839" s="11"/>
      <c r="CF839" s="11"/>
      <c r="CG839" s="11"/>
      <c r="CH839" s="11"/>
      <c r="CI839" s="11"/>
      <c r="CJ839" s="11"/>
      <c r="CK839" s="11"/>
      <c r="CL839" s="11"/>
      <c r="CM839" s="11"/>
      <c r="CN839" s="11"/>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c r="AV840" s="6"/>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11"/>
      <c r="BX840" s="11"/>
      <c r="BY840" s="11"/>
      <c r="BZ840" s="11"/>
      <c r="CA840" s="11"/>
      <c r="CB840" s="11"/>
      <c r="CC840" s="11"/>
      <c r="CD840" s="11"/>
      <c r="CE840" s="11"/>
      <c r="CF840" s="11"/>
      <c r="CG840" s="11"/>
      <c r="CH840" s="11"/>
      <c r="CI840" s="11"/>
      <c r="CJ840" s="11"/>
      <c r="CK840" s="11"/>
      <c r="CL840" s="11"/>
      <c r="CM840" s="11"/>
      <c r="CN840" s="11"/>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c r="AB841" s="6"/>
      <c r="AC841" s="6"/>
      <c r="AD841" s="6"/>
      <c r="AE841" s="6"/>
      <c r="AF841" s="6"/>
      <c r="AG841" s="6"/>
      <c r="AH841" s="6"/>
      <c r="AI841" s="6"/>
      <c r="AJ841" s="6"/>
      <c r="AK841" s="6"/>
      <c r="AL841" s="6"/>
      <c r="AM841" s="6"/>
      <c r="AN841" s="6"/>
      <c r="AO841" s="6"/>
      <c r="AP841" s="6"/>
      <c r="AQ841" s="6"/>
      <c r="AR841" s="6"/>
      <c r="AS841" s="6"/>
      <c r="AT841" s="6"/>
      <c r="AU841" s="6"/>
      <c r="AV841" s="6"/>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11"/>
      <c r="BX841" s="11"/>
      <c r="BY841" s="11"/>
      <c r="BZ841" s="11"/>
      <c r="CA841" s="11"/>
      <c r="CB841" s="11"/>
      <c r="CC841" s="11"/>
      <c r="CD841" s="11"/>
      <c r="CE841" s="11"/>
      <c r="CF841" s="11"/>
      <c r="CG841" s="11"/>
      <c r="CH841" s="11"/>
      <c r="CI841" s="11"/>
      <c r="CJ841" s="11"/>
      <c r="CK841" s="11"/>
      <c r="CL841" s="11"/>
      <c r="CM841" s="11"/>
      <c r="CN841" s="11"/>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c r="AV842" s="6"/>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11"/>
      <c r="BX842" s="11"/>
      <c r="BY842" s="11"/>
      <c r="BZ842" s="11"/>
      <c r="CA842" s="11"/>
      <c r="CB842" s="11"/>
      <c r="CC842" s="11"/>
      <c r="CD842" s="11"/>
      <c r="CE842" s="11"/>
      <c r="CF842" s="11"/>
      <c r="CG842" s="11"/>
      <c r="CH842" s="11"/>
      <c r="CI842" s="11"/>
      <c r="CJ842" s="11"/>
      <c r="CK842" s="11"/>
      <c r="CL842" s="11"/>
      <c r="CM842" s="11"/>
      <c r="CN842" s="11"/>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c r="AB843" s="6"/>
      <c r="AC843" s="6"/>
      <c r="AD843" s="6"/>
      <c r="AE843" s="6"/>
      <c r="AF843" s="6"/>
      <c r="AG843" s="6"/>
      <c r="AH843" s="6"/>
      <c r="AI843" s="6"/>
      <c r="AJ843" s="6"/>
      <c r="AK843" s="6"/>
      <c r="AL843" s="6"/>
      <c r="AM843" s="6"/>
      <c r="AN843" s="6"/>
      <c r="AO843" s="6"/>
      <c r="AP843" s="6"/>
      <c r="AQ843" s="6"/>
      <c r="AR843" s="6"/>
      <c r="AS843" s="6"/>
      <c r="AT843" s="6"/>
      <c r="AU843" s="6"/>
      <c r="AV843" s="6"/>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11"/>
      <c r="BX843" s="11"/>
      <c r="BY843" s="11"/>
      <c r="BZ843" s="11"/>
      <c r="CA843" s="11"/>
      <c r="CB843" s="11"/>
      <c r="CC843" s="11"/>
      <c r="CD843" s="11"/>
      <c r="CE843" s="11"/>
      <c r="CF843" s="11"/>
      <c r="CG843" s="11"/>
      <c r="CH843" s="11"/>
      <c r="CI843" s="11"/>
      <c r="CJ843" s="11"/>
      <c r="CK843" s="11"/>
      <c r="CL843" s="11"/>
      <c r="CM843" s="11"/>
      <c r="CN843" s="11"/>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c r="AV844" s="6"/>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11"/>
      <c r="BX844" s="11"/>
      <c r="BY844" s="11"/>
      <c r="BZ844" s="11"/>
      <c r="CA844" s="11"/>
      <c r="CB844" s="11"/>
      <c r="CC844" s="11"/>
      <c r="CD844" s="11"/>
      <c r="CE844" s="11"/>
      <c r="CF844" s="11"/>
      <c r="CG844" s="11"/>
      <c r="CH844" s="11"/>
      <c r="CI844" s="11"/>
      <c r="CJ844" s="11"/>
      <c r="CK844" s="11"/>
      <c r="CL844" s="11"/>
      <c r="CM844" s="11"/>
      <c r="CN844" s="11"/>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c r="AB845" s="6"/>
      <c r="AC845" s="6"/>
      <c r="AD845" s="6"/>
      <c r="AE845" s="6"/>
      <c r="AF845" s="6"/>
      <c r="AG845" s="6"/>
      <c r="AH845" s="6"/>
      <c r="AI845" s="6"/>
      <c r="AJ845" s="6"/>
      <c r="AK845" s="6"/>
      <c r="AL845" s="6"/>
      <c r="AM845" s="6"/>
      <c r="AN845" s="6"/>
      <c r="AO845" s="6"/>
      <c r="AP845" s="6"/>
      <c r="AQ845" s="6"/>
      <c r="AR845" s="6"/>
      <c r="AS845" s="6"/>
      <c r="AT845" s="6"/>
      <c r="AU845" s="6"/>
      <c r="AV845" s="6"/>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11"/>
      <c r="BX845" s="11"/>
      <c r="BY845" s="11"/>
      <c r="BZ845" s="11"/>
      <c r="CA845" s="11"/>
      <c r="CB845" s="11"/>
      <c r="CC845" s="11"/>
      <c r="CD845" s="11"/>
      <c r="CE845" s="11"/>
      <c r="CF845" s="11"/>
      <c r="CG845" s="11"/>
      <c r="CH845" s="11"/>
      <c r="CI845" s="11"/>
      <c r="CJ845" s="11"/>
      <c r="CK845" s="11"/>
      <c r="CL845" s="11"/>
      <c r="CM845" s="11"/>
      <c r="CN845" s="11"/>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c r="AV846" s="6"/>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11"/>
      <c r="BX846" s="11"/>
      <c r="BY846" s="11"/>
      <c r="BZ846" s="11"/>
      <c r="CA846" s="11"/>
      <c r="CB846" s="11"/>
      <c r="CC846" s="11"/>
      <c r="CD846" s="11"/>
      <c r="CE846" s="11"/>
      <c r="CF846" s="11"/>
      <c r="CG846" s="11"/>
      <c r="CH846" s="11"/>
      <c r="CI846" s="11"/>
      <c r="CJ846" s="11"/>
      <c r="CK846" s="11"/>
      <c r="CL846" s="11"/>
      <c r="CM846" s="11"/>
      <c r="CN846" s="11"/>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c r="AB847" s="6"/>
      <c r="AC847" s="6"/>
      <c r="AD847" s="6"/>
      <c r="AE847" s="6"/>
      <c r="AF847" s="6"/>
      <c r="AG847" s="6"/>
      <c r="AH847" s="6"/>
      <c r="AI847" s="6"/>
      <c r="AJ847" s="6"/>
      <c r="AK847" s="6"/>
      <c r="AL847" s="6"/>
      <c r="AM847" s="6"/>
      <c r="AN847" s="6"/>
      <c r="AO847" s="6"/>
      <c r="AP847" s="6"/>
      <c r="AQ847" s="6"/>
      <c r="AR847" s="6"/>
      <c r="AS847" s="6"/>
      <c r="AT847" s="6"/>
      <c r="AU847" s="6"/>
      <c r="AV847" s="6"/>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11"/>
      <c r="BX847" s="11"/>
      <c r="BY847" s="11"/>
      <c r="BZ847" s="11"/>
      <c r="CA847" s="11"/>
      <c r="CB847" s="11"/>
      <c r="CC847" s="11"/>
      <c r="CD847" s="11"/>
      <c r="CE847" s="11"/>
      <c r="CF847" s="11"/>
      <c r="CG847" s="11"/>
      <c r="CH847" s="11"/>
      <c r="CI847" s="11"/>
      <c r="CJ847" s="11"/>
      <c r="CK847" s="11"/>
      <c r="CL847" s="11"/>
      <c r="CM847" s="11"/>
      <c r="CN847" s="11"/>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c r="AV848" s="6"/>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11"/>
      <c r="BX848" s="11"/>
      <c r="BY848" s="11"/>
      <c r="BZ848" s="11"/>
      <c r="CA848" s="11"/>
      <c r="CB848" s="11"/>
      <c r="CC848" s="11"/>
      <c r="CD848" s="11"/>
      <c r="CE848" s="11"/>
      <c r="CF848" s="11"/>
      <c r="CG848" s="11"/>
      <c r="CH848" s="11"/>
      <c r="CI848" s="11"/>
      <c r="CJ848" s="11"/>
      <c r="CK848" s="11"/>
      <c r="CL848" s="11"/>
      <c r="CM848" s="11"/>
      <c r="CN848" s="11"/>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c r="AB849" s="6"/>
      <c r="AC849" s="6"/>
      <c r="AD849" s="6"/>
      <c r="AE849" s="6"/>
      <c r="AF849" s="6"/>
      <c r="AG849" s="6"/>
      <c r="AH849" s="6"/>
      <c r="AI849" s="6"/>
      <c r="AJ849" s="6"/>
      <c r="AK849" s="6"/>
      <c r="AL849" s="6"/>
      <c r="AM849" s="6"/>
      <c r="AN849" s="6"/>
      <c r="AO849" s="6"/>
      <c r="AP849" s="6"/>
      <c r="AQ849" s="6"/>
      <c r="AR849" s="6"/>
      <c r="AS849" s="6"/>
      <c r="AT849" s="6"/>
      <c r="AU849" s="6"/>
      <c r="AV849" s="6"/>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11"/>
      <c r="BX849" s="11"/>
      <c r="BY849" s="11"/>
      <c r="BZ849" s="11"/>
      <c r="CA849" s="11"/>
      <c r="CB849" s="11"/>
      <c r="CC849" s="11"/>
      <c r="CD849" s="11"/>
      <c r="CE849" s="11"/>
      <c r="CF849" s="11"/>
      <c r="CG849" s="11"/>
      <c r="CH849" s="11"/>
      <c r="CI849" s="11"/>
      <c r="CJ849" s="11"/>
      <c r="CK849" s="11"/>
      <c r="CL849" s="11"/>
      <c r="CM849" s="11"/>
      <c r="CN849" s="11"/>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c r="AV850" s="6"/>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11"/>
      <c r="BX850" s="11"/>
      <c r="BY850" s="11"/>
      <c r="BZ850" s="11"/>
      <c r="CA850" s="11"/>
      <c r="CB850" s="11"/>
      <c r="CC850" s="11"/>
      <c r="CD850" s="11"/>
      <c r="CE850" s="11"/>
      <c r="CF850" s="11"/>
      <c r="CG850" s="11"/>
      <c r="CH850" s="11"/>
      <c r="CI850" s="11"/>
      <c r="CJ850" s="11"/>
      <c r="CK850" s="11"/>
      <c r="CL850" s="11"/>
      <c r="CM850" s="11"/>
      <c r="CN850" s="11"/>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6"/>
      <c r="AJ851" s="6"/>
      <c r="AK851" s="6"/>
      <c r="AL851" s="6"/>
      <c r="AM851" s="6"/>
      <c r="AN851" s="6"/>
      <c r="AO851" s="6"/>
      <c r="AP851" s="6"/>
      <c r="AQ851" s="6"/>
      <c r="AR851" s="6"/>
      <c r="AS851" s="6"/>
      <c r="AT851" s="6"/>
      <c r="AU851" s="6"/>
      <c r="AV851" s="6"/>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11"/>
      <c r="BX851" s="11"/>
      <c r="BY851" s="11"/>
      <c r="BZ851" s="11"/>
      <c r="CA851" s="11"/>
      <c r="CB851" s="11"/>
      <c r="CC851" s="11"/>
      <c r="CD851" s="11"/>
      <c r="CE851" s="11"/>
      <c r="CF851" s="11"/>
      <c r="CG851" s="11"/>
      <c r="CH851" s="11"/>
      <c r="CI851" s="11"/>
      <c r="CJ851" s="11"/>
      <c r="CK851" s="11"/>
      <c r="CL851" s="11"/>
      <c r="CM851" s="11"/>
      <c r="CN851" s="11"/>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c r="AV852" s="6"/>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11"/>
      <c r="BX852" s="11"/>
      <c r="BY852" s="11"/>
      <c r="BZ852" s="11"/>
      <c r="CA852" s="11"/>
      <c r="CB852" s="11"/>
      <c r="CC852" s="11"/>
      <c r="CD852" s="11"/>
      <c r="CE852" s="11"/>
      <c r="CF852" s="11"/>
      <c r="CG852" s="11"/>
      <c r="CH852" s="11"/>
      <c r="CI852" s="11"/>
      <c r="CJ852" s="11"/>
      <c r="CK852" s="11"/>
      <c r="CL852" s="11"/>
      <c r="CM852" s="11"/>
      <c r="CN852" s="11"/>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c r="AB853" s="6"/>
      <c r="AC853" s="6"/>
      <c r="AD853" s="6"/>
      <c r="AE853" s="6"/>
      <c r="AF853" s="6"/>
      <c r="AG853" s="6"/>
      <c r="AH853" s="6"/>
      <c r="AI853" s="6"/>
      <c r="AJ853" s="6"/>
      <c r="AK853" s="6"/>
      <c r="AL853" s="6"/>
      <c r="AM853" s="6"/>
      <c r="AN853" s="6"/>
      <c r="AO853" s="6"/>
      <c r="AP853" s="6"/>
      <c r="AQ853" s="6"/>
      <c r="AR853" s="6"/>
      <c r="AS853" s="6"/>
      <c r="AT853" s="6"/>
      <c r="AU853" s="6"/>
      <c r="AV853" s="6"/>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11"/>
      <c r="BX853" s="11"/>
      <c r="BY853" s="11"/>
      <c r="BZ853" s="11"/>
      <c r="CA853" s="11"/>
      <c r="CB853" s="11"/>
      <c r="CC853" s="11"/>
      <c r="CD853" s="11"/>
      <c r="CE853" s="11"/>
      <c r="CF853" s="11"/>
      <c r="CG853" s="11"/>
      <c r="CH853" s="11"/>
      <c r="CI853" s="11"/>
      <c r="CJ853" s="11"/>
      <c r="CK853" s="11"/>
      <c r="CL853" s="11"/>
      <c r="CM853" s="11"/>
      <c r="CN853" s="11"/>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c r="AV854" s="6"/>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11"/>
      <c r="BX854" s="11"/>
      <c r="BY854" s="11"/>
      <c r="BZ854" s="11"/>
      <c r="CA854" s="11"/>
      <c r="CB854" s="11"/>
      <c r="CC854" s="11"/>
      <c r="CD854" s="11"/>
      <c r="CE854" s="11"/>
      <c r="CF854" s="11"/>
      <c r="CG854" s="11"/>
      <c r="CH854" s="11"/>
      <c r="CI854" s="11"/>
      <c r="CJ854" s="11"/>
      <c r="CK854" s="11"/>
      <c r="CL854" s="11"/>
      <c r="CM854" s="11"/>
      <c r="CN854" s="11"/>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c r="AB855" s="6"/>
      <c r="AC855" s="6"/>
      <c r="AD855" s="6"/>
      <c r="AE855" s="6"/>
      <c r="AF855" s="6"/>
      <c r="AG855" s="6"/>
      <c r="AH855" s="6"/>
      <c r="AI855" s="6"/>
      <c r="AJ855" s="6"/>
      <c r="AK855" s="6"/>
      <c r="AL855" s="6"/>
      <c r="AM855" s="6"/>
      <c r="AN855" s="6"/>
      <c r="AO855" s="6"/>
      <c r="AP855" s="6"/>
      <c r="AQ855" s="6"/>
      <c r="AR855" s="6"/>
      <c r="AS855" s="6"/>
      <c r="AT855" s="6"/>
      <c r="AU855" s="6"/>
      <c r="AV855" s="6"/>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11"/>
      <c r="BX855" s="11"/>
      <c r="BY855" s="11"/>
      <c r="BZ855" s="11"/>
      <c r="CA855" s="11"/>
      <c r="CB855" s="11"/>
      <c r="CC855" s="11"/>
      <c r="CD855" s="11"/>
      <c r="CE855" s="11"/>
      <c r="CF855" s="11"/>
      <c r="CG855" s="11"/>
      <c r="CH855" s="11"/>
      <c r="CI855" s="11"/>
      <c r="CJ855" s="11"/>
      <c r="CK855" s="11"/>
      <c r="CL855" s="11"/>
      <c r="CM855" s="11"/>
      <c r="CN855" s="11"/>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c r="AV856" s="6"/>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11"/>
      <c r="BX856" s="11"/>
      <c r="BY856" s="11"/>
      <c r="BZ856" s="11"/>
      <c r="CA856" s="11"/>
      <c r="CB856" s="11"/>
      <c r="CC856" s="11"/>
      <c r="CD856" s="11"/>
      <c r="CE856" s="11"/>
      <c r="CF856" s="11"/>
      <c r="CG856" s="11"/>
      <c r="CH856" s="11"/>
      <c r="CI856" s="11"/>
      <c r="CJ856" s="11"/>
      <c r="CK856" s="11"/>
      <c r="CL856" s="11"/>
      <c r="CM856" s="11"/>
      <c r="CN856" s="11"/>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c r="AB857" s="6"/>
      <c r="AC857" s="6"/>
      <c r="AD857" s="6"/>
      <c r="AE857" s="6"/>
      <c r="AF857" s="6"/>
      <c r="AG857" s="6"/>
      <c r="AH857" s="6"/>
      <c r="AI857" s="6"/>
      <c r="AJ857" s="6"/>
      <c r="AK857" s="6"/>
      <c r="AL857" s="6"/>
      <c r="AM857" s="6"/>
      <c r="AN857" s="6"/>
      <c r="AO857" s="6"/>
      <c r="AP857" s="6"/>
      <c r="AQ857" s="6"/>
      <c r="AR857" s="6"/>
      <c r="AS857" s="6"/>
      <c r="AT857" s="6"/>
      <c r="AU857" s="6"/>
      <c r="AV857" s="6"/>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11"/>
      <c r="BX857" s="11"/>
      <c r="BY857" s="11"/>
      <c r="BZ857" s="11"/>
      <c r="CA857" s="11"/>
      <c r="CB857" s="11"/>
      <c r="CC857" s="11"/>
      <c r="CD857" s="11"/>
      <c r="CE857" s="11"/>
      <c r="CF857" s="11"/>
      <c r="CG857" s="11"/>
      <c r="CH857" s="11"/>
      <c r="CI857" s="11"/>
      <c r="CJ857" s="11"/>
      <c r="CK857" s="11"/>
      <c r="CL857" s="11"/>
      <c r="CM857" s="11"/>
      <c r="CN857" s="11"/>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c r="AV858" s="6"/>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11"/>
      <c r="BX858" s="11"/>
      <c r="BY858" s="11"/>
      <c r="BZ858" s="11"/>
      <c r="CA858" s="11"/>
      <c r="CB858" s="11"/>
      <c r="CC858" s="11"/>
      <c r="CD858" s="11"/>
      <c r="CE858" s="11"/>
      <c r="CF858" s="11"/>
      <c r="CG858" s="11"/>
      <c r="CH858" s="11"/>
      <c r="CI858" s="11"/>
      <c r="CJ858" s="11"/>
      <c r="CK858" s="11"/>
      <c r="CL858" s="11"/>
      <c r="CM858" s="11"/>
      <c r="CN858" s="11"/>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c r="AB859" s="6"/>
      <c r="AC859" s="6"/>
      <c r="AD859" s="6"/>
      <c r="AE859" s="6"/>
      <c r="AF859" s="6"/>
      <c r="AG859" s="6"/>
      <c r="AH859" s="6"/>
      <c r="AI859" s="6"/>
      <c r="AJ859" s="6"/>
      <c r="AK859" s="6"/>
      <c r="AL859" s="6"/>
      <c r="AM859" s="6"/>
      <c r="AN859" s="6"/>
      <c r="AO859" s="6"/>
      <c r="AP859" s="6"/>
      <c r="AQ859" s="6"/>
      <c r="AR859" s="6"/>
      <c r="AS859" s="6"/>
      <c r="AT859" s="6"/>
      <c r="AU859" s="6"/>
      <c r="AV859" s="6"/>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11"/>
      <c r="BX859" s="11"/>
      <c r="BY859" s="11"/>
      <c r="BZ859" s="11"/>
      <c r="CA859" s="11"/>
      <c r="CB859" s="11"/>
      <c r="CC859" s="11"/>
      <c r="CD859" s="11"/>
      <c r="CE859" s="11"/>
      <c r="CF859" s="11"/>
      <c r="CG859" s="11"/>
      <c r="CH859" s="11"/>
      <c r="CI859" s="11"/>
      <c r="CJ859" s="11"/>
      <c r="CK859" s="11"/>
      <c r="CL859" s="11"/>
      <c r="CM859" s="11"/>
      <c r="CN859" s="11"/>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c r="AV860" s="6"/>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11"/>
      <c r="BX860" s="11"/>
      <c r="BY860" s="11"/>
      <c r="BZ860" s="11"/>
      <c r="CA860" s="11"/>
      <c r="CB860" s="11"/>
      <c r="CC860" s="11"/>
      <c r="CD860" s="11"/>
      <c r="CE860" s="11"/>
      <c r="CF860" s="11"/>
      <c r="CG860" s="11"/>
      <c r="CH860" s="11"/>
      <c r="CI860" s="11"/>
      <c r="CJ860" s="11"/>
      <c r="CK860" s="11"/>
      <c r="CL860" s="11"/>
      <c r="CM860" s="11"/>
      <c r="CN860" s="11"/>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c r="AB861" s="6"/>
      <c r="AC861" s="6"/>
      <c r="AD861" s="6"/>
      <c r="AE861" s="6"/>
      <c r="AF861" s="6"/>
      <c r="AG861" s="6"/>
      <c r="AH861" s="6"/>
      <c r="AI861" s="6"/>
      <c r="AJ861" s="6"/>
      <c r="AK861" s="6"/>
      <c r="AL861" s="6"/>
      <c r="AM861" s="6"/>
      <c r="AN861" s="6"/>
      <c r="AO861" s="6"/>
      <c r="AP861" s="6"/>
      <c r="AQ861" s="6"/>
      <c r="AR861" s="6"/>
      <c r="AS861" s="6"/>
      <c r="AT861" s="6"/>
      <c r="AU861" s="6"/>
      <c r="AV861" s="6"/>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11"/>
      <c r="BX861" s="11"/>
      <c r="BY861" s="11"/>
      <c r="BZ861" s="11"/>
      <c r="CA861" s="11"/>
      <c r="CB861" s="11"/>
      <c r="CC861" s="11"/>
      <c r="CD861" s="11"/>
      <c r="CE861" s="11"/>
      <c r="CF861" s="11"/>
      <c r="CG861" s="11"/>
      <c r="CH861" s="11"/>
      <c r="CI861" s="11"/>
      <c r="CJ861" s="11"/>
      <c r="CK861" s="11"/>
      <c r="CL861" s="11"/>
      <c r="CM861" s="11"/>
      <c r="CN861" s="11"/>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c r="AV862" s="6"/>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11"/>
      <c r="BX862" s="11"/>
      <c r="BY862" s="11"/>
      <c r="BZ862" s="11"/>
      <c r="CA862" s="11"/>
      <c r="CB862" s="11"/>
      <c r="CC862" s="11"/>
      <c r="CD862" s="11"/>
      <c r="CE862" s="11"/>
      <c r="CF862" s="11"/>
      <c r="CG862" s="11"/>
      <c r="CH862" s="11"/>
      <c r="CI862" s="11"/>
      <c r="CJ862" s="11"/>
      <c r="CK862" s="11"/>
      <c r="CL862" s="11"/>
      <c r="CM862" s="11"/>
      <c r="CN862" s="11"/>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c r="AB863" s="6"/>
      <c r="AC863" s="6"/>
      <c r="AD863" s="6"/>
      <c r="AE863" s="6"/>
      <c r="AF863" s="6"/>
      <c r="AG863" s="6"/>
      <c r="AH863" s="6"/>
      <c r="AI863" s="6"/>
      <c r="AJ863" s="6"/>
      <c r="AK863" s="6"/>
      <c r="AL863" s="6"/>
      <c r="AM863" s="6"/>
      <c r="AN863" s="6"/>
      <c r="AO863" s="6"/>
      <c r="AP863" s="6"/>
      <c r="AQ863" s="6"/>
      <c r="AR863" s="6"/>
      <c r="AS863" s="6"/>
      <c r="AT863" s="6"/>
      <c r="AU863" s="6"/>
      <c r="AV863" s="6"/>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11"/>
      <c r="BX863" s="11"/>
      <c r="BY863" s="11"/>
      <c r="BZ863" s="11"/>
      <c r="CA863" s="11"/>
      <c r="CB863" s="11"/>
      <c r="CC863" s="11"/>
      <c r="CD863" s="11"/>
      <c r="CE863" s="11"/>
      <c r="CF863" s="11"/>
      <c r="CG863" s="11"/>
      <c r="CH863" s="11"/>
      <c r="CI863" s="11"/>
      <c r="CJ863" s="11"/>
      <c r="CK863" s="11"/>
      <c r="CL863" s="11"/>
      <c r="CM863" s="11"/>
      <c r="CN863" s="11"/>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c r="AV864" s="6"/>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11"/>
      <c r="BX864" s="11"/>
      <c r="BY864" s="11"/>
      <c r="BZ864" s="11"/>
      <c r="CA864" s="11"/>
      <c r="CB864" s="11"/>
      <c r="CC864" s="11"/>
      <c r="CD864" s="11"/>
      <c r="CE864" s="11"/>
      <c r="CF864" s="11"/>
      <c r="CG864" s="11"/>
      <c r="CH864" s="11"/>
      <c r="CI864" s="11"/>
      <c r="CJ864" s="11"/>
      <c r="CK864" s="11"/>
      <c r="CL864" s="11"/>
      <c r="CM864" s="11"/>
      <c r="CN864" s="11"/>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c r="AB865" s="6"/>
      <c r="AC865" s="6"/>
      <c r="AD865" s="6"/>
      <c r="AE865" s="6"/>
      <c r="AF865" s="6"/>
      <c r="AG865" s="6"/>
      <c r="AH865" s="6"/>
      <c r="AI865" s="6"/>
      <c r="AJ865" s="6"/>
      <c r="AK865" s="6"/>
      <c r="AL865" s="6"/>
      <c r="AM865" s="6"/>
      <c r="AN865" s="6"/>
      <c r="AO865" s="6"/>
      <c r="AP865" s="6"/>
      <c r="AQ865" s="6"/>
      <c r="AR865" s="6"/>
      <c r="AS865" s="6"/>
      <c r="AT865" s="6"/>
      <c r="AU865" s="6"/>
      <c r="AV865" s="6"/>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11"/>
      <c r="BX865" s="11"/>
      <c r="BY865" s="11"/>
      <c r="BZ865" s="11"/>
      <c r="CA865" s="11"/>
      <c r="CB865" s="11"/>
      <c r="CC865" s="11"/>
      <c r="CD865" s="11"/>
      <c r="CE865" s="11"/>
      <c r="CF865" s="11"/>
      <c r="CG865" s="11"/>
      <c r="CH865" s="11"/>
      <c r="CI865" s="11"/>
      <c r="CJ865" s="11"/>
      <c r="CK865" s="11"/>
      <c r="CL865" s="11"/>
      <c r="CM865" s="11"/>
      <c r="CN865" s="11"/>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c r="AV866" s="6"/>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11"/>
      <c r="BX866" s="11"/>
      <c r="BY866" s="11"/>
      <c r="BZ866" s="11"/>
      <c r="CA866" s="11"/>
      <c r="CB866" s="11"/>
      <c r="CC866" s="11"/>
      <c r="CD866" s="11"/>
      <c r="CE866" s="11"/>
      <c r="CF866" s="11"/>
      <c r="CG866" s="11"/>
      <c r="CH866" s="11"/>
      <c r="CI866" s="11"/>
      <c r="CJ866" s="11"/>
      <c r="CK866" s="11"/>
      <c r="CL866" s="11"/>
      <c r="CM866" s="11"/>
      <c r="CN866" s="11"/>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c r="AB867" s="6"/>
      <c r="AC867" s="6"/>
      <c r="AD867" s="6"/>
      <c r="AE867" s="6"/>
      <c r="AF867" s="6"/>
      <c r="AG867" s="6"/>
      <c r="AH867" s="6"/>
      <c r="AI867" s="6"/>
      <c r="AJ867" s="6"/>
      <c r="AK867" s="6"/>
      <c r="AL867" s="6"/>
      <c r="AM867" s="6"/>
      <c r="AN867" s="6"/>
      <c r="AO867" s="6"/>
      <c r="AP867" s="6"/>
      <c r="AQ867" s="6"/>
      <c r="AR867" s="6"/>
      <c r="AS867" s="6"/>
      <c r="AT867" s="6"/>
      <c r="AU867" s="6"/>
      <c r="AV867" s="6"/>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11"/>
      <c r="BX867" s="11"/>
      <c r="BY867" s="11"/>
      <c r="BZ867" s="11"/>
      <c r="CA867" s="11"/>
      <c r="CB867" s="11"/>
      <c r="CC867" s="11"/>
      <c r="CD867" s="11"/>
      <c r="CE867" s="11"/>
      <c r="CF867" s="11"/>
      <c r="CG867" s="11"/>
      <c r="CH867" s="11"/>
      <c r="CI867" s="11"/>
      <c r="CJ867" s="11"/>
      <c r="CK867" s="11"/>
      <c r="CL867" s="11"/>
      <c r="CM867" s="11"/>
      <c r="CN867" s="11"/>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c r="AV868" s="6"/>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11"/>
      <c r="BX868" s="11"/>
      <c r="BY868" s="11"/>
      <c r="BZ868" s="11"/>
      <c r="CA868" s="11"/>
      <c r="CB868" s="11"/>
      <c r="CC868" s="11"/>
      <c r="CD868" s="11"/>
      <c r="CE868" s="11"/>
      <c r="CF868" s="11"/>
      <c r="CG868" s="11"/>
      <c r="CH868" s="11"/>
      <c r="CI868" s="11"/>
      <c r="CJ868" s="11"/>
      <c r="CK868" s="11"/>
      <c r="CL868" s="11"/>
      <c r="CM868" s="11"/>
      <c r="CN868" s="11"/>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c r="AB869" s="6"/>
      <c r="AC869" s="6"/>
      <c r="AD869" s="6"/>
      <c r="AE869" s="6"/>
      <c r="AF869" s="6"/>
      <c r="AG869" s="6"/>
      <c r="AH869" s="6"/>
      <c r="AI869" s="6"/>
      <c r="AJ869" s="6"/>
      <c r="AK869" s="6"/>
      <c r="AL869" s="6"/>
      <c r="AM869" s="6"/>
      <c r="AN869" s="6"/>
      <c r="AO869" s="6"/>
      <c r="AP869" s="6"/>
      <c r="AQ869" s="6"/>
      <c r="AR869" s="6"/>
      <c r="AS869" s="6"/>
      <c r="AT869" s="6"/>
      <c r="AU869" s="6"/>
      <c r="AV869" s="6"/>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11"/>
      <c r="BX869" s="11"/>
      <c r="BY869" s="11"/>
      <c r="BZ869" s="11"/>
      <c r="CA869" s="11"/>
      <c r="CB869" s="11"/>
      <c r="CC869" s="11"/>
      <c r="CD869" s="11"/>
      <c r="CE869" s="11"/>
      <c r="CF869" s="11"/>
      <c r="CG869" s="11"/>
      <c r="CH869" s="11"/>
      <c r="CI869" s="11"/>
      <c r="CJ869" s="11"/>
      <c r="CK869" s="11"/>
      <c r="CL869" s="11"/>
      <c r="CM869" s="11"/>
      <c r="CN869" s="11"/>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c r="AV870" s="6"/>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11"/>
      <c r="BX870" s="11"/>
      <c r="BY870" s="11"/>
      <c r="BZ870" s="11"/>
      <c r="CA870" s="11"/>
      <c r="CB870" s="11"/>
      <c r="CC870" s="11"/>
      <c r="CD870" s="11"/>
      <c r="CE870" s="11"/>
      <c r="CF870" s="11"/>
      <c r="CG870" s="11"/>
      <c r="CH870" s="11"/>
      <c r="CI870" s="11"/>
      <c r="CJ870" s="11"/>
      <c r="CK870" s="11"/>
      <c r="CL870" s="11"/>
      <c r="CM870" s="11"/>
      <c r="CN870" s="11"/>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c r="AB871" s="6"/>
      <c r="AC871" s="6"/>
      <c r="AD871" s="6"/>
      <c r="AE871" s="6"/>
      <c r="AF871" s="6"/>
      <c r="AG871" s="6"/>
      <c r="AH871" s="6"/>
      <c r="AI871" s="6"/>
      <c r="AJ871" s="6"/>
      <c r="AK871" s="6"/>
      <c r="AL871" s="6"/>
      <c r="AM871" s="6"/>
      <c r="AN871" s="6"/>
      <c r="AO871" s="6"/>
      <c r="AP871" s="6"/>
      <c r="AQ871" s="6"/>
      <c r="AR871" s="6"/>
      <c r="AS871" s="6"/>
      <c r="AT871" s="6"/>
      <c r="AU871" s="6"/>
      <c r="AV871" s="6"/>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11"/>
      <c r="BX871" s="11"/>
      <c r="BY871" s="11"/>
      <c r="BZ871" s="11"/>
      <c r="CA871" s="11"/>
      <c r="CB871" s="11"/>
      <c r="CC871" s="11"/>
      <c r="CD871" s="11"/>
      <c r="CE871" s="11"/>
      <c r="CF871" s="11"/>
      <c r="CG871" s="11"/>
      <c r="CH871" s="11"/>
      <c r="CI871" s="11"/>
      <c r="CJ871" s="11"/>
      <c r="CK871" s="11"/>
      <c r="CL871" s="11"/>
      <c r="CM871" s="11"/>
      <c r="CN871" s="11"/>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c r="AV872" s="6"/>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11"/>
      <c r="BX872" s="11"/>
      <c r="BY872" s="11"/>
      <c r="BZ872" s="11"/>
      <c r="CA872" s="11"/>
      <c r="CB872" s="11"/>
      <c r="CC872" s="11"/>
      <c r="CD872" s="11"/>
      <c r="CE872" s="11"/>
      <c r="CF872" s="11"/>
      <c r="CG872" s="11"/>
      <c r="CH872" s="11"/>
      <c r="CI872" s="11"/>
      <c r="CJ872" s="11"/>
      <c r="CK872" s="11"/>
      <c r="CL872" s="11"/>
      <c r="CM872" s="11"/>
      <c r="CN872" s="11"/>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c r="AB873" s="6"/>
      <c r="AC873" s="6"/>
      <c r="AD873" s="6"/>
      <c r="AE873" s="6"/>
      <c r="AF873" s="6"/>
      <c r="AG873" s="6"/>
      <c r="AH873" s="6"/>
      <c r="AI873" s="6"/>
      <c r="AJ873" s="6"/>
      <c r="AK873" s="6"/>
      <c r="AL873" s="6"/>
      <c r="AM873" s="6"/>
      <c r="AN873" s="6"/>
      <c r="AO873" s="6"/>
      <c r="AP873" s="6"/>
      <c r="AQ873" s="6"/>
      <c r="AR873" s="6"/>
      <c r="AS873" s="6"/>
      <c r="AT873" s="6"/>
      <c r="AU873" s="6"/>
      <c r="AV873" s="6"/>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11"/>
      <c r="BX873" s="11"/>
      <c r="BY873" s="11"/>
      <c r="BZ873" s="11"/>
      <c r="CA873" s="11"/>
      <c r="CB873" s="11"/>
      <c r="CC873" s="11"/>
      <c r="CD873" s="11"/>
      <c r="CE873" s="11"/>
      <c r="CF873" s="11"/>
      <c r="CG873" s="11"/>
      <c r="CH873" s="11"/>
      <c r="CI873" s="11"/>
      <c r="CJ873" s="11"/>
      <c r="CK873" s="11"/>
      <c r="CL873" s="11"/>
      <c r="CM873" s="11"/>
      <c r="CN873" s="11"/>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c r="AV874" s="6"/>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11"/>
      <c r="BX874" s="11"/>
      <c r="BY874" s="11"/>
      <c r="BZ874" s="11"/>
      <c r="CA874" s="11"/>
      <c r="CB874" s="11"/>
      <c r="CC874" s="11"/>
      <c r="CD874" s="11"/>
      <c r="CE874" s="11"/>
      <c r="CF874" s="11"/>
      <c r="CG874" s="11"/>
      <c r="CH874" s="11"/>
      <c r="CI874" s="11"/>
      <c r="CJ874" s="11"/>
      <c r="CK874" s="11"/>
      <c r="CL874" s="11"/>
      <c r="CM874" s="11"/>
      <c r="CN874" s="11"/>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c r="AB875" s="6"/>
      <c r="AC875" s="6"/>
      <c r="AD875" s="6"/>
      <c r="AE875" s="6"/>
      <c r="AF875" s="6"/>
      <c r="AG875" s="6"/>
      <c r="AH875" s="6"/>
      <c r="AI875" s="6"/>
      <c r="AJ875" s="6"/>
      <c r="AK875" s="6"/>
      <c r="AL875" s="6"/>
      <c r="AM875" s="6"/>
      <c r="AN875" s="6"/>
      <c r="AO875" s="6"/>
      <c r="AP875" s="6"/>
      <c r="AQ875" s="6"/>
      <c r="AR875" s="6"/>
      <c r="AS875" s="6"/>
      <c r="AT875" s="6"/>
      <c r="AU875" s="6"/>
      <c r="AV875" s="6"/>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11"/>
      <c r="BX875" s="11"/>
      <c r="BY875" s="11"/>
      <c r="BZ875" s="11"/>
      <c r="CA875" s="11"/>
      <c r="CB875" s="11"/>
      <c r="CC875" s="11"/>
      <c r="CD875" s="11"/>
      <c r="CE875" s="11"/>
      <c r="CF875" s="11"/>
      <c r="CG875" s="11"/>
      <c r="CH875" s="11"/>
      <c r="CI875" s="11"/>
      <c r="CJ875" s="11"/>
      <c r="CK875" s="11"/>
      <c r="CL875" s="11"/>
      <c r="CM875" s="11"/>
      <c r="CN875" s="11"/>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c r="AV876" s="6"/>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11"/>
      <c r="BX876" s="11"/>
      <c r="BY876" s="11"/>
      <c r="BZ876" s="11"/>
      <c r="CA876" s="11"/>
      <c r="CB876" s="11"/>
      <c r="CC876" s="11"/>
      <c r="CD876" s="11"/>
      <c r="CE876" s="11"/>
      <c r="CF876" s="11"/>
      <c r="CG876" s="11"/>
      <c r="CH876" s="11"/>
      <c r="CI876" s="11"/>
      <c r="CJ876" s="11"/>
      <c r="CK876" s="11"/>
      <c r="CL876" s="11"/>
      <c r="CM876" s="11"/>
      <c r="CN876" s="11"/>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6"/>
      <c r="AO877" s="6"/>
      <c r="AP877" s="6"/>
      <c r="AQ877" s="6"/>
      <c r="AR877" s="6"/>
      <c r="AS877" s="6"/>
      <c r="AT877" s="6"/>
      <c r="AU877" s="6"/>
      <c r="AV877" s="6"/>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11"/>
      <c r="BX877" s="11"/>
      <c r="BY877" s="11"/>
      <c r="BZ877" s="11"/>
      <c r="CA877" s="11"/>
      <c r="CB877" s="11"/>
      <c r="CC877" s="11"/>
      <c r="CD877" s="11"/>
      <c r="CE877" s="11"/>
      <c r="CF877" s="11"/>
      <c r="CG877" s="11"/>
      <c r="CH877" s="11"/>
      <c r="CI877" s="11"/>
      <c r="CJ877" s="11"/>
      <c r="CK877" s="11"/>
      <c r="CL877" s="11"/>
      <c r="CM877" s="11"/>
      <c r="CN877" s="11"/>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c r="AV878" s="6"/>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11"/>
      <c r="BX878" s="11"/>
      <c r="BY878" s="11"/>
      <c r="BZ878" s="11"/>
      <c r="CA878" s="11"/>
      <c r="CB878" s="11"/>
      <c r="CC878" s="11"/>
      <c r="CD878" s="11"/>
      <c r="CE878" s="11"/>
      <c r="CF878" s="11"/>
      <c r="CG878" s="11"/>
      <c r="CH878" s="11"/>
      <c r="CI878" s="11"/>
      <c r="CJ878" s="11"/>
      <c r="CK878" s="11"/>
      <c r="CL878" s="11"/>
      <c r="CM878" s="11"/>
      <c r="CN878" s="11"/>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c r="AB879" s="6"/>
      <c r="AC879" s="6"/>
      <c r="AD879" s="6"/>
      <c r="AE879" s="6"/>
      <c r="AF879" s="6"/>
      <c r="AG879" s="6"/>
      <c r="AH879" s="6"/>
      <c r="AI879" s="6"/>
      <c r="AJ879" s="6"/>
      <c r="AK879" s="6"/>
      <c r="AL879" s="6"/>
      <c r="AM879" s="6"/>
      <c r="AN879" s="6"/>
      <c r="AO879" s="6"/>
      <c r="AP879" s="6"/>
      <c r="AQ879" s="6"/>
      <c r="AR879" s="6"/>
      <c r="AS879" s="6"/>
      <c r="AT879" s="6"/>
      <c r="AU879" s="6"/>
      <c r="AV879" s="6"/>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11"/>
      <c r="BX879" s="11"/>
      <c r="BY879" s="11"/>
      <c r="BZ879" s="11"/>
      <c r="CA879" s="11"/>
      <c r="CB879" s="11"/>
      <c r="CC879" s="11"/>
      <c r="CD879" s="11"/>
      <c r="CE879" s="11"/>
      <c r="CF879" s="11"/>
      <c r="CG879" s="11"/>
      <c r="CH879" s="11"/>
      <c r="CI879" s="11"/>
      <c r="CJ879" s="11"/>
      <c r="CK879" s="11"/>
      <c r="CL879" s="11"/>
      <c r="CM879" s="11"/>
      <c r="CN879" s="11"/>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c r="AV880" s="6"/>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11"/>
      <c r="BX880" s="11"/>
      <c r="BY880" s="11"/>
      <c r="BZ880" s="11"/>
      <c r="CA880" s="11"/>
      <c r="CB880" s="11"/>
      <c r="CC880" s="11"/>
      <c r="CD880" s="11"/>
      <c r="CE880" s="11"/>
      <c r="CF880" s="11"/>
      <c r="CG880" s="11"/>
      <c r="CH880" s="11"/>
      <c r="CI880" s="11"/>
      <c r="CJ880" s="11"/>
      <c r="CK880" s="11"/>
      <c r="CL880" s="11"/>
      <c r="CM880" s="11"/>
      <c r="CN880" s="11"/>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c r="AB881" s="6"/>
      <c r="AC881" s="6"/>
      <c r="AD881" s="6"/>
      <c r="AE881" s="6"/>
      <c r="AF881" s="6"/>
      <c r="AG881" s="6"/>
      <c r="AH881" s="6"/>
      <c r="AI881" s="6"/>
      <c r="AJ881" s="6"/>
      <c r="AK881" s="6"/>
      <c r="AL881" s="6"/>
      <c r="AM881" s="6"/>
      <c r="AN881" s="6"/>
      <c r="AO881" s="6"/>
      <c r="AP881" s="6"/>
      <c r="AQ881" s="6"/>
      <c r="AR881" s="6"/>
      <c r="AS881" s="6"/>
      <c r="AT881" s="6"/>
      <c r="AU881" s="6"/>
      <c r="AV881" s="6"/>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11"/>
      <c r="BX881" s="11"/>
      <c r="BY881" s="11"/>
      <c r="BZ881" s="11"/>
      <c r="CA881" s="11"/>
      <c r="CB881" s="11"/>
      <c r="CC881" s="11"/>
      <c r="CD881" s="11"/>
      <c r="CE881" s="11"/>
      <c r="CF881" s="11"/>
      <c r="CG881" s="11"/>
      <c r="CH881" s="11"/>
      <c r="CI881" s="11"/>
      <c r="CJ881" s="11"/>
      <c r="CK881" s="11"/>
      <c r="CL881" s="11"/>
      <c r="CM881" s="11"/>
      <c r="CN881" s="11"/>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c r="AV882" s="6"/>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11"/>
      <c r="BX882" s="11"/>
      <c r="BY882" s="11"/>
      <c r="BZ882" s="11"/>
      <c r="CA882" s="11"/>
      <c r="CB882" s="11"/>
      <c r="CC882" s="11"/>
      <c r="CD882" s="11"/>
      <c r="CE882" s="11"/>
      <c r="CF882" s="11"/>
      <c r="CG882" s="11"/>
      <c r="CH882" s="11"/>
      <c r="CI882" s="11"/>
      <c r="CJ882" s="11"/>
      <c r="CK882" s="11"/>
      <c r="CL882" s="11"/>
      <c r="CM882" s="11"/>
      <c r="CN882" s="11"/>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c r="AB883" s="6"/>
      <c r="AC883" s="6"/>
      <c r="AD883" s="6"/>
      <c r="AE883" s="6"/>
      <c r="AF883" s="6"/>
      <c r="AG883" s="6"/>
      <c r="AH883" s="6"/>
      <c r="AI883" s="6"/>
      <c r="AJ883" s="6"/>
      <c r="AK883" s="6"/>
      <c r="AL883" s="6"/>
      <c r="AM883" s="6"/>
      <c r="AN883" s="6"/>
      <c r="AO883" s="6"/>
      <c r="AP883" s="6"/>
      <c r="AQ883" s="6"/>
      <c r="AR883" s="6"/>
      <c r="AS883" s="6"/>
      <c r="AT883" s="6"/>
      <c r="AU883" s="6"/>
      <c r="AV883" s="6"/>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11"/>
      <c r="BX883" s="11"/>
      <c r="BY883" s="11"/>
      <c r="BZ883" s="11"/>
      <c r="CA883" s="11"/>
      <c r="CB883" s="11"/>
      <c r="CC883" s="11"/>
      <c r="CD883" s="11"/>
      <c r="CE883" s="11"/>
      <c r="CF883" s="11"/>
      <c r="CG883" s="11"/>
      <c r="CH883" s="11"/>
      <c r="CI883" s="11"/>
      <c r="CJ883" s="11"/>
      <c r="CK883" s="11"/>
      <c r="CL883" s="11"/>
      <c r="CM883" s="11"/>
      <c r="CN883" s="11"/>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c r="AV884" s="6"/>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11"/>
      <c r="BX884" s="11"/>
      <c r="BY884" s="11"/>
      <c r="BZ884" s="11"/>
      <c r="CA884" s="11"/>
      <c r="CB884" s="11"/>
      <c r="CC884" s="11"/>
      <c r="CD884" s="11"/>
      <c r="CE884" s="11"/>
      <c r="CF884" s="11"/>
      <c r="CG884" s="11"/>
      <c r="CH884" s="11"/>
      <c r="CI884" s="11"/>
      <c r="CJ884" s="11"/>
      <c r="CK884" s="11"/>
      <c r="CL884" s="11"/>
      <c r="CM884" s="11"/>
      <c r="CN884" s="11"/>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c r="AB885" s="6"/>
      <c r="AC885" s="6"/>
      <c r="AD885" s="6"/>
      <c r="AE885" s="6"/>
      <c r="AF885" s="6"/>
      <c r="AG885" s="6"/>
      <c r="AH885" s="6"/>
      <c r="AI885" s="6"/>
      <c r="AJ885" s="6"/>
      <c r="AK885" s="6"/>
      <c r="AL885" s="6"/>
      <c r="AM885" s="6"/>
      <c r="AN885" s="6"/>
      <c r="AO885" s="6"/>
      <c r="AP885" s="6"/>
      <c r="AQ885" s="6"/>
      <c r="AR885" s="6"/>
      <c r="AS885" s="6"/>
      <c r="AT885" s="6"/>
      <c r="AU885" s="6"/>
      <c r="AV885" s="6"/>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11"/>
      <c r="BX885" s="11"/>
      <c r="BY885" s="11"/>
      <c r="BZ885" s="11"/>
      <c r="CA885" s="11"/>
      <c r="CB885" s="11"/>
      <c r="CC885" s="11"/>
      <c r="CD885" s="11"/>
      <c r="CE885" s="11"/>
      <c r="CF885" s="11"/>
      <c r="CG885" s="11"/>
      <c r="CH885" s="11"/>
      <c r="CI885" s="11"/>
      <c r="CJ885" s="11"/>
      <c r="CK885" s="11"/>
      <c r="CL885" s="11"/>
      <c r="CM885" s="11"/>
      <c r="CN885" s="11"/>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c r="AV886" s="6"/>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11"/>
      <c r="BX886" s="11"/>
      <c r="BY886" s="11"/>
      <c r="BZ886" s="11"/>
      <c r="CA886" s="11"/>
      <c r="CB886" s="11"/>
      <c r="CC886" s="11"/>
      <c r="CD886" s="11"/>
      <c r="CE886" s="11"/>
      <c r="CF886" s="11"/>
      <c r="CG886" s="11"/>
      <c r="CH886" s="11"/>
      <c r="CI886" s="11"/>
      <c r="CJ886" s="11"/>
      <c r="CK886" s="11"/>
      <c r="CL886" s="11"/>
      <c r="CM886" s="11"/>
      <c r="CN886" s="11"/>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c r="AQ887" s="6"/>
      <c r="AR887" s="6"/>
      <c r="AS887" s="6"/>
      <c r="AT887" s="6"/>
      <c r="AU887" s="6"/>
      <c r="AV887" s="6"/>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11"/>
      <c r="BX887" s="11"/>
      <c r="BY887" s="11"/>
      <c r="BZ887" s="11"/>
      <c r="CA887" s="11"/>
      <c r="CB887" s="11"/>
      <c r="CC887" s="11"/>
      <c r="CD887" s="11"/>
      <c r="CE887" s="11"/>
      <c r="CF887" s="11"/>
      <c r="CG887" s="11"/>
      <c r="CH887" s="11"/>
      <c r="CI887" s="11"/>
      <c r="CJ887" s="11"/>
      <c r="CK887" s="11"/>
      <c r="CL887" s="11"/>
      <c r="CM887" s="11"/>
      <c r="CN887" s="11"/>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c r="AV888" s="6"/>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11"/>
      <c r="BX888" s="11"/>
      <c r="BY888" s="11"/>
      <c r="BZ888" s="11"/>
      <c r="CA888" s="11"/>
      <c r="CB888" s="11"/>
      <c r="CC888" s="11"/>
      <c r="CD888" s="11"/>
      <c r="CE888" s="11"/>
      <c r="CF888" s="11"/>
      <c r="CG888" s="11"/>
      <c r="CH888" s="11"/>
      <c r="CI888" s="11"/>
      <c r="CJ888" s="11"/>
      <c r="CK888" s="11"/>
      <c r="CL888" s="11"/>
      <c r="CM888" s="11"/>
      <c r="CN888" s="11"/>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c r="AB889" s="6"/>
      <c r="AC889" s="6"/>
      <c r="AD889" s="6"/>
      <c r="AE889" s="6"/>
      <c r="AF889" s="6"/>
      <c r="AG889" s="6"/>
      <c r="AH889" s="6"/>
      <c r="AI889" s="6"/>
      <c r="AJ889" s="6"/>
      <c r="AK889" s="6"/>
      <c r="AL889" s="6"/>
      <c r="AM889" s="6"/>
      <c r="AN889" s="6"/>
      <c r="AO889" s="6"/>
      <c r="AP889" s="6"/>
      <c r="AQ889" s="6"/>
      <c r="AR889" s="6"/>
      <c r="AS889" s="6"/>
      <c r="AT889" s="6"/>
      <c r="AU889" s="6"/>
      <c r="AV889" s="6"/>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11"/>
      <c r="BX889" s="11"/>
      <c r="BY889" s="11"/>
      <c r="BZ889" s="11"/>
      <c r="CA889" s="11"/>
      <c r="CB889" s="11"/>
      <c r="CC889" s="11"/>
      <c r="CD889" s="11"/>
      <c r="CE889" s="11"/>
      <c r="CF889" s="11"/>
      <c r="CG889" s="11"/>
      <c r="CH889" s="11"/>
      <c r="CI889" s="11"/>
      <c r="CJ889" s="11"/>
      <c r="CK889" s="11"/>
      <c r="CL889" s="11"/>
      <c r="CM889" s="11"/>
      <c r="CN889" s="11"/>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c r="AV890" s="6"/>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11"/>
      <c r="BX890" s="11"/>
      <c r="BY890" s="11"/>
      <c r="BZ890" s="11"/>
      <c r="CA890" s="11"/>
      <c r="CB890" s="11"/>
      <c r="CC890" s="11"/>
      <c r="CD890" s="11"/>
      <c r="CE890" s="11"/>
      <c r="CF890" s="11"/>
      <c r="CG890" s="11"/>
      <c r="CH890" s="11"/>
      <c r="CI890" s="11"/>
      <c r="CJ890" s="11"/>
      <c r="CK890" s="11"/>
      <c r="CL890" s="11"/>
      <c r="CM890" s="11"/>
      <c r="CN890" s="11"/>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c r="AB891" s="6"/>
      <c r="AC891" s="6"/>
      <c r="AD891" s="6"/>
      <c r="AE891" s="6"/>
      <c r="AF891" s="6"/>
      <c r="AG891" s="6"/>
      <c r="AH891" s="6"/>
      <c r="AI891" s="6"/>
      <c r="AJ891" s="6"/>
      <c r="AK891" s="6"/>
      <c r="AL891" s="6"/>
      <c r="AM891" s="6"/>
      <c r="AN891" s="6"/>
      <c r="AO891" s="6"/>
      <c r="AP891" s="6"/>
      <c r="AQ891" s="6"/>
      <c r="AR891" s="6"/>
      <c r="AS891" s="6"/>
      <c r="AT891" s="6"/>
      <c r="AU891" s="6"/>
      <c r="AV891" s="6"/>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11"/>
      <c r="BX891" s="11"/>
      <c r="BY891" s="11"/>
      <c r="BZ891" s="11"/>
      <c r="CA891" s="11"/>
      <c r="CB891" s="11"/>
      <c r="CC891" s="11"/>
      <c r="CD891" s="11"/>
      <c r="CE891" s="11"/>
      <c r="CF891" s="11"/>
      <c r="CG891" s="11"/>
      <c r="CH891" s="11"/>
      <c r="CI891" s="11"/>
      <c r="CJ891" s="11"/>
      <c r="CK891" s="11"/>
      <c r="CL891" s="11"/>
      <c r="CM891" s="11"/>
      <c r="CN891" s="11"/>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c r="AV892" s="6"/>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11"/>
      <c r="BX892" s="11"/>
      <c r="BY892" s="11"/>
      <c r="BZ892" s="11"/>
      <c r="CA892" s="11"/>
      <c r="CB892" s="11"/>
      <c r="CC892" s="11"/>
      <c r="CD892" s="11"/>
      <c r="CE892" s="11"/>
      <c r="CF892" s="11"/>
      <c r="CG892" s="11"/>
      <c r="CH892" s="11"/>
      <c r="CI892" s="11"/>
      <c r="CJ892" s="11"/>
      <c r="CK892" s="11"/>
      <c r="CL892" s="11"/>
      <c r="CM892" s="11"/>
      <c r="CN892" s="11"/>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c r="AB893" s="6"/>
      <c r="AC893" s="6"/>
      <c r="AD893" s="6"/>
      <c r="AE893" s="6"/>
      <c r="AF893" s="6"/>
      <c r="AG893" s="6"/>
      <c r="AH893" s="6"/>
      <c r="AI893" s="6"/>
      <c r="AJ893" s="6"/>
      <c r="AK893" s="6"/>
      <c r="AL893" s="6"/>
      <c r="AM893" s="6"/>
      <c r="AN893" s="6"/>
      <c r="AO893" s="6"/>
      <c r="AP893" s="6"/>
      <c r="AQ893" s="6"/>
      <c r="AR893" s="6"/>
      <c r="AS893" s="6"/>
      <c r="AT893" s="6"/>
      <c r="AU893" s="6"/>
      <c r="AV893" s="6"/>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11"/>
      <c r="BX893" s="11"/>
      <c r="BY893" s="11"/>
      <c r="BZ893" s="11"/>
      <c r="CA893" s="11"/>
      <c r="CB893" s="11"/>
      <c r="CC893" s="11"/>
      <c r="CD893" s="11"/>
      <c r="CE893" s="11"/>
      <c r="CF893" s="11"/>
      <c r="CG893" s="11"/>
      <c r="CH893" s="11"/>
      <c r="CI893" s="11"/>
      <c r="CJ893" s="11"/>
      <c r="CK893" s="11"/>
      <c r="CL893" s="11"/>
      <c r="CM893" s="11"/>
      <c r="CN893" s="11"/>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c r="AV894" s="6"/>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11"/>
      <c r="BX894" s="11"/>
      <c r="BY894" s="11"/>
      <c r="BZ894" s="11"/>
      <c r="CA894" s="11"/>
      <c r="CB894" s="11"/>
      <c r="CC894" s="11"/>
      <c r="CD894" s="11"/>
      <c r="CE894" s="11"/>
      <c r="CF894" s="11"/>
      <c r="CG894" s="11"/>
      <c r="CH894" s="11"/>
      <c r="CI894" s="11"/>
      <c r="CJ894" s="11"/>
      <c r="CK894" s="11"/>
      <c r="CL894" s="11"/>
      <c r="CM894" s="11"/>
      <c r="CN894" s="11"/>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c r="AB895" s="6"/>
      <c r="AC895" s="6"/>
      <c r="AD895" s="6"/>
      <c r="AE895" s="6"/>
      <c r="AF895" s="6"/>
      <c r="AG895" s="6"/>
      <c r="AH895" s="6"/>
      <c r="AI895" s="6"/>
      <c r="AJ895" s="6"/>
      <c r="AK895" s="6"/>
      <c r="AL895" s="6"/>
      <c r="AM895" s="6"/>
      <c r="AN895" s="6"/>
      <c r="AO895" s="6"/>
      <c r="AP895" s="6"/>
      <c r="AQ895" s="6"/>
      <c r="AR895" s="6"/>
      <c r="AS895" s="6"/>
      <c r="AT895" s="6"/>
      <c r="AU895" s="6"/>
      <c r="AV895" s="6"/>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11"/>
      <c r="BX895" s="11"/>
      <c r="BY895" s="11"/>
      <c r="BZ895" s="11"/>
      <c r="CA895" s="11"/>
      <c r="CB895" s="11"/>
      <c r="CC895" s="11"/>
      <c r="CD895" s="11"/>
      <c r="CE895" s="11"/>
      <c r="CF895" s="11"/>
      <c r="CG895" s="11"/>
      <c r="CH895" s="11"/>
      <c r="CI895" s="11"/>
      <c r="CJ895" s="11"/>
      <c r="CK895" s="11"/>
      <c r="CL895" s="11"/>
      <c r="CM895" s="11"/>
      <c r="CN895" s="11"/>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c r="AV896" s="6"/>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11"/>
      <c r="BX896" s="11"/>
      <c r="BY896" s="11"/>
      <c r="BZ896" s="11"/>
      <c r="CA896" s="11"/>
      <c r="CB896" s="11"/>
      <c r="CC896" s="11"/>
      <c r="CD896" s="11"/>
      <c r="CE896" s="11"/>
      <c r="CF896" s="11"/>
      <c r="CG896" s="11"/>
      <c r="CH896" s="11"/>
      <c r="CI896" s="11"/>
      <c r="CJ896" s="11"/>
      <c r="CK896" s="11"/>
      <c r="CL896" s="11"/>
      <c r="CM896" s="11"/>
      <c r="CN896" s="11"/>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c r="AB897" s="6"/>
      <c r="AC897" s="6"/>
      <c r="AD897" s="6"/>
      <c r="AE897" s="6"/>
      <c r="AF897" s="6"/>
      <c r="AG897" s="6"/>
      <c r="AH897" s="6"/>
      <c r="AI897" s="6"/>
      <c r="AJ897" s="6"/>
      <c r="AK897" s="6"/>
      <c r="AL897" s="6"/>
      <c r="AM897" s="6"/>
      <c r="AN897" s="6"/>
      <c r="AO897" s="6"/>
      <c r="AP897" s="6"/>
      <c r="AQ897" s="6"/>
      <c r="AR897" s="6"/>
      <c r="AS897" s="6"/>
      <c r="AT897" s="6"/>
      <c r="AU897" s="6"/>
      <c r="AV897" s="6"/>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11"/>
      <c r="BX897" s="11"/>
      <c r="BY897" s="11"/>
      <c r="BZ897" s="11"/>
      <c r="CA897" s="11"/>
      <c r="CB897" s="11"/>
      <c r="CC897" s="11"/>
      <c r="CD897" s="11"/>
      <c r="CE897" s="11"/>
      <c r="CF897" s="11"/>
      <c r="CG897" s="11"/>
      <c r="CH897" s="11"/>
      <c r="CI897" s="11"/>
      <c r="CJ897" s="11"/>
      <c r="CK897" s="11"/>
      <c r="CL897" s="11"/>
      <c r="CM897" s="11"/>
      <c r="CN897" s="11"/>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c r="AV898" s="6"/>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11"/>
      <c r="BX898" s="11"/>
      <c r="BY898" s="11"/>
      <c r="BZ898" s="11"/>
      <c r="CA898" s="11"/>
      <c r="CB898" s="11"/>
      <c r="CC898" s="11"/>
      <c r="CD898" s="11"/>
      <c r="CE898" s="11"/>
      <c r="CF898" s="11"/>
      <c r="CG898" s="11"/>
      <c r="CH898" s="11"/>
      <c r="CI898" s="11"/>
      <c r="CJ898" s="11"/>
      <c r="CK898" s="11"/>
      <c r="CL898" s="11"/>
      <c r="CM898" s="11"/>
      <c r="CN898" s="11"/>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c r="AB899" s="6"/>
      <c r="AC899" s="6"/>
      <c r="AD899" s="6"/>
      <c r="AE899" s="6"/>
      <c r="AF899" s="6"/>
      <c r="AG899" s="6"/>
      <c r="AH899" s="6"/>
      <c r="AI899" s="6"/>
      <c r="AJ899" s="6"/>
      <c r="AK899" s="6"/>
      <c r="AL899" s="6"/>
      <c r="AM899" s="6"/>
      <c r="AN899" s="6"/>
      <c r="AO899" s="6"/>
      <c r="AP899" s="6"/>
      <c r="AQ899" s="6"/>
      <c r="AR899" s="6"/>
      <c r="AS899" s="6"/>
      <c r="AT899" s="6"/>
      <c r="AU899" s="6"/>
      <c r="AV899" s="6"/>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11"/>
      <c r="BX899" s="11"/>
      <c r="BY899" s="11"/>
      <c r="BZ899" s="11"/>
      <c r="CA899" s="11"/>
      <c r="CB899" s="11"/>
      <c r="CC899" s="11"/>
      <c r="CD899" s="11"/>
      <c r="CE899" s="11"/>
      <c r="CF899" s="11"/>
      <c r="CG899" s="11"/>
      <c r="CH899" s="11"/>
      <c r="CI899" s="11"/>
      <c r="CJ899" s="11"/>
      <c r="CK899" s="11"/>
      <c r="CL899" s="11"/>
      <c r="CM899" s="11"/>
      <c r="CN899" s="11"/>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c r="AV900" s="6"/>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11"/>
      <c r="BX900" s="11"/>
      <c r="BY900" s="11"/>
      <c r="BZ900" s="11"/>
      <c r="CA900" s="11"/>
      <c r="CB900" s="11"/>
      <c r="CC900" s="11"/>
      <c r="CD900" s="11"/>
      <c r="CE900" s="11"/>
      <c r="CF900" s="11"/>
      <c r="CG900" s="11"/>
      <c r="CH900" s="11"/>
      <c r="CI900" s="11"/>
      <c r="CJ900" s="11"/>
      <c r="CK900" s="11"/>
      <c r="CL900" s="11"/>
      <c r="CM900" s="11"/>
      <c r="CN900" s="11"/>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c r="AB901" s="6"/>
      <c r="AC901" s="6"/>
      <c r="AD901" s="6"/>
      <c r="AE901" s="6"/>
      <c r="AF901" s="6"/>
      <c r="AG901" s="6"/>
      <c r="AH901" s="6"/>
      <c r="AI901" s="6"/>
      <c r="AJ901" s="6"/>
      <c r="AK901" s="6"/>
      <c r="AL901" s="6"/>
      <c r="AM901" s="6"/>
      <c r="AN901" s="6"/>
      <c r="AO901" s="6"/>
      <c r="AP901" s="6"/>
      <c r="AQ901" s="6"/>
      <c r="AR901" s="6"/>
      <c r="AS901" s="6"/>
      <c r="AT901" s="6"/>
      <c r="AU901" s="6"/>
      <c r="AV901" s="6"/>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11"/>
      <c r="BX901" s="11"/>
      <c r="BY901" s="11"/>
      <c r="BZ901" s="11"/>
      <c r="CA901" s="11"/>
      <c r="CB901" s="11"/>
      <c r="CC901" s="11"/>
      <c r="CD901" s="11"/>
      <c r="CE901" s="11"/>
      <c r="CF901" s="11"/>
      <c r="CG901" s="11"/>
      <c r="CH901" s="11"/>
      <c r="CI901" s="11"/>
      <c r="CJ901" s="11"/>
      <c r="CK901" s="11"/>
      <c r="CL901" s="11"/>
      <c r="CM901" s="11"/>
      <c r="CN901" s="11"/>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c r="AV902" s="6"/>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11"/>
      <c r="BX902" s="11"/>
      <c r="BY902" s="11"/>
      <c r="BZ902" s="11"/>
      <c r="CA902" s="11"/>
      <c r="CB902" s="11"/>
      <c r="CC902" s="11"/>
      <c r="CD902" s="11"/>
      <c r="CE902" s="11"/>
      <c r="CF902" s="11"/>
      <c r="CG902" s="11"/>
      <c r="CH902" s="11"/>
      <c r="CI902" s="11"/>
      <c r="CJ902" s="11"/>
      <c r="CK902" s="11"/>
      <c r="CL902" s="11"/>
      <c r="CM902" s="11"/>
      <c r="CN902" s="11"/>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c r="AB903" s="6"/>
      <c r="AC903" s="6"/>
      <c r="AD903" s="6"/>
      <c r="AE903" s="6"/>
      <c r="AF903" s="6"/>
      <c r="AG903" s="6"/>
      <c r="AH903" s="6"/>
      <c r="AI903" s="6"/>
      <c r="AJ903" s="6"/>
      <c r="AK903" s="6"/>
      <c r="AL903" s="6"/>
      <c r="AM903" s="6"/>
      <c r="AN903" s="6"/>
      <c r="AO903" s="6"/>
      <c r="AP903" s="6"/>
      <c r="AQ903" s="6"/>
      <c r="AR903" s="6"/>
      <c r="AS903" s="6"/>
      <c r="AT903" s="6"/>
      <c r="AU903" s="6"/>
      <c r="AV903" s="6"/>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11"/>
      <c r="BX903" s="11"/>
      <c r="BY903" s="11"/>
      <c r="BZ903" s="11"/>
      <c r="CA903" s="11"/>
      <c r="CB903" s="11"/>
      <c r="CC903" s="11"/>
      <c r="CD903" s="11"/>
      <c r="CE903" s="11"/>
      <c r="CF903" s="11"/>
      <c r="CG903" s="11"/>
      <c r="CH903" s="11"/>
      <c r="CI903" s="11"/>
      <c r="CJ903" s="11"/>
      <c r="CK903" s="11"/>
      <c r="CL903" s="11"/>
      <c r="CM903" s="11"/>
      <c r="CN903" s="11"/>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c r="AV904" s="6"/>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11"/>
      <c r="BX904" s="11"/>
      <c r="BY904" s="11"/>
      <c r="BZ904" s="11"/>
      <c r="CA904" s="11"/>
      <c r="CB904" s="11"/>
      <c r="CC904" s="11"/>
      <c r="CD904" s="11"/>
      <c r="CE904" s="11"/>
      <c r="CF904" s="11"/>
      <c r="CG904" s="11"/>
      <c r="CH904" s="11"/>
      <c r="CI904" s="11"/>
      <c r="CJ904" s="11"/>
      <c r="CK904" s="11"/>
      <c r="CL904" s="11"/>
      <c r="CM904" s="11"/>
      <c r="CN904" s="11"/>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c r="AB905" s="6"/>
      <c r="AC905" s="6"/>
      <c r="AD905" s="6"/>
      <c r="AE905" s="6"/>
      <c r="AF905" s="6"/>
      <c r="AG905" s="6"/>
      <c r="AH905" s="6"/>
      <c r="AI905" s="6"/>
      <c r="AJ905" s="6"/>
      <c r="AK905" s="6"/>
      <c r="AL905" s="6"/>
      <c r="AM905" s="6"/>
      <c r="AN905" s="6"/>
      <c r="AO905" s="6"/>
      <c r="AP905" s="6"/>
      <c r="AQ905" s="6"/>
      <c r="AR905" s="6"/>
      <c r="AS905" s="6"/>
      <c r="AT905" s="6"/>
      <c r="AU905" s="6"/>
      <c r="AV905" s="6"/>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11"/>
      <c r="BX905" s="11"/>
      <c r="BY905" s="11"/>
      <c r="BZ905" s="11"/>
      <c r="CA905" s="11"/>
      <c r="CB905" s="11"/>
      <c r="CC905" s="11"/>
      <c r="CD905" s="11"/>
      <c r="CE905" s="11"/>
      <c r="CF905" s="11"/>
      <c r="CG905" s="11"/>
      <c r="CH905" s="11"/>
      <c r="CI905" s="11"/>
      <c r="CJ905" s="11"/>
      <c r="CK905" s="11"/>
      <c r="CL905" s="11"/>
      <c r="CM905" s="11"/>
      <c r="CN905" s="11"/>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c r="AV906" s="6"/>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11"/>
      <c r="BX906" s="11"/>
      <c r="BY906" s="11"/>
      <c r="BZ906" s="11"/>
      <c r="CA906" s="11"/>
      <c r="CB906" s="11"/>
      <c r="CC906" s="11"/>
      <c r="CD906" s="11"/>
      <c r="CE906" s="11"/>
      <c r="CF906" s="11"/>
      <c r="CG906" s="11"/>
      <c r="CH906" s="11"/>
      <c r="CI906" s="11"/>
      <c r="CJ906" s="11"/>
      <c r="CK906" s="11"/>
      <c r="CL906" s="11"/>
      <c r="CM906" s="11"/>
      <c r="CN906" s="11"/>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c r="AB907" s="6"/>
      <c r="AC907" s="6"/>
      <c r="AD907" s="6"/>
      <c r="AE907" s="6"/>
      <c r="AF907" s="6"/>
      <c r="AG907" s="6"/>
      <c r="AH907" s="6"/>
      <c r="AI907" s="6"/>
      <c r="AJ907" s="6"/>
      <c r="AK907" s="6"/>
      <c r="AL907" s="6"/>
      <c r="AM907" s="6"/>
      <c r="AN907" s="6"/>
      <c r="AO907" s="6"/>
      <c r="AP907" s="6"/>
      <c r="AQ907" s="6"/>
      <c r="AR907" s="6"/>
      <c r="AS907" s="6"/>
      <c r="AT907" s="6"/>
      <c r="AU907" s="6"/>
      <c r="AV907" s="6"/>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11"/>
      <c r="BX907" s="11"/>
      <c r="BY907" s="11"/>
      <c r="BZ907" s="11"/>
      <c r="CA907" s="11"/>
      <c r="CB907" s="11"/>
      <c r="CC907" s="11"/>
      <c r="CD907" s="11"/>
      <c r="CE907" s="11"/>
      <c r="CF907" s="11"/>
      <c r="CG907" s="11"/>
      <c r="CH907" s="11"/>
      <c r="CI907" s="11"/>
      <c r="CJ907" s="11"/>
      <c r="CK907" s="11"/>
      <c r="CL907" s="11"/>
      <c r="CM907" s="11"/>
      <c r="CN907" s="11"/>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c r="AV908" s="6"/>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11"/>
      <c r="BX908" s="11"/>
      <c r="BY908" s="11"/>
      <c r="BZ908" s="11"/>
      <c r="CA908" s="11"/>
      <c r="CB908" s="11"/>
      <c r="CC908" s="11"/>
      <c r="CD908" s="11"/>
      <c r="CE908" s="11"/>
      <c r="CF908" s="11"/>
      <c r="CG908" s="11"/>
      <c r="CH908" s="11"/>
      <c r="CI908" s="11"/>
      <c r="CJ908" s="11"/>
      <c r="CK908" s="11"/>
      <c r="CL908" s="11"/>
      <c r="CM908" s="11"/>
      <c r="CN908" s="11"/>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c r="AB909" s="6"/>
      <c r="AC909" s="6"/>
      <c r="AD909" s="6"/>
      <c r="AE909" s="6"/>
      <c r="AF909" s="6"/>
      <c r="AG909" s="6"/>
      <c r="AH909" s="6"/>
      <c r="AI909" s="6"/>
      <c r="AJ909" s="6"/>
      <c r="AK909" s="6"/>
      <c r="AL909" s="6"/>
      <c r="AM909" s="6"/>
      <c r="AN909" s="6"/>
      <c r="AO909" s="6"/>
      <c r="AP909" s="6"/>
      <c r="AQ909" s="6"/>
      <c r="AR909" s="6"/>
      <c r="AS909" s="6"/>
      <c r="AT909" s="6"/>
      <c r="AU909" s="6"/>
      <c r="AV909" s="6"/>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11"/>
      <c r="BX909" s="11"/>
      <c r="BY909" s="11"/>
      <c r="BZ909" s="11"/>
      <c r="CA909" s="11"/>
      <c r="CB909" s="11"/>
      <c r="CC909" s="11"/>
      <c r="CD909" s="11"/>
      <c r="CE909" s="11"/>
      <c r="CF909" s="11"/>
      <c r="CG909" s="11"/>
      <c r="CH909" s="11"/>
      <c r="CI909" s="11"/>
      <c r="CJ909" s="11"/>
      <c r="CK909" s="11"/>
      <c r="CL909" s="11"/>
      <c r="CM909" s="11"/>
      <c r="CN909" s="11"/>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c r="AV910" s="6"/>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11"/>
      <c r="BX910" s="11"/>
      <c r="BY910" s="11"/>
      <c r="BZ910" s="11"/>
      <c r="CA910" s="11"/>
      <c r="CB910" s="11"/>
      <c r="CC910" s="11"/>
      <c r="CD910" s="11"/>
      <c r="CE910" s="11"/>
      <c r="CF910" s="11"/>
      <c r="CG910" s="11"/>
      <c r="CH910" s="11"/>
      <c r="CI910" s="11"/>
      <c r="CJ910" s="11"/>
      <c r="CK910" s="11"/>
      <c r="CL910" s="11"/>
      <c r="CM910" s="11"/>
      <c r="CN910" s="11"/>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c r="AB911" s="6"/>
      <c r="AC911" s="6"/>
      <c r="AD911" s="6"/>
      <c r="AE911" s="6"/>
      <c r="AF911" s="6"/>
      <c r="AG911" s="6"/>
      <c r="AH911" s="6"/>
      <c r="AI911" s="6"/>
      <c r="AJ911" s="6"/>
      <c r="AK911" s="6"/>
      <c r="AL911" s="6"/>
      <c r="AM911" s="6"/>
      <c r="AN911" s="6"/>
      <c r="AO911" s="6"/>
      <c r="AP911" s="6"/>
      <c r="AQ911" s="6"/>
      <c r="AR911" s="6"/>
      <c r="AS911" s="6"/>
      <c r="AT911" s="6"/>
      <c r="AU911" s="6"/>
      <c r="AV911" s="6"/>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11"/>
      <c r="BX911" s="11"/>
      <c r="BY911" s="11"/>
      <c r="BZ911" s="11"/>
      <c r="CA911" s="11"/>
      <c r="CB911" s="11"/>
      <c r="CC911" s="11"/>
      <c r="CD911" s="11"/>
      <c r="CE911" s="11"/>
      <c r="CF911" s="11"/>
      <c r="CG911" s="11"/>
      <c r="CH911" s="11"/>
      <c r="CI911" s="11"/>
      <c r="CJ911" s="11"/>
      <c r="CK911" s="11"/>
      <c r="CL911" s="11"/>
      <c r="CM911" s="11"/>
      <c r="CN911" s="11"/>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c r="AV912" s="6"/>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11"/>
      <c r="BX912" s="11"/>
      <c r="BY912" s="11"/>
      <c r="BZ912" s="11"/>
      <c r="CA912" s="11"/>
      <c r="CB912" s="11"/>
      <c r="CC912" s="11"/>
      <c r="CD912" s="11"/>
      <c r="CE912" s="11"/>
      <c r="CF912" s="11"/>
      <c r="CG912" s="11"/>
      <c r="CH912" s="11"/>
      <c r="CI912" s="11"/>
      <c r="CJ912" s="11"/>
      <c r="CK912" s="11"/>
      <c r="CL912" s="11"/>
      <c r="CM912" s="11"/>
      <c r="CN912" s="11"/>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c r="AB913" s="6"/>
      <c r="AC913" s="6"/>
      <c r="AD913" s="6"/>
      <c r="AE913" s="6"/>
      <c r="AF913" s="6"/>
      <c r="AG913" s="6"/>
      <c r="AH913" s="6"/>
      <c r="AI913" s="6"/>
      <c r="AJ913" s="6"/>
      <c r="AK913" s="6"/>
      <c r="AL913" s="6"/>
      <c r="AM913" s="6"/>
      <c r="AN913" s="6"/>
      <c r="AO913" s="6"/>
      <c r="AP913" s="6"/>
      <c r="AQ913" s="6"/>
      <c r="AR913" s="6"/>
      <c r="AS913" s="6"/>
      <c r="AT913" s="6"/>
      <c r="AU913" s="6"/>
      <c r="AV913" s="6"/>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11"/>
      <c r="BX913" s="11"/>
      <c r="BY913" s="11"/>
      <c r="BZ913" s="11"/>
      <c r="CA913" s="11"/>
      <c r="CB913" s="11"/>
      <c r="CC913" s="11"/>
      <c r="CD913" s="11"/>
      <c r="CE913" s="11"/>
      <c r="CF913" s="11"/>
      <c r="CG913" s="11"/>
      <c r="CH913" s="11"/>
      <c r="CI913" s="11"/>
      <c r="CJ913" s="11"/>
      <c r="CK913" s="11"/>
      <c r="CL913" s="11"/>
      <c r="CM913" s="11"/>
      <c r="CN913" s="11"/>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c r="AV914" s="6"/>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11"/>
      <c r="BX914" s="11"/>
      <c r="BY914" s="11"/>
      <c r="BZ914" s="11"/>
      <c r="CA914" s="11"/>
      <c r="CB914" s="11"/>
      <c r="CC914" s="11"/>
      <c r="CD914" s="11"/>
      <c r="CE914" s="11"/>
      <c r="CF914" s="11"/>
      <c r="CG914" s="11"/>
      <c r="CH914" s="11"/>
      <c r="CI914" s="11"/>
      <c r="CJ914" s="11"/>
      <c r="CK914" s="11"/>
      <c r="CL914" s="11"/>
      <c r="CM914" s="11"/>
      <c r="CN914" s="11"/>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c r="AB915" s="6"/>
      <c r="AC915" s="6"/>
      <c r="AD915" s="6"/>
      <c r="AE915" s="6"/>
      <c r="AF915" s="6"/>
      <c r="AG915" s="6"/>
      <c r="AH915" s="6"/>
      <c r="AI915" s="6"/>
      <c r="AJ915" s="6"/>
      <c r="AK915" s="6"/>
      <c r="AL915" s="6"/>
      <c r="AM915" s="6"/>
      <c r="AN915" s="6"/>
      <c r="AO915" s="6"/>
      <c r="AP915" s="6"/>
      <c r="AQ915" s="6"/>
      <c r="AR915" s="6"/>
      <c r="AS915" s="6"/>
      <c r="AT915" s="6"/>
      <c r="AU915" s="6"/>
      <c r="AV915" s="6"/>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11"/>
      <c r="BX915" s="11"/>
      <c r="BY915" s="11"/>
      <c r="BZ915" s="11"/>
      <c r="CA915" s="11"/>
      <c r="CB915" s="11"/>
      <c r="CC915" s="11"/>
      <c r="CD915" s="11"/>
      <c r="CE915" s="11"/>
      <c r="CF915" s="11"/>
      <c r="CG915" s="11"/>
      <c r="CH915" s="11"/>
      <c r="CI915" s="11"/>
      <c r="CJ915" s="11"/>
      <c r="CK915" s="11"/>
      <c r="CL915" s="11"/>
      <c r="CM915" s="11"/>
      <c r="CN915" s="11"/>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c r="AV916" s="6"/>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11"/>
      <c r="BX916" s="11"/>
      <c r="BY916" s="11"/>
      <c r="BZ916" s="11"/>
      <c r="CA916" s="11"/>
      <c r="CB916" s="11"/>
      <c r="CC916" s="11"/>
      <c r="CD916" s="11"/>
      <c r="CE916" s="11"/>
      <c r="CF916" s="11"/>
      <c r="CG916" s="11"/>
      <c r="CH916" s="11"/>
      <c r="CI916" s="11"/>
      <c r="CJ916" s="11"/>
      <c r="CK916" s="11"/>
      <c r="CL916" s="11"/>
      <c r="CM916" s="11"/>
      <c r="CN916" s="11"/>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c r="AB917" s="6"/>
      <c r="AC917" s="6"/>
      <c r="AD917" s="6"/>
      <c r="AE917" s="6"/>
      <c r="AF917" s="6"/>
      <c r="AG917" s="6"/>
      <c r="AH917" s="6"/>
      <c r="AI917" s="6"/>
      <c r="AJ917" s="6"/>
      <c r="AK917" s="6"/>
      <c r="AL917" s="6"/>
      <c r="AM917" s="6"/>
      <c r="AN917" s="6"/>
      <c r="AO917" s="6"/>
      <c r="AP917" s="6"/>
      <c r="AQ917" s="6"/>
      <c r="AR917" s="6"/>
      <c r="AS917" s="6"/>
      <c r="AT917" s="6"/>
      <c r="AU917" s="6"/>
      <c r="AV917" s="6"/>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11"/>
      <c r="BX917" s="11"/>
      <c r="BY917" s="11"/>
      <c r="BZ917" s="11"/>
      <c r="CA917" s="11"/>
      <c r="CB917" s="11"/>
      <c r="CC917" s="11"/>
      <c r="CD917" s="11"/>
      <c r="CE917" s="11"/>
      <c r="CF917" s="11"/>
      <c r="CG917" s="11"/>
      <c r="CH917" s="11"/>
      <c r="CI917" s="11"/>
      <c r="CJ917" s="11"/>
      <c r="CK917" s="11"/>
      <c r="CL917" s="11"/>
      <c r="CM917" s="11"/>
      <c r="CN917" s="11"/>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c r="AV918" s="6"/>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11"/>
      <c r="BX918" s="11"/>
      <c r="BY918" s="11"/>
      <c r="BZ918" s="11"/>
      <c r="CA918" s="11"/>
      <c r="CB918" s="11"/>
      <c r="CC918" s="11"/>
      <c r="CD918" s="11"/>
      <c r="CE918" s="11"/>
      <c r="CF918" s="11"/>
      <c r="CG918" s="11"/>
      <c r="CH918" s="11"/>
      <c r="CI918" s="11"/>
      <c r="CJ918" s="11"/>
      <c r="CK918" s="11"/>
      <c r="CL918" s="11"/>
      <c r="CM918" s="11"/>
      <c r="CN918" s="11"/>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c r="AB919" s="6"/>
      <c r="AC919" s="6"/>
      <c r="AD919" s="6"/>
      <c r="AE919" s="6"/>
      <c r="AF919" s="6"/>
      <c r="AG919" s="6"/>
      <c r="AH919" s="6"/>
      <c r="AI919" s="6"/>
      <c r="AJ919" s="6"/>
      <c r="AK919" s="6"/>
      <c r="AL919" s="6"/>
      <c r="AM919" s="6"/>
      <c r="AN919" s="6"/>
      <c r="AO919" s="6"/>
      <c r="AP919" s="6"/>
      <c r="AQ919" s="6"/>
      <c r="AR919" s="6"/>
      <c r="AS919" s="6"/>
      <c r="AT919" s="6"/>
      <c r="AU919" s="6"/>
      <c r="AV919" s="6"/>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11"/>
      <c r="BX919" s="11"/>
      <c r="BY919" s="11"/>
      <c r="BZ919" s="11"/>
      <c r="CA919" s="11"/>
      <c r="CB919" s="11"/>
      <c r="CC919" s="11"/>
      <c r="CD919" s="11"/>
      <c r="CE919" s="11"/>
      <c r="CF919" s="11"/>
      <c r="CG919" s="11"/>
      <c r="CH919" s="11"/>
      <c r="CI919" s="11"/>
      <c r="CJ919" s="11"/>
      <c r="CK919" s="11"/>
      <c r="CL919" s="11"/>
      <c r="CM919" s="11"/>
      <c r="CN919" s="11"/>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c r="AV920" s="6"/>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11"/>
      <c r="BX920" s="11"/>
      <c r="BY920" s="11"/>
      <c r="BZ920" s="11"/>
      <c r="CA920" s="11"/>
      <c r="CB920" s="11"/>
      <c r="CC920" s="11"/>
      <c r="CD920" s="11"/>
      <c r="CE920" s="11"/>
      <c r="CF920" s="11"/>
      <c r="CG920" s="11"/>
      <c r="CH920" s="11"/>
      <c r="CI920" s="11"/>
      <c r="CJ920" s="11"/>
      <c r="CK920" s="11"/>
      <c r="CL920" s="11"/>
      <c r="CM920" s="11"/>
      <c r="CN920" s="11"/>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c r="AB921" s="6"/>
      <c r="AC921" s="6"/>
      <c r="AD921" s="6"/>
      <c r="AE921" s="6"/>
      <c r="AF921" s="6"/>
      <c r="AG921" s="6"/>
      <c r="AH921" s="6"/>
      <c r="AI921" s="6"/>
      <c r="AJ921" s="6"/>
      <c r="AK921" s="6"/>
      <c r="AL921" s="6"/>
      <c r="AM921" s="6"/>
      <c r="AN921" s="6"/>
      <c r="AO921" s="6"/>
      <c r="AP921" s="6"/>
      <c r="AQ921" s="6"/>
      <c r="AR921" s="6"/>
      <c r="AS921" s="6"/>
      <c r="AT921" s="6"/>
      <c r="AU921" s="6"/>
      <c r="AV921" s="6"/>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11"/>
      <c r="BX921" s="11"/>
      <c r="BY921" s="11"/>
      <c r="BZ921" s="11"/>
      <c r="CA921" s="11"/>
      <c r="CB921" s="11"/>
      <c r="CC921" s="11"/>
      <c r="CD921" s="11"/>
      <c r="CE921" s="11"/>
      <c r="CF921" s="11"/>
      <c r="CG921" s="11"/>
      <c r="CH921" s="11"/>
      <c r="CI921" s="11"/>
      <c r="CJ921" s="11"/>
      <c r="CK921" s="11"/>
      <c r="CL921" s="11"/>
      <c r="CM921" s="11"/>
      <c r="CN921" s="11"/>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c r="AV922" s="6"/>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11"/>
      <c r="BX922" s="11"/>
      <c r="BY922" s="11"/>
      <c r="BZ922" s="11"/>
      <c r="CA922" s="11"/>
      <c r="CB922" s="11"/>
      <c r="CC922" s="11"/>
      <c r="CD922" s="11"/>
      <c r="CE922" s="11"/>
      <c r="CF922" s="11"/>
      <c r="CG922" s="11"/>
      <c r="CH922" s="11"/>
      <c r="CI922" s="11"/>
      <c r="CJ922" s="11"/>
      <c r="CK922" s="11"/>
      <c r="CL922" s="11"/>
      <c r="CM922" s="11"/>
      <c r="CN922" s="11"/>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c r="AB923" s="6"/>
      <c r="AC923" s="6"/>
      <c r="AD923" s="6"/>
      <c r="AE923" s="6"/>
      <c r="AF923" s="6"/>
      <c r="AG923" s="6"/>
      <c r="AH923" s="6"/>
      <c r="AI923" s="6"/>
      <c r="AJ923" s="6"/>
      <c r="AK923" s="6"/>
      <c r="AL923" s="6"/>
      <c r="AM923" s="6"/>
      <c r="AN923" s="6"/>
      <c r="AO923" s="6"/>
      <c r="AP923" s="6"/>
      <c r="AQ923" s="6"/>
      <c r="AR923" s="6"/>
      <c r="AS923" s="6"/>
      <c r="AT923" s="6"/>
      <c r="AU923" s="6"/>
      <c r="AV923" s="6"/>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11"/>
      <c r="BX923" s="11"/>
      <c r="BY923" s="11"/>
      <c r="BZ923" s="11"/>
      <c r="CA923" s="11"/>
      <c r="CB923" s="11"/>
      <c r="CC923" s="11"/>
      <c r="CD923" s="11"/>
      <c r="CE923" s="11"/>
      <c r="CF923" s="11"/>
      <c r="CG923" s="11"/>
      <c r="CH923" s="11"/>
      <c r="CI923" s="11"/>
      <c r="CJ923" s="11"/>
      <c r="CK923" s="11"/>
      <c r="CL923" s="11"/>
      <c r="CM923" s="11"/>
      <c r="CN923" s="11"/>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c r="AV924" s="6"/>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11"/>
      <c r="BX924" s="11"/>
      <c r="BY924" s="11"/>
      <c r="BZ924" s="11"/>
      <c r="CA924" s="11"/>
      <c r="CB924" s="11"/>
      <c r="CC924" s="11"/>
      <c r="CD924" s="11"/>
      <c r="CE924" s="11"/>
      <c r="CF924" s="11"/>
      <c r="CG924" s="11"/>
      <c r="CH924" s="11"/>
      <c r="CI924" s="11"/>
      <c r="CJ924" s="11"/>
      <c r="CK924" s="11"/>
      <c r="CL924" s="11"/>
      <c r="CM924" s="11"/>
      <c r="CN924" s="11"/>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c r="AB925" s="6"/>
      <c r="AC925" s="6"/>
      <c r="AD925" s="6"/>
      <c r="AE925" s="6"/>
      <c r="AF925" s="6"/>
      <c r="AG925" s="6"/>
      <c r="AH925" s="6"/>
      <c r="AI925" s="6"/>
      <c r="AJ925" s="6"/>
      <c r="AK925" s="6"/>
      <c r="AL925" s="6"/>
      <c r="AM925" s="6"/>
      <c r="AN925" s="6"/>
      <c r="AO925" s="6"/>
      <c r="AP925" s="6"/>
      <c r="AQ925" s="6"/>
      <c r="AR925" s="6"/>
      <c r="AS925" s="6"/>
      <c r="AT925" s="6"/>
      <c r="AU925" s="6"/>
      <c r="AV925" s="6"/>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11"/>
      <c r="BX925" s="11"/>
      <c r="BY925" s="11"/>
      <c r="BZ925" s="11"/>
      <c r="CA925" s="11"/>
      <c r="CB925" s="11"/>
      <c r="CC925" s="11"/>
      <c r="CD925" s="11"/>
      <c r="CE925" s="11"/>
      <c r="CF925" s="11"/>
      <c r="CG925" s="11"/>
      <c r="CH925" s="11"/>
      <c r="CI925" s="11"/>
      <c r="CJ925" s="11"/>
      <c r="CK925" s="11"/>
      <c r="CL925" s="11"/>
      <c r="CM925" s="11"/>
      <c r="CN925" s="11"/>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c r="AV926" s="6"/>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11"/>
      <c r="BX926" s="11"/>
      <c r="BY926" s="11"/>
      <c r="BZ926" s="11"/>
      <c r="CA926" s="11"/>
      <c r="CB926" s="11"/>
      <c r="CC926" s="11"/>
      <c r="CD926" s="11"/>
      <c r="CE926" s="11"/>
      <c r="CF926" s="11"/>
      <c r="CG926" s="11"/>
      <c r="CH926" s="11"/>
      <c r="CI926" s="11"/>
      <c r="CJ926" s="11"/>
      <c r="CK926" s="11"/>
      <c r="CL926" s="11"/>
      <c r="CM926" s="11"/>
      <c r="CN926" s="11"/>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c r="AB927" s="6"/>
      <c r="AC927" s="6"/>
      <c r="AD927" s="6"/>
      <c r="AE927" s="6"/>
      <c r="AF927" s="6"/>
      <c r="AG927" s="6"/>
      <c r="AH927" s="6"/>
      <c r="AI927" s="6"/>
      <c r="AJ927" s="6"/>
      <c r="AK927" s="6"/>
      <c r="AL927" s="6"/>
      <c r="AM927" s="6"/>
      <c r="AN927" s="6"/>
      <c r="AO927" s="6"/>
      <c r="AP927" s="6"/>
      <c r="AQ927" s="6"/>
      <c r="AR927" s="6"/>
      <c r="AS927" s="6"/>
      <c r="AT927" s="6"/>
      <c r="AU927" s="6"/>
      <c r="AV927" s="6"/>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11"/>
      <c r="BX927" s="11"/>
      <c r="BY927" s="11"/>
      <c r="BZ927" s="11"/>
      <c r="CA927" s="11"/>
      <c r="CB927" s="11"/>
      <c r="CC927" s="11"/>
      <c r="CD927" s="11"/>
      <c r="CE927" s="11"/>
      <c r="CF927" s="11"/>
      <c r="CG927" s="11"/>
      <c r="CH927" s="11"/>
      <c r="CI927" s="11"/>
      <c r="CJ927" s="11"/>
      <c r="CK927" s="11"/>
      <c r="CL927" s="11"/>
      <c r="CM927" s="11"/>
      <c r="CN927" s="11"/>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c r="AV928" s="6"/>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11"/>
      <c r="BX928" s="11"/>
      <c r="BY928" s="11"/>
      <c r="BZ928" s="11"/>
      <c r="CA928" s="11"/>
      <c r="CB928" s="11"/>
      <c r="CC928" s="11"/>
      <c r="CD928" s="11"/>
      <c r="CE928" s="11"/>
      <c r="CF928" s="11"/>
      <c r="CG928" s="11"/>
      <c r="CH928" s="11"/>
      <c r="CI928" s="11"/>
      <c r="CJ928" s="11"/>
      <c r="CK928" s="11"/>
      <c r="CL928" s="11"/>
      <c r="CM928" s="11"/>
      <c r="CN928" s="11"/>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c r="AB929" s="6"/>
      <c r="AC929" s="6"/>
      <c r="AD929" s="6"/>
      <c r="AE929" s="6"/>
      <c r="AF929" s="6"/>
      <c r="AG929" s="6"/>
      <c r="AH929" s="6"/>
      <c r="AI929" s="6"/>
      <c r="AJ929" s="6"/>
      <c r="AK929" s="6"/>
      <c r="AL929" s="6"/>
      <c r="AM929" s="6"/>
      <c r="AN929" s="6"/>
      <c r="AO929" s="6"/>
      <c r="AP929" s="6"/>
      <c r="AQ929" s="6"/>
      <c r="AR929" s="6"/>
      <c r="AS929" s="6"/>
      <c r="AT929" s="6"/>
      <c r="AU929" s="6"/>
      <c r="AV929" s="6"/>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11"/>
      <c r="BX929" s="11"/>
      <c r="BY929" s="11"/>
      <c r="BZ929" s="11"/>
      <c r="CA929" s="11"/>
      <c r="CB929" s="11"/>
      <c r="CC929" s="11"/>
      <c r="CD929" s="11"/>
      <c r="CE929" s="11"/>
      <c r="CF929" s="11"/>
      <c r="CG929" s="11"/>
      <c r="CH929" s="11"/>
      <c r="CI929" s="11"/>
      <c r="CJ929" s="11"/>
      <c r="CK929" s="11"/>
      <c r="CL929" s="11"/>
      <c r="CM929" s="11"/>
      <c r="CN929" s="11"/>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c r="AV930" s="6"/>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11"/>
      <c r="BX930" s="11"/>
      <c r="BY930" s="11"/>
      <c r="BZ930" s="11"/>
      <c r="CA930" s="11"/>
      <c r="CB930" s="11"/>
      <c r="CC930" s="11"/>
      <c r="CD930" s="11"/>
      <c r="CE930" s="11"/>
      <c r="CF930" s="11"/>
      <c r="CG930" s="11"/>
      <c r="CH930" s="11"/>
      <c r="CI930" s="11"/>
      <c r="CJ930" s="11"/>
      <c r="CK930" s="11"/>
      <c r="CL930" s="11"/>
      <c r="CM930" s="11"/>
      <c r="CN930" s="11"/>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c r="AB931" s="6"/>
      <c r="AC931" s="6"/>
      <c r="AD931" s="6"/>
      <c r="AE931" s="6"/>
      <c r="AF931" s="6"/>
      <c r="AG931" s="6"/>
      <c r="AH931" s="6"/>
      <c r="AI931" s="6"/>
      <c r="AJ931" s="6"/>
      <c r="AK931" s="6"/>
      <c r="AL931" s="6"/>
      <c r="AM931" s="6"/>
      <c r="AN931" s="6"/>
      <c r="AO931" s="6"/>
      <c r="AP931" s="6"/>
      <c r="AQ931" s="6"/>
      <c r="AR931" s="6"/>
      <c r="AS931" s="6"/>
      <c r="AT931" s="6"/>
      <c r="AU931" s="6"/>
      <c r="AV931" s="6"/>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11"/>
      <c r="BX931" s="11"/>
      <c r="BY931" s="11"/>
      <c r="BZ931" s="11"/>
      <c r="CA931" s="11"/>
      <c r="CB931" s="11"/>
      <c r="CC931" s="11"/>
      <c r="CD931" s="11"/>
      <c r="CE931" s="11"/>
      <c r="CF931" s="11"/>
      <c r="CG931" s="11"/>
      <c r="CH931" s="11"/>
      <c r="CI931" s="11"/>
      <c r="CJ931" s="11"/>
      <c r="CK931" s="11"/>
      <c r="CL931" s="11"/>
      <c r="CM931" s="11"/>
      <c r="CN931" s="11"/>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c r="AV932" s="6"/>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11"/>
      <c r="BX932" s="11"/>
      <c r="BY932" s="11"/>
      <c r="BZ932" s="11"/>
      <c r="CA932" s="11"/>
      <c r="CB932" s="11"/>
      <c r="CC932" s="11"/>
      <c r="CD932" s="11"/>
      <c r="CE932" s="11"/>
      <c r="CF932" s="11"/>
      <c r="CG932" s="11"/>
      <c r="CH932" s="11"/>
      <c r="CI932" s="11"/>
      <c r="CJ932" s="11"/>
      <c r="CK932" s="11"/>
      <c r="CL932" s="11"/>
      <c r="CM932" s="11"/>
      <c r="CN932" s="11"/>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c r="AB933" s="6"/>
      <c r="AC933" s="6"/>
      <c r="AD933" s="6"/>
      <c r="AE933" s="6"/>
      <c r="AF933" s="6"/>
      <c r="AG933" s="6"/>
      <c r="AH933" s="6"/>
      <c r="AI933" s="6"/>
      <c r="AJ933" s="6"/>
      <c r="AK933" s="6"/>
      <c r="AL933" s="6"/>
      <c r="AM933" s="6"/>
      <c r="AN933" s="6"/>
      <c r="AO933" s="6"/>
      <c r="AP933" s="6"/>
      <c r="AQ933" s="6"/>
      <c r="AR933" s="6"/>
      <c r="AS933" s="6"/>
      <c r="AT933" s="6"/>
      <c r="AU933" s="6"/>
      <c r="AV933" s="6"/>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11"/>
      <c r="BX933" s="11"/>
      <c r="BY933" s="11"/>
      <c r="BZ933" s="11"/>
      <c r="CA933" s="11"/>
      <c r="CB933" s="11"/>
      <c r="CC933" s="11"/>
      <c r="CD933" s="11"/>
      <c r="CE933" s="11"/>
      <c r="CF933" s="11"/>
      <c r="CG933" s="11"/>
      <c r="CH933" s="11"/>
      <c r="CI933" s="11"/>
      <c r="CJ933" s="11"/>
      <c r="CK933" s="11"/>
      <c r="CL933" s="11"/>
      <c r="CM933" s="11"/>
      <c r="CN933" s="11"/>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c r="AV934" s="6"/>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11"/>
      <c r="BX934" s="11"/>
      <c r="BY934" s="11"/>
      <c r="BZ934" s="11"/>
      <c r="CA934" s="11"/>
      <c r="CB934" s="11"/>
      <c r="CC934" s="11"/>
      <c r="CD934" s="11"/>
      <c r="CE934" s="11"/>
      <c r="CF934" s="11"/>
      <c r="CG934" s="11"/>
      <c r="CH934" s="11"/>
      <c r="CI934" s="11"/>
      <c r="CJ934" s="11"/>
      <c r="CK934" s="11"/>
      <c r="CL934" s="11"/>
      <c r="CM934" s="11"/>
      <c r="CN934" s="11"/>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c r="AB935" s="6"/>
      <c r="AC935" s="6"/>
      <c r="AD935" s="6"/>
      <c r="AE935" s="6"/>
      <c r="AF935" s="6"/>
      <c r="AG935" s="6"/>
      <c r="AH935" s="6"/>
      <c r="AI935" s="6"/>
      <c r="AJ935" s="6"/>
      <c r="AK935" s="6"/>
      <c r="AL935" s="6"/>
      <c r="AM935" s="6"/>
      <c r="AN935" s="6"/>
      <c r="AO935" s="6"/>
      <c r="AP935" s="6"/>
      <c r="AQ935" s="6"/>
      <c r="AR935" s="6"/>
      <c r="AS935" s="6"/>
      <c r="AT935" s="6"/>
      <c r="AU935" s="6"/>
      <c r="AV935" s="6"/>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11"/>
      <c r="BX935" s="11"/>
      <c r="BY935" s="11"/>
      <c r="BZ935" s="11"/>
      <c r="CA935" s="11"/>
      <c r="CB935" s="11"/>
      <c r="CC935" s="11"/>
      <c r="CD935" s="11"/>
      <c r="CE935" s="11"/>
      <c r="CF935" s="11"/>
      <c r="CG935" s="11"/>
      <c r="CH935" s="11"/>
      <c r="CI935" s="11"/>
      <c r="CJ935" s="11"/>
      <c r="CK935" s="11"/>
      <c r="CL935" s="11"/>
      <c r="CM935" s="11"/>
      <c r="CN935" s="11"/>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c r="AV936" s="6"/>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11"/>
      <c r="BX936" s="11"/>
      <c r="BY936" s="11"/>
      <c r="BZ936" s="11"/>
      <c r="CA936" s="11"/>
      <c r="CB936" s="11"/>
      <c r="CC936" s="11"/>
      <c r="CD936" s="11"/>
      <c r="CE936" s="11"/>
      <c r="CF936" s="11"/>
      <c r="CG936" s="11"/>
      <c r="CH936" s="11"/>
      <c r="CI936" s="11"/>
      <c r="CJ936" s="11"/>
      <c r="CK936" s="11"/>
      <c r="CL936" s="11"/>
      <c r="CM936" s="11"/>
      <c r="CN936" s="11"/>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c r="AB937" s="6"/>
      <c r="AC937" s="6"/>
      <c r="AD937" s="6"/>
      <c r="AE937" s="6"/>
      <c r="AF937" s="6"/>
      <c r="AG937" s="6"/>
      <c r="AH937" s="6"/>
      <c r="AI937" s="6"/>
      <c r="AJ937" s="6"/>
      <c r="AK937" s="6"/>
      <c r="AL937" s="6"/>
      <c r="AM937" s="6"/>
      <c r="AN937" s="6"/>
      <c r="AO937" s="6"/>
      <c r="AP937" s="6"/>
      <c r="AQ937" s="6"/>
      <c r="AR937" s="6"/>
      <c r="AS937" s="6"/>
      <c r="AT937" s="6"/>
      <c r="AU937" s="6"/>
      <c r="AV937" s="6"/>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11"/>
      <c r="BX937" s="11"/>
      <c r="BY937" s="11"/>
      <c r="BZ937" s="11"/>
      <c r="CA937" s="11"/>
      <c r="CB937" s="11"/>
      <c r="CC937" s="11"/>
      <c r="CD937" s="11"/>
      <c r="CE937" s="11"/>
      <c r="CF937" s="11"/>
      <c r="CG937" s="11"/>
      <c r="CH937" s="11"/>
      <c r="CI937" s="11"/>
      <c r="CJ937" s="11"/>
      <c r="CK937" s="11"/>
      <c r="CL937" s="11"/>
      <c r="CM937" s="11"/>
      <c r="CN937" s="11"/>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c r="AV938" s="6"/>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11"/>
      <c r="BX938" s="11"/>
      <c r="BY938" s="11"/>
      <c r="BZ938" s="11"/>
      <c r="CA938" s="11"/>
      <c r="CB938" s="11"/>
      <c r="CC938" s="11"/>
      <c r="CD938" s="11"/>
      <c r="CE938" s="11"/>
      <c r="CF938" s="11"/>
      <c r="CG938" s="11"/>
      <c r="CH938" s="11"/>
      <c r="CI938" s="11"/>
      <c r="CJ938" s="11"/>
      <c r="CK938" s="11"/>
      <c r="CL938" s="11"/>
      <c r="CM938" s="11"/>
      <c r="CN938" s="11"/>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c r="AB939" s="6"/>
      <c r="AC939" s="6"/>
      <c r="AD939" s="6"/>
      <c r="AE939" s="6"/>
      <c r="AF939" s="6"/>
      <c r="AG939" s="6"/>
      <c r="AH939" s="6"/>
      <c r="AI939" s="6"/>
      <c r="AJ939" s="6"/>
      <c r="AK939" s="6"/>
      <c r="AL939" s="6"/>
      <c r="AM939" s="6"/>
      <c r="AN939" s="6"/>
      <c r="AO939" s="6"/>
      <c r="AP939" s="6"/>
      <c r="AQ939" s="6"/>
      <c r="AR939" s="6"/>
      <c r="AS939" s="6"/>
      <c r="AT939" s="6"/>
      <c r="AU939" s="6"/>
      <c r="AV939" s="6"/>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11"/>
      <c r="BX939" s="11"/>
      <c r="BY939" s="11"/>
      <c r="BZ939" s="11"/>
      <c r="CA939" s="11"/>
      <c r="CB939" s="11"/>
      <c r="CC939" s="11"/>
      <c r="CD939" s="11"/>
      <c r="CE939" s="11"/>
      <c r="CF939" s="11"/>
      <c r="CG939" s="11"/>
      <c r="CH939" s="11"/>
      <c r="CI939" s="11"/>
      <c r="CJ939" s="11"/>
      <c r="CK939" s="11"/>
      <c r="CL939" s="11"/>
      <c r="CM939" s="11"/>
      <c r="CN939" s="11"/>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c r="AV940" s="6"/>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11"/>
      <c r="BX940" s="11"/>
      <c r="BY940" s="11"/>
      <c r="BZ940" s="11"/>
      <c r="CA940" s="11"/>
      <c r="CB940" s="11"/>
      <c r="CC940" s="11"/>
      <c r="CD940" s="11"/>
      <c r="CE940" s="11"/>
      <c r="CF940" s="11"/>
      <c r="CG940" s="11"/>
      <c r="CH940" s="11"/>
      <c r="CI940" s="11"/>
      <c r="CJ940" s="11"/>
      <c r="CK940" s="11"/>
      <c r="CL940" s="11"/>
      <c r="CM940" s="11"/>
      <c r="CN940" s="11"/>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c r="AB941" s="6"/>
      <c r="AC941" s="6"/>
      <c r="AD941" s="6"/>
      <c r="AE941" s="6"/>
      <c r="AF941" s="6"/>
      <c r="AG941" s="6"/>
      <c r="AH941" s="6"/>
      <c r="AI941" s="6"/>
      <c r="AJ941" s="6"/>
      <c r="AK941" s="6"/>
      <c r="AL941" s="6"/>
      <c r="AM941" s="6"/>
      <c r="AN941" s="6"/>
      <c r="AO941" s="6"/>
      <c r="AP941" s="6"/>
      <c r="AQ941" s="6"/>
      <c r="AR941" s="6"/>
      <c r="AS941" s="6"/>
      <c r="AT941" s="6"/>
      <c r="AU941" s="6"/>
      <c r="AV941" s="6"/>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11"/>
      <c r="BX941" s="11"/>
      <c r="BY941" s="11"/>
      <c r="BZ941" s="11"/>
      <c r="CA941" s="11"/>
      <c r="CB941" s="11"/>
      <c r="CC941" s="11"/>
      <c r="CD941" s="11"/>
      <c r="CE941" s="11"/>
      <c r="CF941" s="11"/>
      <c r="CG941" s="11"/>
      <c r="CH941" s="11"/>
      <c r="CI941" s="11"/>
      <c r="CJ941" s="11"/>
      <c r="CK941" s="11"/>
      <c r="CL941" s="11"/>
      <c r="CM941" s="11"/>
      <c r="CN941" s="11"/>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c r="AV942" s="6"/>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11"/>
      <c r="BX942" s="11"/>
      <c r="BY942" s="11"/>
      <c r="BZ942" s="11"/>
      <c r="CA942" s="11"/>
      <c r="CB942" s="11"/>
      <c r="CC942" s="11"/>
      <c r="CD942" s="11"/>
      <c r="CE942" s="11"/>
      <c r="CF942" s="11"/>
      <c r="CG942" s="11"/>
      <c r="CH942" s="11"/>
      <c r="CI942" s="11"/>
      <c r="CJ942" s="11"/>
      <c r="CK942" s="11"/>
      <c r="CL942" s="11"/>
      <c r="CM942" s="11"/>
      <c r="CN942" s="11"/>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c r="AB943" s="6"/>
      <c r="AC943" s="6"/>
      <c r="AD943" s="6"/>
      <c r="AE943" s="6"/>
      <c r="AF943" s="6"/>
      <c r="AG943" s="6"/>
      <c r="AH943" s="6"/>
      <c r="AI943" s="6"/>
      <c r="AJ943" s="6"/>
      <c r="AK943" s="6"/>
      <c r="AL943" s="6"/>
      <c r="AM943" s="6"/>
      <c r="AN943" s="6"/>
      <c r="AO943" s="6"/>
      <c r="AP943" s="6"/>
      <c r="AQ943" s="6"/>
      <c r="AR943" s="6"/>
      <c r="AS943" s="6"/>
      <c r="AT943" s="6"/>
      <c r="AU943" s="6"/>
      <c r="AV943" s="6"/>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11"/>
      <c r="BX943" s="11"/>
      <c r="BY943" s="11"/>
      <c r="BZ943" s="11"/>
      <c r="CA943" s="11"/>
      <c r="CB943" s="11"/>
      <c r="CC943" s="11"/>
      <c r="CD943" s="11"/>
      <c r="CE943" s="11"/>
      <c r="CF943" s="11"/>
      <c r="CG943" s="11"/>
      <c r="CH943" s="11"/>
      <c r="CI943" s="11"/>
      <c r="CJ943" s="11"/>
      <c r="CK943" s="11"/>
      <c r="CL943" s="11"/>
      <c r="CM943" s="11"/>
      <c r="CN943" s="11"/>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c r="AV944" s="6"/>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11"/>
      <c r="BX944" s="11"/>
      <c r="BY944" s="11"/>
      <c r="BZ944" s="11"/>
      <c r="CA944" s="11"/>
      <c r="CB944" s="11"/>
      <c r="CC944" s="11"/>
      <c r="CD944" s="11"/>
      <c r="CE944" s="11"/>
      <c r="CF944" s="11"/>
      <c r="CG944" s="11"/>
      <c r="CH944" s="11"/>
      <c r="CI944" s="11"/>
      <c r="CJ944" s="11"/>
      <c r="CK944" s="11"/>
      <c r="CL944" s="11"/>
      <c r="CM944" s="11"/>
      <c r="CN944" s="11"/>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c r="AB945" s="6"/>
      <c r="AC945" s="6"/>
      <c r="AD945" s="6"/>
      <c r="AE945" s="6"/>
      <c r="AF945" s="6"/>
      <c r="AG945" s="6"/>
      <c r="AH945" s="6"/>
      <c r="AI945" s="6"/>
      <c r="AJ945" s="6"/>
      <c r="AK945" s="6"/>
      <c r="AL945" s="6"/>
      <c r="AM945" s="6"/>
      <c r="AN945" s="6"/>
      <c r="AO945" s="6"/>
      <c r="AP945" s="6"/>
      <c r="AQ945" s="6"/>
      <c r="AR945" s="6"/>
      <c r="AS945" s="6"/>
      <c r="AT945" s="6"/>
      <c r="AU945" s="6"/>
      <c r="AV945" s="6"/>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11"/>
      <c r="BX945" s="11"/>
      <c r="BY945" s="11"/>
      <c r="BZ945" s="11"/>
      <c r="CA945" s="11"/>
      <c r="CB945" s="11"/>
      <c r="CC945" s="11"/>
      <c r="CD945" s="11"/>
      <c r="CE945" s="11"/>
      <c r="CF945" s="11"/>
      <c r="CG945" s="11"/>
      <c r="CH945" s="11"/>
      <c r="CI945" s="11"/>
      <c r="CJ945" s="11"/>
      <c r="CK945" s="11"/>
      <c r="CL945" s="11"/>
      <c r="CM945" s="11"/>
      <c r="CN945" s="11"/>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c r="AV946" s="6"/>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11"/>
      <c r="BX946" s="11"/>
      <c r="BY946" s="11"/>
      <c r="BZ946" s="11"/>
      <c r="CA946" s="11"/>
      <c r="CB946" s="11"/>
      <c r="CC946" s="11"/>
      <c r="CD946" s="11"/>
      <c r="CE946" s="11"/>
      <c r="CF946" s="11"/>
      <c r="CG946" s="11"/>
      <c r="CH946" s="11"/>
      <c r="CI946" s="11"/>
      <c r="CJ946" s="11"/>
      <c r="CK946" s="11"/>
      <c r="CL946" s="11"/>
      <c r="CM946" s="11"/>
      <c r="CN946" s="11"/>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c r="AB947" s="6"/>
      <c r="AC947" s="6"/>
      <c r="AD947" s="6"/>
      <c r="AE947" s="6"/>
      <c r="AF947" s="6"/>
      <c r="AG947" s="6"/>
      <c r="AH947" s="6"/>
      <c r="AI947" s="6"/>
      <c r="AJ947" s="6"/>
      <c r="AK947" s="6"/>
      <c r="AL947" s="6"/>
      <c r="AM947" s="6"/>
      <c r="AN947" s="6"/>
      <c r="AO947" s="6"/>
      <c r="AP947" s="6"/>
      <c r="AQ947" s="6"/>
      <c r="AR947" s="6"/>
      <c r="AS947" s="6"/>
      <c r="AT947" s="6"/>
      <c r="AU947" s="6"/>
      <c r="AV947" s="6"/>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11"/>
      <c r="BX947" s="11"/>
      <c r="BY947" s="11"/>
      <c r="BZ947" s="11"/>
      <c r="CA947" s="11"/>
      <c r="CB947" s="11"/>
      <c r="CC947" s="11"/>
      <c r="CD947" s="11"/>
      <c r="CE947" s="11"/>
      <c r="CF947" s="11"/>
      <c r="CG947" s="11"/>
      <c r="CH947" s="11"/>
      <c r="CI947" s="11"/>
      <c r="CJ947" s="11"/>
      <c r="CK947" s="11"/>
      <c r="CL947" s="11"/>
      <c r="CM947" s="11"/>
      <c r="CN947" s="11"/>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c r="AV948" s="6"/>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11"/>
      <c r="BX948" s="11"/>
      <c r="BY948" s="11"/>
      <c r="BZ948" s="11"/>
      <c r="CA948" s="11"/>
      <c r="CB948" s="11"/>
      <c r="CC948" s="11"/>
      <c r="CD948" s="11"/>
      <c r="CE948" s="11"/>
      <c r="CF948" s="11"/>
      <c r="CG948" s="11"/>
      <c r="CH948" s="11"/>
      <c r="CI948" s="11"/>
      <c r="CJ948" s="11"/>
      <c r="CK948" s="11"/>
      <c r="CL948" s="11"/>
      <c r="CM948" s="11"/>
      <c r="CN948" s="11"/>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c r="AB949" s="6"/>
      <c r="AC949" s="6"/>
      <c r="AD949" s="6"/>
      <c r="AE949" s="6"/>
      <c r="AF949" s="6"/>
      <c r="AG949" s="6"/>
      <c r="AH949" s="6"/>
      <c r="AI949" s="6"/>
      <c r="AJ949" s="6"/>
      <c r="AK949" s="6"/>
      <c r="AL949" s="6"/>
      <c r="AM949" s="6"/>
      <c r="AN949" s="6"/>
      <c r="AO949" s="6"/>
      <c r="AP949" s="6"/>
      <c r="AQ949" s="6"/>
      <c r="AR949" s="6"/>
      <c r="AS949" s="6"/>
      <c r="AT949" s="6"/>
      <c r="AU949" s="6"/>
      <c r="AV949" s="6"/>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11"/>
      <c r="BX949" s="11"/>
      <c r="BY949" s="11"/>
      <c r="BZ949" s="11"/>
      <c r="CA949" s="11"/>
      <c r="CB949" s="11"/>
      <c r="CC949" s="11"/>
      <c r="CD949" s="11"/>
      <c r="CE949" s="11"/>
      <c r="CF949" s="11"/>
      <c r="CG949" s="11"/>
      <c r="CH949" s="11"/>
      <c r="CI949" s="11"/>
      <c r="CJ949" s="11"/>
      <c r="CK949" s="11"/>
      <c r="CL949" s="11"/>
      <c r="CM949" s="11"/>
      <c r="CN949" s="11"/>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c r="AV950" s="6"/>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11"/>
      <c r="BX950" s="11"/>
      <c r="BY950" s="11"/>
      <c r="BZ950" s="11"/>
      <c r="CA950" s="11"/>
      <c r="CB950" s="11"/>
      <c r="CC950" s="11"/>
      <c r="CD950" s="11"/>
      <c r="CE950" s="11"/>
      <c r="CF950" s="11"/>
      <c r="CG950" s="11"/>
      <c r="CH950" s="11"/>
      <c r="CI950" s="11"/>
      <c r="CJ950" s="11"/>
      <c r="CK950" s="11"/>
      <c r="CL950" s="11"/>
      <c r="CM950" s="11"/>
      <c r="CN950" s="11"/>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c r="AB951" s="6"/>
      <c r="AC951" s="6"/>
      <c r="AD951" s="6"/>
      <c r="AE951" s="6"/>
      <c r="AF951" s="6"/>
      <c r="AG951" s="6"/>
      <c r="AH951" s="6"/>
      <c r="AI951" s="6"/>
      <c r="AJ951" s="6"/>
      <c r="AK951" s="6"/>
      <c r="AL951" s="6"/>
      <c r="AM951" s="6"/>
      <c r="AN951" s="6"/>
      <c r="AO951" s="6"/>
      <c r="AP951" s="6"/>
      <c r="AQ951" s="6"/>
      <c r="AR951" s="6"/>
      <c r="AS951" s="6"/>
      <c r="AT951" s="6"/>
      <c r="AU951" s="6"/>
      <c r="AV951" s="6"/>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11"/>
      <c r="BX951" s="11"/>
      <c r="BY951" s="11"/>
      <c r="BZ951" s="11"/>
      <c r="CA951" s="11"/>
      <c r="CB951" s="11"/>
      <c r="CC951" s="11"/>
      <c r="CD951" s="11"/>
      <c r="CE951" s="11"/>
      <c r="CF951" s="11"/>
      <c r="CG951" s="11"/>
      <c r="CH951" s="11"/>
      <c r="CI951" s="11"/>
      <c r="CJ951" s="11"/>
      <c r="CK951" s="11"/>
      <c r="CL951" s="11"/>
      <c r="CM951" s="11"/>
      <c r="CN951" s="11"/>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c r="AV952" s="6"/>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11"/>
      <c r="BX952" s="11"/>
      <c r="BY952" s="11"/>
      <c r="BZ952" s="11"/>
      <c r="CA952" s="11"/>
      <c r="CB952" s="11"/>
      <c r="CC952" s="11"/>
      <c r="CD952" s="11"/>
      <c r="CE952" s="11"/>
      <c r="CF952" s="11"/>
      <c r="CG952" s="11"/>
      <c r="CH952" s="11"/>
      <c r="CI952" s="11"/>
      <c r="CJ952" s="11"/>
      <c r="CK952" s="11"/>
      <c r="CL952" s="11"/>
      <c r="CM952" s="11"/>
      <c r="CN952" s="11"/>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c r="AB953" s="6"/>
      <c r="AC953" s="6"/>
      <c r="AD953" s="6"/>
      <c r="AE953" s="6"/>
      <c r="AF953" s="6"/>
      <c r="AG953" s="6"/>
      <c r="AH953" s="6"/>
      <c r="AI953" s="6"/>
      <c r="AJ953" s="6"/>
      <c r="AK953" s="6"/>
      <c r="AL953" s="6"/>
      <c r="AM953" s="6"/>
      <c r="AN953" s="6"/>
      <c r="AO953" s="6"/>
      <c r="AP953" s="6"/>
      <c r="AQ953" s="6"/>
      <c r="AR953" s="6"/>
      <c r="AS953" s="6"/>
      <c r="AT953" s="6"/>
      <c r="AU953" s="6"/>
      <c r="AV953" s="6"/>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11"/>
      <c r="BX953" s="11"/>
      <c r="BY953" s="11"/>
      <c r="BZ953" s="11"/>
      <c r="CA953" s="11"/>
      <c r="CB953" s="11"/>
      <c r="CC953" s="11"/>
      <c r="CD953" s="11"/>
      <c r="CE953" s="11"/>
      <c r="CF953" s="11"/>
      <c r="CG953" s="11"/>
      <c r="CH953" s="11"/>
      <c r="CI953" s="11"/>
      <c r="CJ953" s="11"/>
      <c r="CK953" s="11"/>
      <c r="CL953" s="11"/>
      <c r="CM953" s="11"/>
      <c r="CN953" s="11"/>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c r="AV954" s="6"/>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11"/>
      <c r="BX954" s="11"/>
      <c r="BY954" s="11"/>
      <c r="BZ954" s="11"/>
      <c r="CA954" s="11"/>
      <c r="CB954" s="11"/>
      <c r="CC954" s="11"/>
      <c r="CD954" s="11"/>
      <c r="CE954" s="11"/>
      <c r="CF954" s="11"/>
      <c r="CG954" s="11"/>
      <c r="CH954" s="11"/>
      <c r="CI954" s="11"/>
      <c r="CJ954" s="11"/>
      <c r="CK954" s="11"/>
      <c r="CL954" s="11"/>
      <c r="CM954" s="11"/>
      <c r="CN954" s="11"/>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c r="AB955" s="6"/>
      <c r="AC955" s="6"/>
      <c r="AD955" s="6"/>
      <c r="AE955" s="6"/>
      <c r="AF955" s="6"/>
      <c r="AG955" s="6"/>
      <c r="AH955" s="6"/>
      <c r="AI955" s="6"/>
      <c r="AJ955" s="6"/>
      <c r="AK955" s="6"/>
      <c r="AL955" s="6"/>
      <c r="AM955" s="6"/>
      <c r="AN955" s="6"/>
      <c r="AO955" s="6"/>
      <c r="AP955" s="6"/>
      <c r="AQ955" s="6"/>
      <c r="AR955" s="6"/>
      <c r="AS955" s="6"/>
      <c r="AT955" s="6"/>
      <c r="AU955" s="6"/>
      <c r="AV955" s="6"/>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11"/>
      <c r="BX955" s="11"/>
      <c r="BY955" s="11"/>
      <c r="BZ955" s="11"/>
      <c r="CA955" s="11"/>
      <c r="CB955" s="11"/>
      <c r="CC955" s="11"/>
      <c r="CD955" s="11"/>
      <c r="CE955" s="11"/>
      <c r="CF955" s="11"/>
      <c r="CG955" s="11"/>
      <c r="CH955" s="11"/>
      <c r="CI955" s="11"/>
      <c r="CJ955" s="11"/>
      <c r="CK955" s="11"/>
      <c r="CL955" s="11"/>
      <c r="CM955" s="11"/>
      <c r="CN955" s="11"/>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c r="AV956" s="6"/>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11"/>
      <c r="BX956" s="11"/>
      <c r="BY956" s="11"/>
      <c r="BZ956" s="11"/>
      <c r="CA956" s="11"/>
      <c r="CB956" s="11"/>
      <c r="CC956" s="11"/>
      <c r="CD956" s="11"/>
      <c r="CE956" s="11"/>
      <c r="CF956" s="11"/>
      <c r="CG956" s="11"/>
      <c r="CH956" s="11"/>
      <c r="CI956" s="11"/>
      <c r="CJ956" s="11"/>
      <c r="CK956" s="11"/>
      <c r="CL956" s="11"/>
      <c r="CM956" s="11"/>
      <c r="CN956" s="11"/>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c r="AB957" s="6"/>
      <c r="AC957" s="6"/>
      <c r="AD957" s="6"/>
      <c r="AE957" s="6"/>
      <c r="AF957" s="6"/>
      <c r="AG957" s="6"/>
      <c r="AH957" s="6"/>
      <c r="AI957" s="6"/>
      <c r="AJ957" s="6"/>
      <c r="AK957" s="6"/>
      <c r="AL957" s="6"/>
      <c r="AM957" s="6"/>
      <c r="AN957" s="6"/>
      <c r="AO957" s="6"/>
      <c r="AP957" s="6"/>
      <c r="AQ957" s="6"/>
      <c r="AR957" s="6"/>
      <c r="AS957" s="6"/>
      <c r="AT957" s="6"/>
      <c r="AU957" s="6"/>
      <c r="AV957" s="6"/>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11"/>
      <c r="BX957" s="11"/>
      <c r="BY957" s="11"/>
      <c r="BZ957" s="11"/>
      <c r="CA957" s="11"/>
      <c r="CB957" s="11"/>
      <c r="CC957" s="11"/>
      <c r="CD957" s="11"/>
      <c r="CE957" s="11"/>
      <c r="CF957" s="11"/>
      <c r="CG957" s="11"/>
      <c r="CH957" s="11"/>
      <c r="CI957" s="11"/>
      <c r="CJ957" s="11"/>
      <c r="CK957" s="11"/>
      <c r="CL957" s="11"/>
      <c r="CM957" s="11"/>
      <c r="CN957" s="11"/>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c r="AV958" s="6"/>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11"/>
      <c r="BX958" s="11"/>
      <c r="BY958" s="11"/>
      <c r="BZ958" s="11"/>
      <c r="CA958" s="11"/>
      <c r="CB958" s="11"/>
      <c r="CC958" s="11"/>
      <c r="CD958" s="11"/>
      <c r="CE958" s="11"/>
      <c r="CF958" s="11"/>
      <c r="CG958" s="11"/>
      <c r="CH958" s="11"/>
      <c r="CI958" s="11"/>
      <c r="CJ958" s="11"/>
      <c r="CK958" s="11"/>
      <c r="CL958" s="11"/>
      <c r="CM958" s="11"/>
      <c r="CN958" s="11"/>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c r="AB959" s="6"/>
      <c r="AC959" s="6"/>
      <c r="AD959" s="6"/>
      <c r="AE959" s="6"/>
      <c r="AF959" s="6"/>
      <c r="AG959" s="6"/>
      <c r="AH959" s="6"/>
      <c r="AI959" s="6"/>
      <c r="AJ959" s="6"/>
      <c r="AK959" s="6"/>
      <c r="AL959" s="6"/>
      <c r="AM959" s="6"/>
      <c r="AN959" s="6"/>
      <c r="AO959" s="6"/>
      <c r="AP959" s="6"/>
      <c r="AQ959" s="6"/>
      <c r="AR959" s="6"/>
      <c r="AS959" s="6"/>
      <c r="AT959" s="6"/>
      <c r="AU959" s="6"/>
      <c r="AV959" s="6"/>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11"/>
      <c r="BX959" s="11"/>
      <c r="BY959" s="11"/>
      <c r="BZ959" s="11"/>
      <c r="CA959" s="11"/>
      <c r="CB959" s="11"/>
      <c r="CC959" s="11"/>
      <c r="CD959" s="11"/>
      <c r="CE959" s="11"/>
      <c r="CF959" s="11"/>
      <c r="CG959" s="11"/>
      <c r="CH959" s="11"/>
      <c r="CI959" s="11"/>
      <c r="CJ959" s="11"/>
      <c r="CK959" s="11"/>
      <c r="CL959" s="11"/>
      <c r="CM959" s="11"/>
      <c r="CN959" s="11"/>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c r="AV960" s="6"/>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11"/>
      <c r="BX960" s="11"/>
      <c r="BY960" s="11"/>
      <c r="BZ960" s="11"/>
      <c r="CA960" s="11"/>
      <c r="CB960" s="11"/>
      <c r="CC960" s="11"/>
      <c r="CD960" s="11"/>
      <c r="CE960" s="11"/>
      <c r="CF960" s="11"/>
      <c r="CG960" s="11"/>
      <c r="CH960" s="11"/>
      <c r="CI960" s="11"/>
      <c r="CJ960" s="11"/>
      <c r="CK960" s="11"/>
      <c r="CL960" s="11"/>
      <c r="CM960" s="11"/>
      <c r="CN960" s="11"/>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c r="AB961" s="6"/>
      <c r="AC961" s="6"/>
      <c r="AD961" s="6"/>
      <c r="AE961" s="6"/>
      <c r="AF961" s="6"/>
      <c r="AG961" s="6"/>
      <c r="AH961" s="6"/>
      <c r="AI961" s="6"/>
      <c r="AJ961" s="6"/>
      <c r="AK961" s="6"/>
      <c r="AL961" s="6"/>
      <c r="AM961" s="6"/>
      <c r="AN961" s="6"/>
      <c r="AO961" s="6"/>
      <c r="AP961" s="6"/>
      <c r="AQ961" s="6"/>
      <c r="AR961" s="6"/>
      <c r="AS961" s="6"/>
      <c r="AT961" s="6"/>
      <c r="AU961" s="6"/>
      <c r="AV961" s="6"/>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11"/>
      <c r="BX961" s="11"/>
      <c r="BY961" s="11"/>
      <c r="BZ961" s="11"/>
      <c r="CA961" s="11"/>
      <c r="CB961" s="11"/>
      <c r="CC961" s="11"/>
      <c r="CD961" s="11"/>
      <c r="CE961" s="11"/>
      <c r="CF961" s="11"/>
      <c r="CG961" s="11"/>
      <c r="CH961" s="11"/>
      <c r="CI961" s="11"/>
      <c r="CJ961" s="11"/>
      <c r="CK961" s="11"/>
      <c r="CL961" s="11"/>
      <c r="CM961" s="11"/>
      <c r="CN961" s="11"/>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c r="AV962" s="6"/>
      <c r="AW962" s="6"/>
      <c r="AX962" s="6"/>
      <c r="AY962" s="6"/>
      <c r="AZ962" s="6"/>
      <c r="BA962" s="6"/>
      <c r="BB962" s="6"/>
      <c r="BC962" s="6"/>
      <c r="BD962" s="6"/>
      <c r="BE962" s="6"/>
      <c r="BF962" s="6"/>
      <c r="BG962" s="6"/>
      <c r="BH962" s="6"/>
      <c r="BI962" s="6"/>
      <c r="BJ962" s="6"/>
      <c r="BK962" s="6"/>
      <c r="BL962" s="6"/>
      <c r="BM962" s="6"/>
      <c r="BN962" s="6"/>
      <c r="BO962" s="6"/>
      <c r="BP962" s="6"/>
      <c r="BQ962" s="6"/>
      <c r="BR962" s="6"/>
      <c r="BS962" s="6"/>
      <c r="BT962" s="6"/>
      <c r="BU962" s="6"/>
      <c r="BV962" s="6"/>
      <c r="BW962" s="11"/>
      <c r="BX962" s="11"/>
      <c r="BY962" s="11"/>
      <c r="BZ962" s="11"/>
      <c r="CA962" s="11"/>
      <c r="CB962" s="11"/>
      <c r="CC962" s="11"/>
      <c r="CD962" s="11"/>
      <c r="CE962" s="11"/>
      <c r="CF962" s="11"/>
      <c r="CG962" s="11"/>
      <c r="CH962" s="11"/>
      <c r="CI962" s="11"/>
      <c r="CJ962" s="11"/>
      <c r="CK962" s="11"/>
      <c r="CL962" s="11"/>
      <c r="CM962" s="11"/>
      <c r="CN962" s="11"/>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c r="AB963" s="6"/>
      <c r="AC963" s="6"/>
      <c r="AD963" s="6"/>
      <c r="AE963" s="6"/>
      <c r="AF963" s="6"/>
      <c r="AG963" s="6"/>
      <c r="AH963" s="6"/>
      <c r="AI963" s="6"/>
      <c r="AJ963" s="6"/>
      <c r="AK963" s="6"/>
      <c r="AL963" s="6"/>
      <c r="AM963" s="6"/>
      <c r="AN963" s="6"/>
      <c r="AO963" s="6"/>
      <c r="AP963" s="6"/>
      <c r="AQ963" s="6"/>
      <c r="AR963" s="6"/>
      <c r="AS963" s="6"/>
      <c r="AT963" s="6"/>
      <c r="AU963" s="6"/>
      <c r="AV963" s="6"/>
      <c r="AW963" s="6"/>
      <c r="AX963" s="6"/>
      <c r="AY963" s="6"/>
      <c r="AZ963" s="6"/>
      <c r="BA963" s="6"/>
      <c r="BB963" s="6"/>
      <c r="BC963" s="6"/>
      <c r="BD963" s="6"/>
      <c r="BE963" s="6"/>
      <c r="BF963" s="6"/>
      <c r="BG963" s="6"/>
      <c r="BH963" s="6"/>
      <c r="BI963" s="6"/>
      <c r="BJ963" s="6"/>
      <c r="BK963" s="6"/>
      <c r="BL963" s="6"/>
      <c r="BM963" s="6"/>
      <c r="BN963" s="6"/>
      <c r="BO963" s="6"/>
      <c r="BP963" s="6"/>
      <c r="BQ963" s="6"/>
      <c r="BR963" s="6"/>
      <c r="BS963" s="6"/>
      <c r="BT963" s="6"/>
      <c r="BU963" s="6"/>
      <c r="BV963" s="6"/>
      <c r="BW963" s="11"/>
      <c r="BX963" s="11"/>
      <c r="BY963" s="11"/>
      <c r="BZ963" s="11"/>
      <c r="CA963" s="11"/>
      <c r="CB963" s="11"/>
      <c r="CC963" s="11"/>
      <c r="CD963" s="11"/>
      <c r="CE963" s="11"/>
      <c r="CF963" s="11"/>
      <c r="CG963" s="11"/>
      <c r="CH963" s="11"/>
      <c r="CI963" s="11"/>
      <c r="CJ963" s="11"/>
      <c r="CK963" s="11"/>
      <c r="CL963" s="11"/>
      <c r="CM963" s="11"/>
      <c r="CN963" s="11"/>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c r="AV964" s="6"/>
      <c r="AW964" s="6"/>
      <c r="AX964" s="6"/>
      <c r="AY964" s="6"/>
      <c r="AZ964" s="6"/>
      <c r="BA964" s="6"/>
      <c r="BB964" s="6"/>
      <c r="BC964" s="6"/>
      <c r="BD964" s="6"/>
      <c r="BE964" s="6"/>
      <c r="BF964" s="6"/>
      <c r="BG964" s="6"/>
      <c r="BH964" s="6"/>
      <c r="BI964" s="6"/>
      <c r="BJ964" s="6"/>
      <c r="BK964" s="6"/>
      <c r="BL964" s="6"/>
      <c r="BM964" s="6"/>
      <c r="BN964" s="6"/>
      <c r="BO964" s="6"/>
      <c r="BP964" s="6"/>
      <c r="BQ964" s="6"/>
      <c r="BR964" s="6"/>
      <c r="BS964" s="6"/>
      <c r="BT964" s="6"/>
      <c r="BU964" s="6"/>
      <c r="BV964" s="6"/>
      <c r="BW964" s="11"/>
      <c r="BX964" s="11"/>
      <c r="BY964" s="11"/>
      <c r="BZ964" s="11"/>
      <c r="CA964" s="11"/>
      <c r="CB964" s="11"/>
      <c r="CC964" s="11"/>
      <c r="CD964" s="11"/>
      <c r="CE964" s="11"/>
      <c r="CF964" s="11"/>
      <c r="CG964" s="11"/>
      <c r="CH964" s="11"/>
      <c r="CI964" s="11"/>
      <c r="CJ964" s="11"/>
      <c r="CK964" s="11"/>
      <c r="CL964" s="11"/>
      <c r="CM964" s="11"/>
      <c r="CN964" s="11"/>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c r="AB965" s="6"/>
      <c r="AC965" s="6"/>
      <c r="AD965" s="6"/>
      <c r="AE965" s="6"/>
      <c r="AF965" s="6"/>
      <c r="AG965" s="6"/>
      <c r="AH965" s="6"/>
      <c r="AI965" s="6"/>
      <c r="AJ965" s="6"/>
      <c r="AK965" s="6"/>
      <c r="AL965" s="6"/>
      <c r="AM965" s="6"/>
      <c r="AN965" s="6"/>
      <c r="AO965" s="6"/>
      <c r="AP965" s="6"/>
      <c r="AQ965" s="6"/>
      <c r="AR965" s="6"/>
      <c r="AS965" s="6"/>
      <c r="AT965" s="6"/>
      <c r="AU965" s="6"/>
      <c r="AV965" s="6"/>
      <c r="AW965" s="6"/>
      <c r="AX965" s="6"/>
      <c r="AY965" s="6"/>
      <c r="AZ965" s="6"/>
      <c r="BA965" s="6"/>
      <c r="BB965" s="6"/>
      <c r="BC965" s="6"/>
      <c r="BD965" s="6"/>
      <c r="BE965" s="6"/>
      <c r="BF965" s="6"/>
      <c r="BG965" s="6"/>
      <c r="BH965" s="6"/>
      <c r="BI965" s="6"/>
      <c r="BJ965" s="6"/>
      <c r="BK965" s="6"/>
      <c r="BL965" s="6"/>
      <c r="BM965" s="6"/>
      <c r="BN965" s="6"/>
      <c r="BO965" s="6"/>
      <c r="BP965" s="6"/>
      <c r="BQ965" s="6"/>
      <c r="BR965" s="6"/>
      <c r="BS965" s="6"/>
      <c r="BT965" s="6"/>
      <c r="BU965" s="6"/>
      <c r="BV965" s="6"/>
      <c r="BW965" s="11"/>
      <c r="BX965" s="11"/>
      <c r="BY965" s="11"/>
      <c r="BZ965" s="11"/>
      <c r="CA965" s="11"/>
      <c r="CB965" s="11"/>
      <c r="CC965" s="11"/>
      <c r="CD965" s="11"/>
      <c r="CE965" s="11"/>
      <c r="CF965" s="11"/>
      <c r="CG965" s="11"/>
      <c r="CH965" s="11"/>
      <c r="CI965" s="11"/>
      <c r="CJ965" s="11"/>
      <c r="CK965" s="11"/>
      <c r="CL965" s="11"/>
      <c r="CM965" s="11"/>
      <c r="CN965" s="11"/>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c r="AV966" s="6"/>
      <c r="AW966" s="6"/>
      <c r="AX966" s="6"/>
      <c r="AY966" s="6"/>
      <c r="AZ966" s="6"/>
      <c r="BA966" s="6"/>
      <c r="BB966" s="6"/>
      <c r="BC966" s="6"/>
      <c r="BD966" s="6"/>
      <c r="BE966" s="6"/>
      <c r="BF966" s="6"/>
      <c r="BG966" s="6"/>
      <c r="BH966" s="6"/>
      <c r="BI966" s="6"/>
      <c r="BJ966" s="6"/>
      <c r="BK966" s="6"/>
      <c r="BL966" s="6"/>
      <c r="BM966" s="6"/>
      <c r="BN966" s="6"/>
      <c r="BO966" s="6"/>
      <c r="BP966" s="6"/>
      <c r="BQ966" s="6"/>
      <c r="BR966" s="6"/>
      <c r="BS966" s="6"/>
      <c r="BT966" s="6"/>
      <c r="BU966" s="6"/>
      <c r="BV966" s="6"/>
      <c r="BW966" s="11"/>
      <c r="BX966" s="11"/>
      <c r="BY966" s="11"/>
      <c r="BZ966" s="11"/>
      <c r="CA966" s="11"/>
      <c r="CB966" s="11"/>
      <c r="CC966" s="11"/>
      <c r="CD966" s="11"/>
      <c r="CE966" s="11"/>
      <c r="CF966" s="11"/>
      <c r="CG966" s="11"/>
      <c r="CH966" s="11"/>
      <c r="CI966" s="11"/>
      <c r="CJ966" s="11"/>
      <c r="CK966" s="11"/>
      <c r="CL966" s="11"/>
      <c r="CM966" s="11"/>
      <c r="CN966" s="11"/>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c r="AB967" s="6"/>
      <c r="AC967" s="6"/>
      <c r="AD967" s="6"/>
      <c r="AE967" s="6"/>
      <c r="AF967" s="6"/>
      <c r="AG967" s="6"/>
      <c r="AH967" s="6"/>
      <c r="AI967" s="6"/>
      <c r="AJ967" s="6"/>
      <c r="AK967" s="6"/>
      <c r="AL967" s="6"/>
      <c r="AM967" s="6"/>
      <c r="AN967" s="6"/>
      <c r="AO967" s="6"/>
      <c r="AP967" s="6"/>
      <c r="AQ967" s="6"/>
      <c r="AR967" s="6"/>
      <c r="AS967" s="6"/>
      <c r="AT967" s="6"/>
      <c r="AU967" s="6"/>
      <c r="AV967" s="6"/>
      <c r="AW967" s="6"/>
      <c r="AX967" s="6"/>
      <c r="AY967" s="6"/>
      <c r="AZ967" s="6"/>
      <c r="BA967" s="6"/>
      <c r="BB967" s="6"/>
      <c r="BC967" s="6"/>
      <c r="BD967" s="6"/>
      <c r="BE967" s="6"/>
      <c r="BF967" s="6"/>
      <c r="BG967" s="6"/>
      <c r="BH967" s="6"/>
      <c r="BI967" s="6"/>
      <c r="BJ967" s="6"/>
      <c r="BK967" s="6"/>
      <c r="BL967" s="6"/>
      <c r="BM967" s="6"/>
      <c r="BN967" s="6"/>
      <c r="BO967" s="6"/>
      <c r="BP967" s="6"/>
      <c r="BQ967" s="6"/>
      <c r="BR967" s="6"/>
      <c r="BS967" s="6"/>
      <c r="BT967" s="6"/>
      <c r="BU967" s="6"/>
      <c r="BV967" s="6"/>
      <c r="BW967" s="11"/>
      <c r="BX967" s="11"/>
      <c r="BY967" s="11"/>
      <c r="BZ967" s="11"/>
      <c r="CA967" s="11"/>
      <c r="CB967" s="11"/>
      <c r="CC967" s="11"/>
      <c r="CD967" s="11"/>
      <c r="CE967" s="11"/>
      <c r="CF967" s="11"/>
      <c r="CG967" s="11"/>
      <c r="CH967" s="11"/>
      <c r="CI967" s="11"/>
      <c r="CJ967" s="11"/>
      <c r="CK967" s="11"/>
      <c r="CL967" s="11"/>
      <c r="CM967" s="11"/>
      <c r="CN967" s="11"/>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c r="AV968" s="6"/>
      <c r="AW968" s="6"/>
      <c r="AX968" s="6"/>
      <c r="AY968" s="6"/>
      <c r="AZ968" s="6"/>
      <c r="BA968" s="6"/>
      <c r="BB968" s="6"/>
      <c r="BC968" s="6"/>
      <c r="BD968" s="6"/>
      <c r="BE968" s="6"/>
      <c r="BF968" s="6"/>
      <c r="BG968" s="6"/>
      <c r="BH968" s="6"/>
      <c r="BI968" s="6"/>
      <c r="BJ968" s="6"/>
      <c r="BK968" s="6"/>
      <c r="BL968" s="6"/>
      <c r="BM968" s="6"/>
      <c r="BN968" s="6"/>
      <c r="BO968" s="6"/>
      <c r="BP968" s="6"/>
      <c r="BQ968" s="6"/>
      <c r="BR968" s="6"/>
      <c r="BS968" s="6"/>
      <c r="BT968" s="6"/>
      <c r="BU968" s="6"/>
      <c r="BV968" s="6"/>
      <c r="BW968" s="11"/>
      <c r="BX968" s="11"/>
      <c r="BY968" s="11"/>
      <c r="BZ968" s="11"/>
      <c r="CA968" s="11"/>
      <c r="CB968" s="11"/>
      <c r="CC968" s="11"/>
      <c r="CD968" s="11"/>
      <c r="CE968" s="11"/>
      <c r="CF968" s="11"/>
      <c r="CG968" s="11"/>
      <c r="CH968" s="11"/>
      <c r="CI968" s="11"/>
      <c r="CJ968" s="11"/>
      <c r="CK968" s="11"/>
      <c r="CL968" s="11"/>
      <c r="CM968" s="11"/>
      <c r="CN968" s="11"/>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c r="AB969" s="6"/>
      <c r="AC969" s="6"/>
      <c r="AD969" s="6"/>
      <c r="AE969" s="6"/>
      <c r="AF969" s="6"/>
      <c r="AG969" s="6"/>
      <c r="AH969" s="6"/>
      <c r="AI969" s="6"/>
      <c r="AJ969" s="6"/>
      <c r="AK969" s="6"/>
      <c r="AL969" s="6"/>
      <c r="AM969" s="6"/>
      <c r="AN969" s="6"/>
      <c r="AO969" s="6"/>
      <c r="AP969" s="6"/>
      <c r="AQ969" s="6"/>
      <c r="AR969" s="6"/>
      <c r="AS969" s="6"/>
      <c r="AT969" s="6"/>
      <c r="AU969" s="6"/>
      <c r="AV969" s="6"/>
      <c r="AW969" s="6"/>
      <c r="AX969" s="6"/>
      <c r="AY969" s="6"/>
      <c r="AZ969" s="6"/>
      <c r="BA969" s="6"/>
      <c r="BB969" s="6"/>
      <c r="BC969" s="6"/>
      <c r="BD969" s="6"/>
      <c r="BE969" s="6"/>
      <c r="BF969" s="6"/>
      <c r="BG969" s="6"/>
      <c r="BH969" s="6"/>
      <c r="BI969" s="6"/>
      <c r="BJ969" s="6"/>
      <c r="BK969" s="6"/>
      <c r="BL969" s="6"/>
      <c r="BM969" s="6"/>
      <c r="BN969" s="6"/>
      <c r="BO969" s="6"/>
      <c r="BP969" s="6"/>
      <c r="BQ969" s="6"/>
      <c r="BR969" s="6"/>
      <c r="BS969" s="6"/>
      <c r="BT969" s="6"/>
      <c r="BU969" s="6"/>
      <c r="BV969" s="6"/>
      <c r="BW969" s="11"/>
      <c r="BX969" s="11"/>
      <c r="BY969" s="11"/>
      <c r="BZ969" s="11"/>
      <c r="CA969" s="11"/>
      <c r="CB969" s="11"/>
      <c r="CC969" s="11"/>
      <c r="CD969" s="11"/>
      <c r="CE969" s="11"/>
      <c r="CF969" s="11"/>
      <c r="CG969" s="11"/>
      <c r="CH969" s="11"/>
      <c r="CI969" s="11"/>
      <c r="CJ969" s="11"/>
      <c r="CK969" s="11"/>
      <c r="CL969" s="11"/>
      <c r="CM969" s="11"/>
      <c r="CN969" s="11"/>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c r="BA970" s="6"/>
      <c r="BB970" s="6"/>
      <c r="BC970" s="6"/>
      <c r="BD970" s="6"/>
      <c r="BE970" s="6"/>
      <c r="BF970" s="6"/>
      <c r="BG970" s="6"/>
      <c r="BH970" s="6"/>
      <c r="BI970" s="6"/>
      <c r="BJ970" s="6"/>
      <c r="BK970" s="6"/>
      <c r="BL970" s="6"/>
      <c r="BM970" s="6"/>
      <c r="BN970" s="6"/>
      <c r="BO970" s="6"/>
      <c r="BP970" s="6"/>
      <c r="BQ970" s="6"/>
      <c r="BR970" s="6"/>
      <c r="BS970" s="6"/>
      <c r="BT970" s="6"/>
      <c r="BU970" s="6"/>
      <c r="BV970" s="6"/>
      <c r="BW970" s="11"/>
      <c r="BX970" s="11"/>
      <c r="BY970" s="11"/>
      <c r="BZ970" s="11"/>
      <c r="CA970" s="11"/>
      <c r="CB970" s="11"/>
      <c r="CC970" s="11"/>
      <c r="CD970" s="11"/>
      <c r="CE970" s="11"/>
      <c r="CF970" s="11"/>
      <c r="CG970" s="11"/>
      <c r="CH970" s="11"/>
      <c r="CI970" s="11"/>
      <c r="CJ970" s="11"/>
      <c r="CK970" s="11"/>
      <c r="CL970" s="11"/>
      <c r="CM970" s="11"/>
      <c r="CN970" s="11"/>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c r="AB971" s="6"/>
      <c r="AC971" s="6"/>
      <c r="AD971" s="6"/>
      <c r="AE971" s="6"/>
      <c r="AF971" s="6"/>
      <c r="AG971" s="6"/>
      <c r="AH971" s="6"/>
      <c r="AI971" s="6"/>
      <c r="AJ971" s="6"/>
      <c r="AK971" s="6"/>
      <c r="AL971" s="6"/>
      <c r="AM971" s="6"/>
      <c r="AN971" s="6"/>
      <c r="AO971" s="6"/>
      <c r="AP971" s="6"/>
      <c r="AQ971" s="6"/>
      <c r="AR971" s="6"/>
      <c r="AS971" s="6"/>
      <c r="AT971" s="6"/>
      <c r="AU971" s="6"/>
      <c r="AV971" s="6"/>
      <c r="AW971" s="6"/>
      <c r="AX971" s="6"/>
      <c r="AY971" s="6"/>
      <c r="AZ971" s="6"/>
      <c r="BA971" s="6"/>
      <c r="BB971" s="6"/>
      <c r="BC971" s="6"/>
      <c r="BD971" s="6"/>
      <c r="BE971" s="6"/>
      <c r="BF971" s="6"/>
      <c r="BG971" s="6"/>
      <c r="BH971" s="6"/>
      <c r="BI971" s="6"/>
      <c r="BJ971" s="6"/>
      <c r="BK971" s="6"/>
      <c r="BL971" s="6"/>
      <c r="BM971" s="6"/>
      <c r="BN971" s="6"/>
      <c r="BO971" s="6"/>
      <c r="BP971" s="6"/>
      <c r="BQ971" s="6"/>
      <c r="BR971" s="6"/>
      <c r="BS971" s="6"/>
      <c r="BT971" s="6"/>
      <c r="BU971" s="6"/>
      <c r="BV971" s="6"/>
      <c r="BW971" s="11"/>
      <c r="BX971" s="11"/>
      <c r="BY971" s="11"/>
      <c r="BZ971" s="11"/>
      <c r="CA971" s="11"/>
      <c r="CB971" s="11"/>
      <c r="CC971" s="11"/>
      <c r="CD971" s="11"/>
      <c r="CE971" s="11"/>
      <c r="CF971" s="11"/>
      <c r="CG971" s="11"/>
      <c r="CH971" s="11"/>
      <c r="CI971" s="11"/>
      <c r="CJ971" s="11"/>
      <c r="CK971" s="11"/>
      <c r="CL971" s="11"/>
      <c r="CM971" s="11"/>
      <c r="CN971" s="11"/>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c r="BA972" s="6"/>
      <c r="BB972" s="6"/>
      <c r="BC972" s="6"/>
      <c r="BD972" s="6"/>
      <c r="BE972" s="6"/>
      <c r="BF972" s="6"/>
      <c r="BG972" s="6"/>
      <c r="BH972" s="6"/>
      <c r="BI972" s="6"/>
      <c r="BJ972" s="6"/>
      <c r="BK972" s="6"/>
      <c r="BL972" s="6"/>
      <c r="BM972" s="6"/>
      <c r="BN972" s="6"/>
      <c r="BO972" s="6"/>
      <c r="BP972" s="6"/>
      <c r="BQ972" s="6"/>
      <c r="BR972" s="6"/>
      <c r="BS972" s="6"/>
      <c r="BT972" s="6"/>
      <c r="BU972" s="6"/>
      <c r="BV972" s="6"/>
      <c r="BW972" s="11"/>
      <c r="BX972" s="11"/>
      <c r="BY972" s="11"/>
      <c r="BZ972" s="11"/>
      <c r="CA972" s="11"/>
      <c r="CB972" s="11"/>
      <c r="CC972" s="11"/>
      <c r="CD972" s="11"/>
      <c r="CE972" s="11"/>
      <c r="CF972" s="11"/>
      <c r="CG972" s="11"/>
      <c r="CH972" s="11"/>
      <c r="CI972" s="11"/>
      <c r="CJ972" s="11"/>
      <c r="CK972" s="11"/>
      <c r="CL972" s="11"/>
      <c r="CM972" s="11"/>
      <c r="CN972" s="11"/>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c r="AB973" s="6"/>
      <c r="AC973" s="6"/>
      <c r="AD973" s="6"/>
      <c r="AE973" s="6"/>
      <c r="AF973" s="6"/>
      <c r="AG973" s="6"/>
      <c r="AH973" s="6"/>
      <c r="AI973" s="6"/>
      <c r="AJ973" s="6"/>
      <c r="AK973" s="6"/>
      <c r="AL973" s="6"/>
      <c r="AM973" s="6"/>
      <c r="AN973" s="6"/>
      <c r="AO973" s="6"/>
      <c r="AP973" s="6"/>
      <c r="AQ973" s="6"/>
      <c r="AR973" s="6"/>
      <c r="AS973" s="6"/>
      <c r="AT973" s="6"/>
      <c r="AU973" s="6"/>
      <c r="AV973" s="6"/>
      <c r="AW973" s="6"/>
      <c r="AX973" s="6"/>
      <c r="AY973" s="6"/>
      <c r="AZ973" s="6"/>
      <c r="BA973" s="6"/>
      <c r="BB973" s="6"/>
      <c r="BC973" s="6"/>
      <c r="BD973" s="6"/>
      <c r="BE973" s="6"/>
      <c r="BF973" s="6"/>
      <c r="BG973" s="6"/>
      <c r="BH973" s="6"/>
      <c r="BI973" s="6"/>
      <c r="BJ973" s="6"/>
      <c r="BK973" s="6"/>
      <c r="BL973" s="6"/>
      <c r="BM973" s="6"/>
      <c r="BN973" s="6"/>
      <c r="BO973" s="6"/>
      <c r="BP973" s="6"/>
      <c r="BQ973" s="6"/>
      <c r="BR973" s="6"/>
      <c r="BS973" s="6"/>
      <c r="BT973" s="6"/>
      <c r="BU973" s="6"/>
      <c r="BV973" s="6"/>
      <c r="BW973" s="11"/>
      <c r="BX973" s="11"/>
      <c r="BY973" s="11"/>
      <c r="BZ973" s="11"/>
      <c r="CA973" s="11"/>
      <c r="CB973" s="11"/>
      <c r="CC973" s="11"/>
      <c r="CD973" s="11"/>
      <c r="CE973" s="11"/>
      <c r="CF973" s="11"/>
      <c r="CG973" s="11"/>
      <c r="CH973" s="11"/>
      <c r="CI973" s="11"/>
      <c r="CJ973" s="11"/>
      <c r="CK973" s="11"/>
      <c r="CL973" s="11"/>
      <c r="CM973" s="11"/>
      <c r="CN973" s="11"/>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c r="BA974" s="6"/>
      <c r="BB974" s="6"/>
      <c r="BC974" s="6"/>
      <c r="BD974" s="6"/>
      <c r="BE974" s="6"/>
      <c r="BF974" s="6"/>
      <c r="BG974" s="6"/>
      <c r="BH974" s="6"/>
      <c r="BI974" s="6"/>
      <c r="BJ974" s="6"/>
      <c r="BK974" s="6"/>
      <c r="BL974" s="6"/>
      <c r="BM974" s="6"/>
      <c r="BN974" s="6"/>
      <c r="BO974" s="6"/>
      <c r="BP974" s="6"/>
      <c r="BQ974" s="6"/>
      <c r="BR974" s="6"/>
      <c r="BS974" s="6"/>
      <c r="BT974" s="6"/>
      <c r="BU974" s="6"/>
      <c r="BV974" s="6"/>
      <c r="BW974" s="11"/>
      <c r="BX974" s="11"/>
      <c r="BY974" s="11"/>
      <c r="BZ974" s="11"/>
      <c r="CA974" s="11"/>
      <c r="CB974" s="11"/>
      <c r="CC974" s="11"/>
      <c r="CD974" s="11"/>
      <c r="CE974" s="11"/>
      <c r="CF974" s="11"/>
      <c r="CG974" s="11"/>
      <c r="CH974" s="11"/>
      <c r="CI974" s="11"/>
      <c r="CJ974" s="11"/>
      <c r="CK974" s="11"/>
      <c r="CL974" s="11"/>
      <c r="CM974" s="11"/>
      <c r="CN974" s="11"/>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c r="AB975" s="6"/>
      <c r="AC975" s="6"/>
      <c r="AD975" s="6"/>
      <c r="AE975" s="6"/>
      <c r="AF975" s="6"/>
      <c r="AG975" s="6"/>
      <c r="AH975" s="6"/>
      <c r="AI975" s="6"/>
      <c r="AJ975" s="6"/>
      <c r="AK975" s="6"/>
      <c r="AL975" s="6"/>
      <c r="AM975" s="6"/>
      <c r="AN975" s="6"/>
      <c r="AO975" s="6"/>
      <c r="AP975" s="6"/>
      <c r="AQ975" s="6"/>
      <c r="AR975" s="6"/>
      <c r="AS975" s="6"/>
      <c r="AT975" s="6"/>
      <c r="AU975" s="6"/>
      <c r="AV975" s="6"/>
      <c r="AW975" s="6"/>
      <c r="AX975" s="6"/>
      <c r="AY975" s="6"/>
      <c r="AZ975" s="6"/>
      <c r="BA975" s="6"/>
      <c r="BB975" s="6"/>
      <c r="BC975" s="6"/>
      <c r="BD975" s="6"/>
      <c r="BE975" s="6"/>
      <c r="BF975" s="6"/>
      <c r="BG975" s="6"/>
      <c r="BH975" s="6"/>
      <c r="BI975" s="6"/>
      <c r="BJ975" s="6"/>
      <c r="BK975" s="6"/>
      <c r="BL975" s="6"/>
      <c r="BM975" s="6"/>
      <c r="BN975" s="6"/>
      <c r="BO975" s="6"/>
      <c r="BP975" s="6"/>
      <c r="BQ975" s="6"/>
      <c r="BR975" s="6"/>
      <c r="BS975" s="6"/>
      <c r="BT975" s="6"/>
      <c r="BU975" s="6"/>
      <c r="BV975" s="6"/>
      <c r="BW975" s="11"/>
      <c r="BX975" s="11"/>
      <c r="BY975" s="11"/>
      <c r="BZ975" s="11"/>
      <c r="CA975" s="11"/>
      <c r="CB975" s="11"/>
      <c r="CC975" s="11"/>
      <c r="CD975" s="11"/>
      <c r="CE975" s="11"/>
      <c r="CF975" s="11"/>
      <c r="CG975" s="11"/>
      <c r="CH975" s="11"/>
      <c r="CI975" s="11"/>
      <c r="CJ975" s="11"/>
      <c r="CK975" s="11"/>
      <c r="CL975" s="11"/>
      <c r="CM975" s="11"/>
      <c r="CN975" s="11"/>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c r="BA976" s="6"/>
      <c r="BB976" s="6"/>
      <c r="BC976" s="6"/>
      <c r="BD976" s="6"/>
      <c r="BE976" s="6"/>
      <c r="BF976" s="6"/>
      <c r="BG976" s="6"/>
      <c r="BH976" s="6"/>
      <c r="BI976" s="6"/>
      <c r="BJ976" s="6"/>
      <c r="BK976" s="6"/>
      <c r="BL976" s="6"/>
      <c r="BM976" s="6"/>
      <c r="BN976" s="6"/>
      <c r="BO976" s="6"/>
      <c r="BP976" s="6"/>
      <c r="BQ976" s="6"/>
      <c r="BR976" s="6"/>
      <c r="BS976" s="6"/>
      <c r="BT976" s="6"/>
      <c r="BU976" s="6"/>
      <c r="BV976" s="6"/>
      <c r="BW976" s="11"/>
      <c r="BX976" s="11"/>
      <c r="BY976" s="11"/>
      <c r="BZ976" s="11"/>
      <c r="CA976" s="11"/>
      <c r="CB976" s="11"/>
      <c r="CC976" s="11"/>
      <c r="CD976" s="11"/>
      <c r="CE976" s="11"/>
      <c r="CF976" s="11"/>
      <c r="CG976" s="11"/>
      <c r="CH976" s="11"/>
      <c r="CI976" s="11"/>
      <c r="CJ976" s="11"/>
      <c r="CK976" s="11"/>
      <c r="CL976" s="11"/>
      <c r="CM976" s="11"/>
      <c r="CN976" s="11"/>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c r="AB977" s="6"/>
      <c r="AC977" s="6"/>
      <c r="AD977" s="6"/>
      <c r="AE977" s="6"/>
      <c r="AF977" s="6"/>
      <c r="AG977" s="6"/>
      <c r="AH977" s="6"/>
      <c r="AI977" s="6"/>
      <c r="AJ977" s="6"/>
      <c r="AK977" s="6"/>
      <c r="AL977" s="6"/>
      <c r="AM977" s="6"/>
      <c r="AN977" s="6"/>
      <c r="AO977" s="6"/>
      <c r="AP977" s="6"/>
      <c r="AQ977" s="6"/>
      <c r="AR977" s="6"/>
      <c r="AS977" s="6"/>
      <c r="AT977" s="6"/>
      <c r="AU977" s="6"/>
      <c r="AV977" s="6"/>
      <c r="AW977" s="6"/>
      <c r="AX977" s="6"/>
      <c r="AY977" s="6"/>
      <c r="AZ977" s="6"/>
      <c r="BA977" s="6"/>
      <c r="BB977" s="6"/>
      <c r="BC977" s="6"/>
      <c r="BD977" s="6"/>
      <c r="BE977" s="6"/>
      <c r="BF977" s="6"/>
      <c r="BG977" s="6"/>
      <c r="BH977" s="6"/>
      <c r="BI977" s="6"/>
      <c r="BJ977" s="6"/>
      <c r="BK977" s="6"/>
      <c r="BL977" s="6"/>
      <c r="BM977" s="6"/>
      <c r="BN977" s="6"/>
      <c r="BO977" s="6"/>
      <c r="BP977" s="6"/>
      <c r="BQ977" s="6"/>
      <c r="BR977" s="6"/>
      <c r="BS977" s="6"/>
      <c r="BT977" s="6"/>
      <c r="BU977" s="6"/>
      <c r="BV977" s="6"/>
      <c r="BW977" s="11"/>
      <c r="BX977" s="11"/>
      <c r="BY977" s="11"/>
      <c r="BZ977" s="11"/>
      <c r="CA977" s="11"/>
      <c r="CB977" s="11"/>
      <c r="CC977" s="11"/>
      <c r="CD977" s="11"/>
      <c r="CE977" s="11"/>
      <c r="CF977" s="11"/>
      <c r="CG977" s="11"/>
      <c r="CH977" s="11"/>
      <c r="CI977" s="11"/>
      <c r="CJ977" s="11"/>
      <c r="CK977" s="11"/>
      <c r="CL977" s="11"/>
      <c r="CM977" s="11"/>
      <c r="CN977" s="11"/>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c r="BA978" s="6"/>
      <c r="BB978" s="6"/>
      <c r="BC978" s="6"/>
      <c r="BD978" s="6"/>
      <c r="BE978" s="6"/>
      <c r="BF978" s="6"/>
      <c r="BG978" s="6"/>
      <c r="BH978" s="6"/>
      <c r="BI978" s="6"/>
      <c r="BJ978" s="6"/>
      <c r="BK978" s="6"/>
      <c r="BL978" s="6"/>
      <c r="BM978" s="6"/>
      <c r="BN978" s="6"/>
      <c r="BO978" s="6"/>
      <c r="BP978" s="6"/>
      <c r="BQ978" s="6"/>
      <c r="BR978" s="6"/>
      <c r="BS978" s="6"/>
      <c r="BT978" s="6"/>
      <c r="BU978" s="6"/>
      <c r="BV978" s="6"/>
      <c r="BW978" s="11"/>
      <c r="BX978" s="11"/>
      <c r="BY978" s="11"/>
      <c r="BZ978" s="11"/>
      <c r="CA978" s="11"/>
      <c r="CB978" s="11"/>
      <c r="CC978" s="11"/>
      <c r="CD978" s="11"/>
      <c r="CE978" s="11"/>
      <c r="CF978" s="11"/>
      <c r="CG978" s="11"/>
      <c r="CH978" s="11"/>
      <c r="CI978" s="11"/>
      <c r="CJ978" s="11"/>
      <c r="CK978" s="11"/>
      <c r="CL978" s="11"/>
      <c r="CM978" s="11"/>
      <c r="CN978" s="11"/>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c r="AB979" s="6"/>
      <c r="AC979" s="6"/>
      <c r="AD979" s="6"/>
      <c r="AE979" s="6"/>
      <c r="AF979" s="6"/>
      <c r="AG979" s="6"/>
      <c r="AH979" s="6"/>
      <c r="AI979" s="6"/>
      <c r="AJ979" s="6"/>
      <c r="AK979" s="6"/>
      <c r="AL979" s="6"/>
      <c r="AM979" s="6"/>
      <c r="AN979" s="6"/>
      <c r="AO979" s="6"/>
      <c r="AP979" s="6"/>
      <c r="AQ979" s="6"/>
      <c r="AR979" s="6"/>
      <c r="AS979" s="6"/>
      <c r="AT979" s="6"/>
      <c r="AU979" s="6"/>
      <c r="AV979" s="6"/>
      <c r="AW979" s="6"/>
      <c r="AX979" s="6"/>
      <c r="AY979" s="6"/>
      <c r="AZ979" s="6"/>
      <c r="BA979" s="6"/>
      <c r="BB979" s="6"/>
      <c r="BC979" s="6"/>
      <c r="BD979" s="6"/>
      <c r="BE979" s="6"/>
      <c r="BF979" s="6"/>
      <c r="BG979" s="6"/>
      <c r="BH979" s="6"/>
      <c r="BI979" s="6"/>
      <c r="BJ979" s="6"/>
      <c r="BK979" s="6"/>
      <c r="BL979" s="6"/>
      <c r="BM979" s="6"/>
      <c r="BN979" s="6"/>
      <c r="BO979" s="6"/>
      <c r="BP979" s="6"/>
      <c r="BQ979" s="6"/>
      <c r="BR979" s="6"/>
      <c r="BS979" s="6"/>
      <c r="BT979" s="6"/>
      <c r="BU979" s="6"/>
      <c r="BV979" s="6"/>
      <c r="BW979" s="11"/>
      <c r="BX979" s="11"/>
      <c r="BY979" s="11"/>
      <c r="BZ979" s="11"/>
      <c r="CA979" s="11"/>
      <c r="CB979" s="11"/>
      <c r="CC979" s="11"/>
      <c r="CD979" s="11"/>
      <c r="CE979" s="11"/>
      <c r="CF979" s="11"/>
      <c r="CG979" s="11"/>
      <c r="CH979" s="11"/>
      <c r="CI979" s="11"/>
      <c r="CJ979" s="11"/>
      <c r="CK979" s="11"/>
      <c r="CL979" s="11"/>
      <c r="CM979" s="11"/>
      <c r="CN979" s="11"/>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c r="BA980" s="6"/>
      <c r="BB980" s="6"/>
      <c r="BC980" s="6"/>
      <c r="BD980" s="6"/>
      <c r="BE980" s="6"/>
      <c r="BF980" s="6"/>
      <c r="BG980" s="6"/>
      <c r="BH980" s="6"/>
      <c r="BI980" s="6"/>
      <c r="BJ980" s="6"/>
      <c r="BK980" s="6"/>
      <c r="BL980" s="6"/>
      <c r="BM980" s="6"/>
      <c r="BN980" s="6"/>
      <c r="BO980" s="6"/>
      <c r="BP980" s="6"/>
      <c r="BQ980" s="6"/>
      <c r="BR980" s="6"/>
      <c r="BS980" s="6"/>
      <c r="BT980" s="6"/>
      <c r="BU980" s="6"/>
      <c r="BV980" s="6"/>
      <c r="BW980" s="11"/>
      <c r="BX980" s="11"/>
      <c r="BY980" s="11"/>
      <c r="BZ980" s="11"/>
      <c r="CA980" s="11"/>
      <c r="CB980" s="11"/>
      <c r="CC980" s="11"/>
      <c r="CD980" s="11"/>
      <c r="CE980" s="11"/>
      <c r="CF980" s="11"/>
      <c r="CG980" s="11"/>
      <c r="CH980" s="11"/>
      <c r="CI980" s="11"/>
      <c r="CJ980" s="11"/>
      <c r="CK980" s="11"/>
      <c r="CL980" s="11"/>
      <c r="CM980" s="11"/>
      <c r="CN980" s="11"/>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c r="AB981" s="6"/>
      <c r="AC981" s="6"/>
      <c r="AD981" s="6"/>
      <c r="AE981" s="6"/>
      <c r="AF981" s="6"/>
      <c r="AG981" s="6"/>
      <c r="AH981" s="6"/>
      <c r="AI981" s="6"/>
      <c r="AJ981" s="6"/>
      <c r="AK981" s="6"/>
      <c r="AL981" s="6"/>
      <c r="AM981" s="6"/>
      <c r="AN981" s="6"/>
      <c r="AO981" s="6"/>
      <c r="AP981" s="6"/>
      <c r="AQ981" s="6"/>
      <c r="AR981" s="6"/>
      <c r="AS981" s="6"/>
      <c r="AT981" s="6"/>
      <c r="AU981" s="6"/>
      <c r="AV981" s="6"/>
      <c r="AW981" s="6"/>
      <c r="AX981" s="6"/>
      <c r="AY981" s="6"/>
      <c r="AZ981" s="6"/>
      <c r="BA981" s="6"/>
      <c r="BB981" s="6"/>
      <c r="BC981" s="6"/>
      <c r="BD981" s="6"/>
      <c r="BE981" s="6"/>
      <c r="BF981" s="6"/>
      <c r="BG981" s="6"/>
      <c r="BH981" s="6"/>
      <c r="BI981" s="6"/>
      <c r="BJ981" s="6"/>
      <c r="BK981" s="6"/>
      <c r="BL981" s="6"/>
      <c r="BM981" s="6"/>
      <c r="BN981" s="6"/>
      <c r="BO981" s="6"/>
      <c r="BP981" s="6"/>
      <c r="BQ981" s="6"/>
      <c r="BR981" s="6"/>
      <c r="BS981" s="6"/>
      <c r="BT981" s="6"/>
      <c r="BU981" s="6"/>
      <c r="BV981" s="6"/>
      <c r="BW981" s="11"/>
      <c r="BX981" s="11"/>
      <c r="BY981" s="11"/>
      <c r="BZ981" s="11"/>
      <c r="CA981" s="11"/>
      <c r="CB981" s="11"/>
      <c r="CC981" s="11"/>
      <c r="CD981" s="11"/>
      <c r="CE981" s="11"/>
      <c r="CF981" s="11"/>
      <c r="CG981" s="11"/>
      <c r="CH981" s="11"/>
      <c r="CI981" s="11"/>
      <c r="CJ981" s="11"/>
      <c r="CK981" s="11"/>
      <c r="CL981" s="11"/>
      <c r="CM981" s="11"/>
      <c r="CN981" s="11"/>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c r="AV982" s="6"/>
      <c r="AW982" s="6"/>
      <c r="AX982" s="6"/>
      <c r="AY982" s="6"/>
      <c r="AZ982" s="6"/>
      <c r="BA982" s="6"/>
      <c r="BB982" s="6"/>
      <c r="BC982" s="6"/>
      <c r="BD982" s="6"/>
      <c r="BE982" s="6"/>
      <c r="BF982" s="6"/>
      <c r="BG982" s="6"/>
      <c r="BH982" s="6"/>
      <c r="BI982" s="6"/>
      <c r="BJ982" s="6"/>
      <c r="BK982" s="6"/>
      <c r="BL982" s="6"/>
      <c r="BM982" s="6"/>
      <c r="BN982" s="6"/>
      <c r="BO982" s="6"/>
      <c r="BP982" s="6"/>
      <c r="BQ982" s="6"/>
      <c r="BR982" s="6"/>
      <c r="BS982" s="6"/>
      <c r="BT982" s="6"/>
      <c r="BU982" s="6"/>
      <c r="BV982" s="6"/>
      <c r="BW982" s="11"/>
      <c r="BX982" s="11"/>
      <c r="BY982" s="11"/>
      <c r="BZ982" s="11"/>
      <c r="CA982" s="11"/>
      <c r="CB982" s="11"/>
      <c r="CC982" s="11"/>
      <c r="CD982" s="11"/>
      <c r="CE982" s="11"/>
      <c r="CF982" s="11"/>
      <c r="CG982" s="11"/>
      <c r="CH982" s="11"/>
      <c r="CI982" s="11"/>
      <c r="CJ982" s="11"/>
      <c r="CK982" s="11"/>
      <c r="CL982" s="11"/>
      <c r="CM982" s="11"/>
      <c r="CN982" s="11"/>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c r="AB983" s="6"/>
      <c r="AC983" s="6"/>
      <c r="AD983" s="6"/>
      <c r="AE983" s="6"/>
      <c r="AF983" s="6"/>
      <c r="AG983" s="6"/>
      <c r="AH983" s="6"/>
      <c r="AI983" s="6"/>
      <c r="AJ983" s="6"/>
      <c r="AK983" s="6"/>
      <c r="AL983" s="6"/>
      <c r="AM983" s="6"/>
      <c r="AN983" s="6"/>
      <c r="AO983" s="6"/>
      <c r="AP983" s="6"/>
      <c r="AQ983" s="6"/>
      <c r="AR983" s="6"/>
      <c r="AS983" s="6"/>
      <c r="AT983" s="6"/>
      <c r="AU983" s="6"/>
      <c r="AV983" s="6"/>
      <c r="AW983" s="6"/>
      <c r="AX983" s="6"/>
      <c r="AY983" s="6"/>
      <c r="AZ983" s="6"/>
      <c r="BA983" s="6"/>
      <c r="BB983" s="6"/>
      <c r="BC983" s="6"/>
      <c r="BD983" s="6"/>
      <c r="BE983" s="6"/>
      <c r="BF983" s="6"/>
      <c r="BG983" s="6"/>
      <c r="BH983" s="6"/>
      <c r="BI983" s="6"/>
      <c r="BJ983" s="6"/>
      <c r="BK983" s="6"/>
      <c r="BL983" s="6"/>
      <c r="BM983" s="6"/>
      <c r="BN983" s="6"/>
      <c r="BO983" s="6"/>
      <c r="BP983" s="6"/>
      <c r="BQ983" s="6"/>
      <c r="BR983" s="6"/>
      <c r="BS983" s="6"/>
      <c r="BT983" s="6"/>
      <c r="BU983" s="6"/>
      <c r="BV983" s="6"/>
      <c r="BW983" s="11"/>
      <c r="BX983" s="11"/>
      <c r="BY983" s="11"/>
      <c r="BZ983" s="11"/>
      <c r="CA983" s="11"/>
      <c r="CB983" s="11"/>
      <c r="CC983" s="11"/>
      <c r="CD983" s="11"/>
      <c r="CE983" s="11"/>
      <c r="CF983" s="11"/>
      <c r="CG983" s="11"/>
      <c r="CH983" s="11"/>
      <c r="CI983" s="11"/>
      <c r="CJ983" s="11"/>
      <c r="CK983" s="11"/>
      <c r="CL983" s="11"/>
      <c r="CM983" s="11"/>
      <c r="CN983" s="11"/>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c r="BA984" s="6"/>
      <c r="BB984" s="6"/>
      <c r="BC984" s="6"/>
      <c r="BD984" s="6"/>
      <c r="BE984" s="6"/>
      <c r="BF984" s="6"/>
      <c r="BG984" s="6"/>
      <c r="BH984" s="6"/>
      <c r="BI984" s="6"/>
      <c r="BJ984" s="6"/>
      <c r="BK984" s="6"/>
      <c r="BL984" s="6"/>
      <c r="BM984" s="6"/>
      <c r="BN984" s="6"/>
      <c r="BO984" s="6"/>
      <c r="BP984" s="6"/>
      <c r="BQ984" s="6"/>
      <c r="BR984" s="6"/>
      <c r="BS984" s="6"/>
      <c r="BT984" s="6"/>
      <c r="BU984" s="6"/>
      <c r="BV984" s="6"/>
      <c r="BW984" s="11"/>
      <c r="BX984" s="11"/>
      <c r="BY984" s="11"/>
      <c r="BZ984" s="11"/>
      <c r="CA984" s="11"/>
      <c r="CB984" s="11"/>
      <c r="CC984" s="11"/>
      <c r="CD984" s="11"/>
      <c r="CE984" s="11"/>
      <c r="CF984" s="11"/>
      <c r="CG984" s="11"/>
      <c r="CH984" s="11"/>
      <c r="CI984" s="11"/>
      <c r="CJ984" s="11"/>
      <c r="CK984" s="11"/>
      <c r="CL984" s="11"/>
      <c r="CM984" s="11"/>
      <c r="CN984" s="11"/>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c r="AB985" s="6"/>
      <c r="AC985" s="6"/>
      <c r="AD985" s="6"/>
      <c r="AE985" s="6"/>
      <c r="AF985" s="6"/>
      <c r="AG985" s="6"/>
      <c r="AH985" s="6"/>
      <c r="AI985" s="6"/>
      <c r="AJ985" s="6"/>
      <c r="AK985" s="6"/>
      <c r="AL985" s="6"/>
      <c r="AM985" s="6"/>
      <c r="AN985" s="6"/>
      <c r="AO985" s="6"/>
      <c r="AP985" s="6"/>
      <c r="AQ985" s="6"/>
      <c r="AR985" s="6"/>
      <c r="AS985" s="6"/>
      <c r="AT985" s="6"/>
      <c r="AU985" s="6"/>
      <c r="AV985" s="6"/>
      <c r="AW985" s="6"/>
      <c r="AX985" s="6"/>
      <c r="AY985" s="6"/>
      <c r="AZ985" s="6"/>
      <c r="BA985" s="6"/>
      <c r="BB985" s="6"/>
      <c r="BC985" s="6"/>
      <c r="BD985" s="6"/>
      <c r="BE985" s="6"/>
      <c r="BF985" s="6"/>
      <c r="BG985" s="6"/>
      <c r="BH985" s="6"/>
      <c r="BI985" s="6"/>
      <c r="BJ985" s="6"/>
      <c r="BK985" s="6"/>
      <c r="BL985" s="6"/>
      <c r="BM985" s="6"/>
      <c r="BN985" s="6"/>
      <c r="BO985" s="6"/>
      <c r="BP985" s="6"/>
      <c r="BQ985" s="6"/>
      <c r="BR985" s="6"/>
      <c r="BS985" s="6"/>
      <c r="BT985" s="6"/>
      <c r="BU985" s="6"/>
      <c r="BV985" s="6"/>
      <c r="BW985" s="11"/>
      <c r="BX985" s="11"/>
      <c r="BY985" s="11"/>
      <c r="BZ985" s="11"/>
      <c r="CA985" s="11"/>
      <c r="CB985" s="11"/>
      <c r="CC985" s="11"/>
      <c r="CD985" s="11"/>
      <c r="CE985" s="11"/>
      <c r="CF985" s="11"/>
      <c r="CG985" s="11"/>
      <c r="CH985" s="11"/>
      <c r="CI985" s="11"/>
      <c r="CJ985" s="11"/>
      <c r="CK985" s="11"/>
      <c r="CL985" s="11"/>
      <c r="CM985" s="11"/>
      <c r="CN985" s="11"/>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c r="BA986" s="6"/>
      <c r="BB986" s="6"/>
      <c r="BC986" s="6"/>
      <c r="BD986" s="6"/>
      <c r="BE986" s="6"/>
      <c r="BF986" s="6"/>
      <c r="BG986" s="6"/>
      <c r="BH986" s="6"/>
      <c r="BI986" s="6"/>
      <c r="BJ986" s="6"/>
      <c r="BK986" s="6"/>
      <c r="BL986" s="6"/>
      <c r="BM986" s="6"/>
      <c r="BN986" s="6"/>
      <c r="BO986" s="6"/>
      <c r="BP986" s="6"/>
      <c r="BQ986" s="6"/>
      <c r="BR986" s="6"/>
      <c r="BS986" s="6"/>
      <c r="BT986" s="6"/>
      <c r="BU986" s="6"/>
      <c r="BV986" s="6"/>
      <c r="BW986" s="11"/>
      <c r="BX986" s="11"/>
      <c r="BY986" s="11"/>
      <c r="BZ986" s="11"/>
      <c r="CA986" s="11"/>
      <c r="CB986" s="11"/>
      <c r="CC986" s="11"/>
      <c r="CD986" s="11"/>
      <c r="CE986" s="11"/>
      <c r="CF986" s="11"/>
      <c r="CG986" s="11"/>
      <c r="CH986" s="11"/>
      <c r="CI986" s="11"/>
      <c r="CJ986" s="11"/>
      <c r="CK986" s="11"/>
      <c r="CL986" s="11"/>
      <c r="CM986" s="11"/>
      <c r="CN986" s="11"/>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c r="AB987" s="6"/>
      <c r="AC987" s="6"/>
      <c r="AD987" s="6"/>
      <c r="AE987" s="6"/>
      <c r="AF987" s="6"/>
      <c r="AG987" s="6"/>
      <c r="AH987" s="6"/>
      <c r="AI987" s="6"/>
      <c r="AJ987" s="6"/>
      <c r="AK987" s="6"/>
      <c r="AL987" s="6"/>
      <c r="AM987" s="6"/>
      <c r="AN987" s="6"/>
      <c r="AO987" s="6"/>
      <c r="AP987" s="6"/>
      <c r="AQ987" s="6"/>
      <c r="AR987" s="6"/>
      <c r="AS987" s="6"/>
      <c r="AT987" s="6"/>
      <c r="AU987" s="6"/>
      <c r="AV987" s="6"/>
      <c r="AW987" s="6"/>
      <c r="AX987" s="6"/>
      <c r="AY987" s="6"/>
      <c r="AZ987" s="6"/>
      <c r="BA987" s="6"/>
      <c r="BB987" s="6"/>
      <c r="BC987" s="6"/>
      <c r="BD987" s="6"/>
      <c r="BE987" s="6"/>
      <c r="BF987" s="6"/>
      <c r="BG987" s="6"/>
      <c r="BH987" s="6"/>
      <c r="BI987" s="6"/>
      <c r="BJ987" s="6"/>
      <c r="BK987" s="6"/>
      <c r="BL987" s="6"/>
      <c r="BM987" s="6"/>
      <c r="BN987" s="6"/>
      <c r="BO987" s="6"/>
      <c r="BP987" s="6"/>
      <c r="BQ987" s="6"/>
      <c r="BR987" s="6"/>
      <c r="BS987" s="6"/>
      <c r="BT987" s="6"/>
      <c r="BU987" s="6"/>
      <c r="BV987" s="6"/>
      <c r="BW987" s="11"/>
      <c r="BX987" s="11"/>
      <c r="BY987" s="11"/>
      <c r="BZ987" s="11"/>
      <c r="CA987" s="11"/>
      <c r="CB987" s="11"/>
      <c r="CC987" s="11"/>
      <c r="CD987" s="11"/>
      <c r="CE987" s="11"/>
      <c r="CF987" s="11"/>
      <c r="CG987" s="11"/>
      <c r="CH987" s="11"/>
      <c r="CI987" s="11"/>
      <c r="CJ987" s="11"/>
      <c r="CK987" s="11"/>
      <c r="CL987" s="11"/>
      <c r="CM987" s="11"/>
      <c r="CN987" s="11"/>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c r="AV988" s="6"/>
      <c r="AW988" s="6"/>
      <c r="AX988" s="6"/>
      <c r="AY988" s="6"/>
      <c r="AZ988" s="6"/>
      <c r="BA988" s="6"/>
      <c r="BB988" s="6"/>
      <c r="BC988" s="6"/>
      <c r="BD988" s="6"/>
      <c r="BE988" s="6"/>
      <c r="BF988" s="6"/>
      <c r="BG988" s="6"/>
      <c r="BH988" s="6"/>
      <c r="BI988" s="6"/>
      <c r="BJ988" s="6"/>
      <c r="BK988" s="6"/>
      <c r="BL988" s="6"/>
      <c r="BM988" s="6"/>
      <c r="BN988" s="6"/>
      <c r="BO988" s="6"/>
      <c r="BP988" s="6"/>
      <c r="BQ988" s="6"/>
      <c r="BR988" s="6"/>
      <c r="BS988" s="6"/>
      <c r="BT988" s="6"/>
      <c r="BU988" s="6"/>
      <c r="BV988" s="6"/>
      <c r="BW988" s="11"/>
      <c r="BX988" s="11"/>
      <c r="BY988" s="11"/>
      <c r="BZ988" s="11"/>
      <c r="CA988" s="11"/>
      <c r="CB988" s="11"/>
      <c r="CC988" s="11"/>
      <c r="CD988" s="11"/>
      <c r="CE988" s="11"/>
      <c r="CF988" s="11"/>
      <c r="CG988" s="11"/>
      <c r="CH988" s="11"/>
      <c r="CI988" s="11"/>
      <c r="CJ988" s="11"/>
      <c r="CK988" s="11"/>
      <c r="CL988" s="11"/>
      <c r="CM988" s="11"/>
      <c r="CN988" s="11"/>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c r="AB989" s="6"/>
      <c r="AC989" s="6"/>
      <c r="AD989" s="6"/>
      <c r="AE989" s="6"/>
      <c r="AF989" s="6"/>
      <c r="AG989" s="6"/>
      <c r="AH989" s="6"/>
      <c r="AI989" s="6"/>
      <c r="AJ989" s="6"/>
      <c r="AK989" s="6"/>
      <c r="AL989" s="6"/>
      <c r="AM989" s="6"/>
      <c r="AN989" s="6"/>
      <c r="AO989" s="6"/>
      <c r="AP989" s="6"/>
      <c r="AQ989" s="6"/>
      <c r="AR989" s="6"/>
      <c r="AS989" s="6"/>
      <c r="AT989" s="6"/>
      <c r="AU989" s="6"/>
      <c r="AV989" s="6"/>
      <c r="AW989" s="6"/>
      <c r="AX989" s="6"/>
      <c r="AY989" s="6"/>
      <c r="AZ989" s="6"/>
      <c r="BA989" s="6"/>
      <c r="BB989" s="6"/>
      <c r="BC989" s="6"/>
      <c r="BD989" s="6"/>
      <c r="BE989" s="6"/>
      <c r="BF989" s="6"/>
      <c r="BG989" s="6"/>
      <c r="BH989" s="6"/>
      <c r="BI989" s="6"/>
      <c r="BJ989" s="6"/>
      <c r="BK989" s="6"/>
      <c r="BL989" s="6"/>
      <c r="BM989" s="6"/>
      <c r="BN989" s="6"/>
      <c r="BO989" s="6"/>
      <c r="BP989" s="6"/>
      <c r="BQ989" s="6"/>
      <c r="BR989" s="6"/>
      <c r="BS989" s="6"/>
      <c r="BT989" s="6"/>
      <c r="BU989" s="6"/>
      <c r="BV989" s="6"/>
      <c r="BW989" s="11"/>
      <c r="BX989" s="11"/>
      <c r="BY989" s="11"/>
      <c r="BZ989" s="11"/>
      <c r="CA989" s="11"/>
      <c r="CB989" s="11"/>
      <c r="CC989" s="11"/>
      <c r="CD989" s="11"/>
      <c r="CE989" s="11"/>
      <c r="CF989" s="11"/>
      <c r="CG989" s="11"/>
      <c r="CH989" s="11"/>
      <c r="CI989" s="11"/>
      <c r="CJ989" s="11"/>
      <c r="CK989" s="11"/>
      <c r="CL989" s="11"/>
      <c r="CM989" s="11"/>
      <c r="CN989" s="11"/>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c r="AV990" s="6"/>
      <c r="AW990" s="6"/>
      <c r="AX990" s="6"/>
      <c r="AY990" s="6"/>
      <c r="AZ990" s="6"/>
      <c r="BA990" s="6"/>
      <c r="BB990" s="6"/>
      <c r="BC990" s="6"/>
      <c r="BD990" s="6"/>
      <c r="BE990" s="6"/>
      <c r="BF990" s="6"/>
      <c r="BG990" s="6"/>
      <c r="BH990" s="6"/>
      <c r="BI990" s="6"/>
      <c r="BJ990" s="6"/>
      <c r="BK990" s="6"/>
      <c r="BL990" s="6"/>
      <c r="BM990" s="6"/>
      <c r="BN990" s="6"/>
      <c r="BO990" s="6"/>
      <c r="BP990" s="6"/>
      <c r="BQ990" s="6"/>
      <c r="BR990" s="6"/>
      <c r="BS990" s="6"/>
      <c r="BT990" s="6"/>
      <c r="BU990" s="6"/>
      <c r="BV990" s="6"/>
      <c r="BW990" s="11"/>
      <c r="BX990" s="11"/>
      <c r="BY990" s="11"/>
      <c r="BZ990" s="11"/>
      <c r="CA990" s="11"/>
      <c r="CB990" s="11"/>
      <c r="CC990" s="11"/>
      <c r="CD990" s="11"/>
      <c r="CE990" s="11"/>
      <c r="CF990" s="11"/>
      <c r="CG990" s="11"/>
      <c r="CH990" s="11"/>
      <c r="CI990" s="11"/>
      <c r="CJ990" s="11"/>
      <c r="CK990" s="11"/>
      <c r="CL990" s="11"/>
      <c r="CM990" s="11"/>
      <c r="CN990" s="11"/>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c r="AB991" s="6"/>
      <c r="AC991" s="6"/>
      <c r="AD991" s="6"/>
      <c r="AE991" s="6"/>
      <c r="AF991" s="6"/>
      <c r="AG991" s="6"/>
      <c r="AH991" s="6"/>
      <c r="AI991" s="6"/>
      <c r="AJ991" s="6"/>
      <c r="AK991" s="6"/>
      <c r="AL991" s="6"/>
      <c r="AM991" s="6"/>
      <c r="AN991" s="6"/>
      <c r="AO991" s="6"/>
      <c r="AP991" s="6"/>
      <c r="AQ991" s="6"/>
      <c r="AR991" s="6"/>
      <c r="AS991" s="6"/>
      <c r="AT991" s="6"/>
      <c r="AU991" s="6"/>
      <c r="AV991" s="6"/>
      <c r="AW991" s="6"/>
      <c r="AX991" s="6"/>
      <c r="AY991" s="6"/>
      <c r="AZ991" s="6"/>
      <c r="BA991" s="6"/>
      <c r="BB991" s="6"/>
      <c r="BC991" s="6"/>
      <c r="BD991" s="6"/>
      <c r="BE991" s="6"/>
      <c r="BF991" s="6"/>
      <c r="BG991" s="6"/>
      <c r="BH991" s="6"/>
      <c r="BI991" s="6"/>
      <c r="BJ991" s="6"/>
      <c r="BK991" s="6"/>
      <c r="BL991" s="6"/>
      <c r="BM991" s="6"/>
      <c r="BN991" s="6"/>
      <c r="BO991" s="6"/>
      <c r="BP991" s="6"/>
      <c r="BQ991" s="6"/>
      <c r="BR991" s="6"/>
      <c r="BS991" s="6"/>
      <c r="BT991" s="6"/>
      <c r="BU991" s="6"/>
      <c r="BV991" s="6"/>
      <c r="BW991" s="11"/>
      <c r="BX991" s="11"/>
      <c r="BY991" s="11"/>
      <c r="BZ991" s="11"/>
      <c r="CA991" s="11"/>
      <c r="CB991" s="11"/>
      <c r="CC991" s="11"/>
      <c r="CD991" s="11"/>
      <c r="CE991" s="11"/>
      <c r="CF991" s="11"/>
      <c r="CG991" s="11"/>
      <c r="CH991" s="11"/>
      <c r="CI991" s="11"/>
      <c r="CJ991" s="11"/>
      <c r="CK991" s="11"/>
      <c r="CL991" s="11"/>
      <c r="CM991" s="11"/>
      <c r="CN991" s="11"/>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c r="AV992" s="6"/>
      <c r="AW992" s="6"/>
      <c r="AX992" s="6"/>
      <c r="AY992" s="6"/>
      <c r="AZ992" s="6"/>
      <c r="BA992" s="6"/>
      <c r="BB992" s="6"/>
      <c r="BC992" s="6"/>
      <c r="BD992" s="6"/>
      <c r="BE992" s="6"/>
      <c r="BF992" s="6"/>
      <c r="BG992" s="6"/>
      <c r="BH992" s="6"/>
      <c r="BI992" s="6"/>
      <c r="BJ992" s="6"/>
      <c r="BK992" s="6"/>
      <c r="BL992" s="6"/>
      <c r="BM992" s="6"/>
      <c r="BN992" s="6"/>
      <c r="BO992" s="6"/>
      <c r="BP992" s="6"/>
      <c r="BQ992" s="6"/>
      <c r="BR992" s="6"/>
      <c r="BS992" s="6"/>
      <c r="BT992" s="6"/>
      <c r="BU992" s="6"/>
      <c r="BV992" s="6"/>
      <c r="BW992" s="11"/>
      <c r="BX992" s="11"/>
      <c r="BY992" s="11"/>
      <c r="BZ992" s="11"/>
      <c r="CA992" s="11"/>
      <c r="CB992" s="11"/>
      <c r="CC992" s="11"/>
      <c r="CD992" s="11"/>
      <c r="CE992" s="11"/>
      <c r="CF992" s="11"/>
      <c r="CG992" s="11"/>
      <c r="CH992" s="11"/>
      <c r="CI992" s="11"/>
      <c r="CJ992" s="11"/>
      <c r="CK992" s="11"/>
      <c r="CL992" s="11"/>
      <c r="CM992" s="11"/>
      <c r="CN992" s="11"/>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c r="AB993" s="6"/>
      <c r="AC993" s="6"/>
      <c r="AD993" s="6"/>
      <c r="AE993" s="6"/>
      <c r="AF993" s="6"/>
      <c r="AG993" s="6"/>
      <c r="AH993" s="6"/>
      <c r="AI993" s="6"/>
      <c r="AJ993" s="6"/>
      <c r="AK993" s="6"/>
      <c r="AL993" s="6"/>
      <c r="AM993" s="6"/>
      <c r="AN993" s="6"/>
      <c r="AO993" s="6"/>
      <c r="AP993" s="6"/>
      <c r="AQ993" s="6"/>
      <c r="AR993" s="6"/>
      <c r="AS993" s="6"/>
      <c r="AT993" s="6"/>
      <c r="AU993" s="6"/>
      <c r="AV993" s="6"/>
      <c r="AW993" s="6"/>
      <c r="AX993" s="6"/>
      <c r="AY993" s="6"/>
      <c r="AZ993" s="6"/>
      <c r="BA993" s="6"/>
      <c r="BB993" s="6"/>
      <c r="BC993" s="6"/>
      <c r="BD993" s="6"/>
      <c r="BE993" s="6"/>
      <c r="BF993" s="6"/>
      <c r="BG993" s="6"/>
      <c r="BH993" s="6"/>
      <c r="BI993" s="6"/>
      <c r="BJ993" s="6"/>
      <c r="BK993" s="6"/>
      <c r="BL993" s="6"/>
      <c r="BM993" s="6"/>
      <c r="BN993" s="6"/>
      <c r="BO993" s="6"/>
      <c r="BP993" s="6"/>
      <c r="BQ993" s="6"/>
      <c r="BR993" s="6"/>
      <c r="BS993" s="6"/>
      <c r="BT993" s="6"/>
      <c r="BU993" s="6"/>
      <c r="BV993" s="6"/>
      <c r="BW993" s="11"/>
      <c r="BX993" s="11"/>
      <c r="BY993" s="11"/>
      <c r="BZ993" s="11"/>
      <c r="CA993" s="11"/>
      <c r="CB993" s="11"/>
      <c r="CC993" s="11"/>
      <c r="CD993" s="11"/>
      <c r="CE993" s="11"/>
      <c r="CF993" s="11"/>
      <c r="CG993" s="11"/>
      <c r="CH993" s="11"/>
      <c r="CI993" s="11"/>
      <c r="CJ993" s="11"/>
      <c r="CK993" s="11"/>
      <c r="CL993" s="11"/>
      <c r="CM993" s="11"/>
      <c r="CN993" s="11"/>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c r="AV994" s="6"/>
      <c r="AW994" s="6"/>
      <c r="AX994" s="6"/>
      <c r="AY994" s="6"/>
      <c r="AZ994" s="6"/>
      <c r="BA994" s="6"/>
      <c r="BB994" s="6"/>
      <c r="BC994" s="6"/>
      <c r="BD994" s="6"/>
      <c r="BE994" s="6"/>
      <c r="BF994" s="6"/>
      <c r="BG994" s="6"/>
      <c r="BH994" s="6"/>
      <c r="BI994" s="6"/>
      <c r="BJ994" s="6"/>
      <c r="BK994" s="6"/>
      <c r="BL994" s="6"/>
      <c r="BM994" s="6"/>
      <c r="BN994" s="6"/>
      <c r="BO994" s="6"/>
      <c r="BP994" s="6"/>
      <c r="BQ994" s="6"/>
      <c r="BR994" s="6"/>
      <c r="BS994" s="6"/>
      <c r="BT994" s="6"/>
      <c r="BU994" s="6"/>
      <c r="BV994" s="6"/>
      <c r="BW994" s="11"/>
      <c r="BX994" s="11"/>
      <c r="BY994" s="11"/>
      <c r="BZ994" s="11"/>
      <c r="CA994" s="11"/>
      <c r="CB994" s="11"/>
      <c r="CC994" s="11"/>
      <c r="CD994" s="11"/>
      <c r="CE994" s="11"/>
      <c r="CF994" s="11"/>
      <c r="CG994" s="11"/>
      <c r="CH994" s="11"/>
      <c r="CI994" s="11"/>
      <c r="CJ994" s="11"/>
      <c r="CK994" s="11"/>
      <c r="CL994" s="11"/>
      <c r="CM994" s="11"/>
      <c r="CN994" s="11"/>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c r="AB995" s="6"/>
      <c r="AC995" s="6"/>
      <c r="AD995" s="6"/>
      <c r="AE995" s="6"/>
      <c r="AF995" s="6"/>
      <c r="AG995" s="6"/>
      <c r="AH995" s="6"/>
      <c r="AI995" s="6"/>
      <c r="AJ995" s="6"/>
      <c r="AK995" s="6"/>
      <c r="AL995" s="6"/>
      <c r="AM995" s="6"/>
      <c r="AN995" s="6"/>
      <c r="AO995" s="6"/>
      <c r="AP995" s="6"/>
      <c r="AQ995" s="6"/>
      <c r="AR995" s="6"/>
      <c r="AS995" s="6"/>
      <c r="AT995" s="6"/>
      <c r="AU995" s="6"/>
      <c r="AV995" s="6"/>
      <c r="AW995" s="6"/>
      <c r="AX995" s="6"/>
      <c r="AY995" s="6"/>
      <c r="AZ995" s="6"/>
      <c r="BA995" s="6"/>
      <c r="BB995" s="6"/>
      <c r="BC995" s="6"/>
      <c r="BD995" s="6"/>
      <c r="BE995" s="6"/>
      <c r="BF995" s="6"/>
      <c r="BG995" s="6"/>
      <c r="BH995" s="6"/>
      <c r="BI995" s="6"/>
      <c r="BJ995" s="6"/>
      <c r="BK995" s="6"/>
      <c r="BL995" s="6"/>
      <c r="BM995" s="6"/>
      <c r="BN995" s="6"/>
      <c r="BO995" s="6"/>
      <c r="BP995" s="6"/>
      <c r="BQ995" s="6"/>
      <c r="BR995" s="6"/>
      <c r="BS995" s="6"/>
      <c r="BT995" s="6"/>
      <c r="BU995" s="6"/>
      <c r="BV995" s="6"/>
      <c r="BW995" s="11"/>
      <c r="BX995" s="11"/>
      <c r="BY995" s="11"/>
      <c r="BZ995" s="11"/>
      <c r="CA995" s="11"/>
      <c r="CB995" s="11"/>
      <c r="CC995" s="11"/>
      <c r="CD995" s="11"/>
      <c r="CE995" s="11"/>
      <c r="CF995" s="11"/>
      <c r="CG995" s="11"/>
      <c r="CH995" s="11"/>
      <c r="CI995" s="11"/>
      <c r="CJ995" s="11"/>
      <c r="CK995" s="11"/>
      <c r="CL995" s="11"/>
      <c r="CM995" s="11"/>
      <c r="CN995" s="11"/>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c r="AV996" s="6"/>
      <c r="AW996" s="6"/>
      <c r="AX996" s="6"/>
      <c r="AY996" s="6"/>
      <c r="AZ996" s="6"/>
      <c r="BA996" s="6"/>
      <c r="BB996" s="6"/>
      <c r="BC996" s="6"/>
      <c r="BD996" s="6"/>
      <c r="BE996" s="6"/>
      <c r="BF996" s="6"/>
      <c r="BG996" s="6"/>
      <c r="BH996" s="6"/>
      <c r="BI996" s="6"/>
      <c r="BJ996" s="6"/>
      <c r="BK996" s="6"/>
      <c r="BL996" s="6"/>
      <c r="BM996" s="6"/>
      <c r="BN996" s="6"/>
      <c r="BO996" s="6"/>
      <c r="BP996" s="6"/>
      <c r="BQ996" s="6"/>
      <c r="BR996" s="6"/>
      <c r="BS996" s="6"/>
      <c r="BT996" s="6"/>
      <c r="BU996" s="6"/>
      <c r="BV996" s="6"/>
      <c r="BW996" s="11"/>
      <c r="BX996" s="11"/>
      <c r="BY996" s="11"/>
      <c r="BZ996" s="11"/>
      <c r="CA996" s="11"/>
      <c r="CB996" s="11"/>
      <c r="CC996" s="11"/>
      <c r="CD996" s="11"/>
      <c r="CE996" s="11"/>
      <c r="CF996" s="11"/>
      <c r="CG996" s="11"/>
      <c r="CH996" s="11"/>
      <c r="CI996" s="11"/>
      <c r="CJ996" s="11"/>
      <c r="CK996" s="11"/>
      <c r="CL996" s="11"/>
      <c r="CM996" s="11"/>
      <c r="CN996" s="11"/>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c r="AB997" s="6"/>
      <c r="AC997" s="6"/>
      <c r="AD997" s="6"/>
      <c r="AE997" s="6"/>
      <c r="AF997" s="6"/>
      <c r="AG997" s="6"/>
      <c r="AH997" s="6"/>
      <c r="AI997" s="6"/>
      <c r="AJ997" s="6"/>
      <c r="AK997" s="6"/>
      <c r="AL997" s="6"/>
      <c r="AM997" s="6"/>
      <c r="AN997" s="6"/>
      <c r="AO997" s="6"/>
      <c r="AP997" s="6"/>
      <c r="AQ997" s="6"/>
      <c r="AR997" s="6"/>
      <c r="AS997" s="6"/>
      <c r="AT997" s="6"/>
      <c r="AU997" s="6"/>
      <c r="AV997" s="6"/>
      <c r="AW997" s="6"/>
      <c r="AX997" s="6"/>
      <c r="AY997" s="6"/>
      <c r="AZ997" s="6"/>
      <c r="BA997" s="6"/>
      <c r="BB997" s="6"/>
      <c r="BC997" s="6"/>
      <c r="BD997" s="6"/>
      <c r="BE997" s="6"/>
      <c r="BF997" s="6"/>
      <c r="BG997" s="6"/>
      <c r="BH997" s="6"/>
      <c r="BI997" s="6"/>
      <c r="BJ997" s="6"/>
      <c r="BK997" s="6"/>
      <c r="BL997" s="6"/>
      <c r="BM997" s="6"/>
      <c r="BN997" s="6"/>
      <c r="BO997" s="6"/>
      <c r="BP997" s="6"/>
      <c r="BQ997" s="6"/>
      <c r="BR997" s="6"/>
      <c r="BS997" s="6"/>
      <c r="BT997" s="6"/>
      <c r="BU997" s="6"/>
      <c r="BV997" s="6"/>
      <c r="BW997" s="11"/>
      <c r="BX997" s="11"/>
      <c r="BY997" s="11"/>
      <c r="BZ997" s="11"/>
      <c r="CA997" s="11"/>
      <c r="CB997" s="11"/>
      <c r="CC997" s="11"/>
      <c r="CD997" s="11"/>
      <c r="CE997" s="11"/>
      <c r="CF997" s="11"/>
      <c r="CG997" s="11"/>
      <c r="CH997" s="11"/>
      <c r="CI997" s="11"/>
      <c r="CJ997" s="11"/>
      <c r="CK997" s="11"/>
      <c r="CL997" s="11"/>
      <c r="CM997" s="11"/>
      <c r="CN997" s="11"/>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c r="AV998" s="6"/>
      <c r="AW998" s="6"/>
      <c r="AX998" s="6"/>
      <c r="AY998" s="6"/>
      <c r="AZ998" s="6"/>
      <c r="BA998" s="6"/>
      <c r="BB998" s="6"/>
      <c r="BC998" s="6"/>
      <c r="BD998" s="6"/>
      <c r="BE998" s="6"/>
      <c r="BF998" s="6"/>
      <c r="BG998" s="6"/>
      <c r="BH998" s="6"/>
      <c r="BI998" s="6"/>
      <c r="BJ998" s="6"/>
      <c r="BK998" s="6"/>
      <c r="BL998" s="6"/>
      <c r="BM998" s="6"/>
      <c r="BN998" s="6"/>
      <c r="BO998" s="6"/>
      <c r="BP998" s="6"/>
      <c r="BQ998" s="6"/>
      <c r="BR998" s="6"/>
      <c r="BS998" s="6"/>
      <c r="BT998" s="6"/>
      <c r="BU998" s="6"/>
      <c r="BV998" s="6"/>
      <c r="BW998" s="11"/>
      <c r="BX998" s="11"/>
      <c r="BY998" s="11"/>
      <c r="BZ998" s="11"/>
      <c r="CA998" s="11"/>
      <c r="CB998" s="11"/>
      <c r="CC998" s="11"/>
      <c r="CD998" s="11"/>
      <c r="CE998" s="11"/>
      <c r="CF998" s="11"/>
      <c r="CG998" s="11"/>
      <c r="CH998" s="11"/>
      <c r="CI998" s="11"/>
      <c r="CJ998" s="11"/>
      <c r="CK998" s="11"/>
      <c r="CL998" s="11"/>
      <c r="CM998" s="11"/>
      <c r="CN998" s="11"/>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c r="AB999" s="6"/>
      <c r="AC999" s="6"/>
      <c r="AD999" s="6"/>
      <c r="AE999" s="6"/>
      <c r="AF999" s="6"/>
      <c r="AG999" s="6"/>
      <c r="AH999" s="6"/>
      <c r="AI999" s="6"/>
      <c r="AJ999" s="6"/>
      <c r="AK999" s="6"/>
      <c r="AL999" s="6"/>
      <c r="AM999" s="6"/>
      <c r="AN999" s="6"/>
      <c r="AO999" s="6"/>
      <c r="AP999" s="6"/>
      <c r="AQ999" s="6"/>
      <c r="AR999" s="6"/>
      <c r="AS999" s="6"/>
      <c r="AT999" s="6"/>
      <c r="AU999" s="6"/>
      <c r="AV999" s="6"/>
      <c r="AW999" s="6"/>
      <c r="AX999" s="6"/>
      <c r="AY999" s="6"/>
      <c r="AZ999" s="6"/>
      <c r="BA999" s="6"/>
      <c r="BB999" s="6"/>
      <c r="BC999" s="6"/>
      <c r="BD999" s="6"/>
      <c r="BE999" s="6"/>
      <c r="BF999" s="6"/>
      <c r="BG999" s="6"/>
      <c r="BH999" s="6"/>
      <c r="BI999" s="6"/>
      <c r="BJ999" s="6"/>
      <c r="BK999" s="6"/>
      <c r="BL999" s="6"/>
      <c r="BM999" s="6"/>
      <c r="BN999" s="6"/>
      <c r="BO999" s="6"/>
      <c r="BP999" s="6"/>
      <c r="BQ999" s="6"/>
      <c r="BR999" s="6"/>
      <c r="BS999" s="6"/>
      <c r="BT999" s="6"/>
      <c r="BU999" s="6"/>
      <c r="BV999" s="6"/>
      <c r="BW999" s="11"/>
      <c r="BX999" s="11"/>
      <c r="BY999" s="11"/>
      <c r="BZ999" s="11"/>
      <c r="CA999" s="11"/>
      <c r="CB999" s="11"/>
      <c r="CC999" s="11"/>
      <c r="CD999" s="11"/>
      <c r="CE999" s="11"/>
      <c r="CF999" s="11"/>
      <c r="CG999" s="11"/>
      <c r="CH999" s="11"/>
      <c r="CI999" s="11"/>
      <c r="CJ999" s="11"/>
      <c r="CK999" s="11"/>
      <c r="CL999" s="11"/>
      <c r="CM999" s="11"/>
      <c r="CN999" s="11"/>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c r="AV1000" s="6"/>
      <c r="AW1000" s="6"/>
      <c r="AX1000" s="6"/>
      <c r="AY1000" s="6"/>
      <c r="AZ1000" s="6"/>
      <c r="BA1000" s="6"/>
      <c r="BB1000" s="6"/>
      <c r="BC1000" s="6"/>
      <c r="BD1000" s="6"/>
      <c r="BE1000" s="6"/>
      <c r="BF1000" s="6"/>
      <c r="BG1000" s="6"/>
      <c r="BH1000" s="6"/>
      <c r="BI1000" s="6"/>
      <c r="BJ1000" s="6"/>
      <c r="BK1000" s="6"/>
      <c r="BL1000" s="6"/>
      <c r="BM1000" s="6"/>
      <c r="BN1000" s="6"/>
      <c r="BO1000" s="6"/>
      <c r="BP1000" s="6"/>
      <c r="BQ1000" s="6"/>
      <c r="BR1000" s="6"/>
      <c r="BS1000" s="6"/>
      <c r="BT1000" s="6"/>
      <c r="BU1000" s="6"/>
      <c r="BV1000" s="6"/>
      <c r="BW1000" s="11"/>
      <c r="BX1000" s="11"/>
      <c r="BY1000" s="11"/>
      <c r="BZ1000" s="11"/>
      <c r="CA1000" s="11"/>
      <c r="CB1000" s="11"/>
      <c r="CC1000" s="11"/>
      <c r="CD1000" s="11"/>
      <c r="CE1000" s="11"/>
      <c r="CF1000" s="11"/>
      <c r="CG1000" s="11"/>
      <c r="CH1000" s="11"/>
      <c r="CI1000" s="11"/>
      <c r="CJ1000" s="11"/>
      <c r="CK1000" s="11"/>
      <c r="CL1000" s="11"/>
      <c r="CM1000" s="11"/>
      <c r="CN1000" s="11"/>
    </row>
  </sheetData>
  <mergeCells count="39">
    <mergeCell ref="A1:BU3"/>
    <mergeCell ref="G5:M5"/>
    <mergeCell ref="N5:AF5"/>
    <mergeCell ref="AM5:AS5"/>
    <mergeCell ref="AT5:AX5"/>
    <mergeCell ref="BD5:BJ5"/>
    <mergeCell ref="BK5:BQ5"/>
    <mergeCell ref="BC9:BJ9"/>
    <mergeCell ref="BK9:BR9"/>
    <mergeCell ref="BI19:BL19"/>
    <mergeCell ref="BM19:BS19"/>
    <mergeCell ref="BI28:BL28"/>
    <mergeCell ref="BM28:BS28"/>
    <mergeCell ref="BI37:BL37"/>
    <mergeCell ref="BM37:BS37"/>
    <mergeCell ref="A7:AB7"/>
    <mergeCell ref="AC7:AW7"/>
    <mergeCell ref="AX7:BU7"/>
    <mergeCell ref="E9:L9"/>
    <mergeCell ref="M9:V9"/>
    <mergeCell ref="AH9:AO9"/>
    <mergeCell ref="AP9:AW9"/>
    <mergeCell ref="E11:K11"/>
    <mergeCell ref="L11:S11"/>
    <mergeCell ref="E13:K13"/>
    <mergeCell ref="L13:S13"/>
    <mergeCell ref="E15:K15"/>
    <mergeCell ref="L15:S15"/>
    <mergeCell ref="AE18:AN19"/>
    <mergeCell ref="A32:P32"/>
    <mergeCell ref="A34:P34"/>
    <mergeCell ref="A36:P36"/>
    <mergeCell ref="F20:M20"/>
    <mergeCell ref="N20:U20"/>
    <mergeCell ref="A22:P22"/>
    <mergeCell ref="A24:P24"/>
    <mergeCell ref="A26:P26"/>
    <mergeCell ref="A28:P28"/>
    <mergeCell ref="A30:P30"/>
  </mergeCells>
  <conditionalFormatting sqref="AE11:AE17 AE20:AE35">
    <cfRule type="expression" dxfId="7" priority="1">
      <formula>AW11=1</formula>
    </cfRule>
  </conditionalFormatting>
  <conditionalFormatting sqref="AE18:AN19">
    <cfRule type="expression" dxfId="7" priority="2">
      <formula>$AW$19=1</formula>
    </cfRule>
  </conditionalFormatting>
  <conditionalFormatting sqref="BM19:BS19 BM28:BS28 BM37:BS37">
    <cfRule type="cellIs" dxfId="4" priority="3" operator="equal">
      <formula>"@"</formula>
    </cfRule>
  </conditionalFormatting>
  <conditionalFormatting sqref="N5:AF5 AT5 AZ5:BA5 BK5 BN12:BN17 BN22:BN27 BN31:BN36">
    <cfRule type="cellIs" dxfId="4" priority="4" operator="equal">
      <formula>0</formula>
    </cfRule>
  </conditionalFormatting>
  <conditionalFormatting sqref="BO12:BS17 BO22:BS27 BO31:BS36">
    <cfRule type="cellIs" dxfId="12" priority="5" operator="equal">
      <formula>1</formula>
    </cfRule>
  </conditionalFormatting>
  <conditionalFormatting sqref="R22:AA22 R24:AA24 R26:AA26 R28:AA28 R30:AA30 R32:AA32 R34:AA34 R36:AA36">
    <cfRule type="cellIs" dxfId="1" priority="6" operator="equal">
      <formula>1</formula>
    </cfRule>
  </conditionalFormatting>
  <printOptions horizontalCentered="1" verticalCentered="1"/>
  <pageMargins bottom="0.5" footer="0.0" header="0.0" left="0.25" right="0.25" top="0.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theme="1"/>
    <pageSetUpPr/>
  </sheetPr>
  <sheetViews>
    <sheetView workbookViewId="0"/>
  </sheetViews>
  <sheetFormatPr customHeight="1" defaultColWidth="14.43" defaultRowHeight="15.0"/>
  <cols>
    <col customWidth="1" min="1" max="1" width="10.86"/>
    <col customWidth="1" min="2" max="391" width="8.86"/>
  </cols>
  <sheetData>
    <row r="1">
      <c r="A1" s="47"/>
      <c r="B1" s="47"/>
      <c r="C1" s="47"/>
      <c r="D1" s="47"/>
      <c r="E1" s="47"/>
      <c r="F1" s="47"/>
      <c r="G1" s="47"/>
      <c r="H1" s="47"/>
      <c r="I1" s="47"/>
      <c r="J1" s="47"/>
      <c r="K1" s="47"/>
      <c r="L1" s="47"/>
      <c r="M1" s="47"/>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row>
    <row r="2">
      <c r="A2" s="393" t="str">
        <f>IF(ISBLANK('Milestones Grid'!$D$16)," ",'Milestones Grid'!$D$16)</f>
        <v> </v>
      </c>
      <c r="B2" s="394" t="str">
        <f>IF(ISBLANK('Milestones Grid'!$I$16)," ",'Milestones Grid'!$I$16)</f>
        <v> </v>
      </c>
      <c r="C2" s="394" t="str">
        <f>IF(ISBLANK('Milestones Grid'!$N$16)," ",'Milestones Grid'!$N$16)</f>
        <v> </v>
      </c>
      <c r="D2" s="394" t="str">
        <f>IF(ISBLANK('Milestones Grid'!$S$16)," ",'Milestones Grid'!$S$16)</f>
        <v> </v>
      </c>
      <c r="E2" s="394" t="str">
        <f>IF(ISBLANK('Milestones Grid'!$X$16)," ",'Milestones Grid'!$X$16)</f>
        <v> </v>
      </c>
      <c r="F2" s="394" t="str">
        <f>IF(ISBLANK('Milestones Grid'!$AC$16)," ",'Milestones Grid'!$AC$16)</f>
        <v> </v>
      </c>
      <c r="G2" s="394" t="str">
        <f>IF(ISBLANK('Milestones Grid'!$AH$16)," ",'Milestones Grid'!$AH$16)</f>
        <v> </v>
      </c>
      <c r="H2" s="394" t="str">
        <f>IF(ISBLANK('Milestones Grid'!$AM$16)," ",'Milestones Grid'!$AM$16)</f>
        <v> </v>
      </c>
      <c r="I2" s="394" t="str">
        <f>IF(ISBLANK('Milestones Grid'!$AR$16)," ",'Milestones Grid'!$AR$16)</f>
        <v> </v>
      </c>
      <c r="J2" s="394" t="str">
        <f>IF(ISBLANK('Milestones Grid'!$AW$16)," ",'Milestones Grid'!$AW$16)</f>
        <v> </v>
      </c>
      <c r="K2" s="394" t="str">
        <f>IF(ISBLANK('Milestones Grid'!$BB$16)," ",'Milestones Grid'!$BB$16)</f>
        <v> </v>
      </c>
      <c r="L2" s="394" t="str">
        <f>IF(ISBLANK('Milestones Grid'!$BG$16)," ",'Milestones Grid'!$BG$16)</f>
        <v> </v>
      </c>
      <c r="M2" s="395" t="str">
        <f>IF(ISBLANK('Milestones Grid'!$BL$16)," ",'Milestones Grid'!$BL$16)</f>
        <v> </v>
      </c>
      <c r="O2" s="396" t="str">
        <f t="shared" ref="O2:AA2" si="1">IF(ISNUMBER(A2),0.5," ")</f>
        <v> </v>
      </c>
      <c r="P2" s="396" t="str">
        <f t="shared" si="1"/>
        <v> </v>
      </c>
      <c r="Q2" s="396" t="str">
        <f t="shared" si="1"/>
        <v> </v>
      </c>
      <c r="R2" s="396" t="str">
        <f t="shared" si="1"/>
        <v> </v>
      </c>
      <c r="S2" s="396" t="str">
        <f t="shared" si="1"/>
        <v> </v>
      </c>
      <c r="T2" s="396" t="str">
        <f t="shared" si="1"/>
        <v> </v>
      </c>
      <c r="U2" s="396" t="str">
        <f t="shared" si="1"/>
        <v> </v>
      </c>
      <c r="V2" s="396" t="str">
        <f t="shared" si="1"/>
        <v> </v>
      </c>
      <c r="W2" s="396" t="str">
        <f t="shared" si="1"/>
        <v> </v>
      </c>
      <c r="X2" s="396" t="str">
        <f t="shared" si="1"/>
        <v> </v>
      </c>
      <c r="Y2" s="396" t="str">
        <f t="shared" si="1"/>
        <v> </v>
      </c>
      <c r="Z2" s="396" t="str">
        <f t="shared" si="1"/>
        <v> </v>
      </c>
      <c r="AA2" s="396" t="str">
        <f t="shared" si="1"/>
        <v> </v>
      </c>
    </row>
    <row r="3">
      <c r="A3" s="397" t="str">
        <f>IF(ISBLANK('Milestones Grid'!$D$17)," ",'Milestones Grid'!$D$17)</f>
        <v> </v>
      </c>
      <c r="B3" s="396" t="str">
        <f>IF(ISBLANK('Milestones Grid'!$I$17)," ",'Milestones Grid'!$I$17)</f>
        <v> </v>
      </c>
      <c r="C3" s="396" t="str">
        <f>IF(ISBLANK('Milestones Grid'!$N$17)," ",'Milestones Grid'!$N$17)</f>
        <v> </v>
      </c>
      <c r="D3" s="396" t="str">
        <f>IF(ISBLANK('Milestones Grid'!$S$17)," ",'Milestones Grid'!$S$17)</f>
        <v> </v>
      </c>
      <c r="E3" s="396" t="str">
        <f>IF(ISBLANK('Milestones Grid'!$X$17)," ",'Milestones Grid'!$X$17)</f>
        <v> </v>
      </c>
      <c r="F3" s="396" t="str">
        <f>IF(ISBLANK('Milestones Grid'!$AC$17)," ",'Milestones Grid'!$AC$17)</f>
        <v> </v>
      </c>
      <c r="G3" s="396" t="str">
        <f>IF(ISBLANK('Milestones Grid'!$AH$17)," ",'Milestones Grid'!$AH$17)</f>
        <v> </v>
      </c>
      <c r="H3" s="396" t="str">
        <f>IF(ISBLANK('Milestones Grid'!$AM$17)," ",'Milestones Grid'!$AM$17)</f>
        <v> </v>
      </c>
      <c r="I3" s="396" t="str">
        <f>IF(ISBLANK('Milestones Grid'!$AR$17)," ",'Milestones Grid'!$AR$17)</f>
        <v> </v>
      </c>
      <c r="J3" s="396" t="str">
        <f>IF(ISBLANK('Milestones Grid'!$AW$17)," ",'Milestones Grid'!$AW$17)</f>
        <v> </v>
      </c>
      <c r="K3" s="396" t="str">
        <f>IF(ISBLANK('Milestones Grid'!$BB$17)," ",'Milestones Grid'!$BB$17)</f>
        <v> </v>
      </c>
      <c r="L3" s="396" t="str">
        <f>IF(ISBLANK('Milestones Grid'!$BG$17)," ",'Milestones Grid'!$BG$17)</f>
        <v> </v>
      </c>
      <c r="M3" s="398" t="str">
        <f>IF(ISBLANK('Milestones Grid'!$BL$17)," ",'Milestones Grid'!$BL$17)</f>
        <v> </v>
      </c>
      <c r="O3" s="396" t="str">
        <f t="shared" ref="O3:AA3" si="2">IF(ISNUMBER(A3),0.5," ")</f>
        <v> </v>
      </c>
      <c r="P3" s="396" t="str">
        <f t="shared" si="2"/>
        <v> </v>
      </c>
      <c r="Q3" s="396" t="str">
        <f t="shared" si="2"/>
        <v> </v>
      </c>
      <c r="R3" s="396" t="str">
        <f t="shared" si="2"/>
        <v> </v>
      </c>
      <c r="S3" s="396" t="str">
        <f t="shared" si="2"/>
        <v> </v>
      </c>
      <c r="T3" s="396" t="str">
        <f t="shared" si="2"/>
        <v> </v>
      </c>
      <c r="U3" s="396" t="str">
        <f t="shared" si="2"/>
        <v> </v>
      </c>
      <c r="V3" s="396" t="str">
        <f t="shared" si="2"/>
        <v> </v>
      </c>
      <c r="W3" s="396" t="str">
        <f t="shared" si="2"/>
        <v> </v>
      </c>
      <c r="X3" s="396" t="str">
        <f t="shared" si="2"/>
        <v> </v>
      </c>
      <c r="Y3" s="396" t="str">
        <f t="shared" si="2"/>
        <v> </v>
      </c>
      <c r="Z3" s="396" t="str">
        <f t="shared" si="2"/>
        <v> </v>
      </c>
      <c r="AA3" s="396" t="str">
        <f t="shared" si="2"/>
        <v> </v>
      </c>
    </row>
    <row r="4">
      <c r="A4" s="397" t="str">
        <f>IF(ISBLANK('Milestones Grid'!$D$18)," ",'Milestones Grid'!$D$18)</f>
        <v> </v>
      </c>
      <c r="B4" s="396" t="str">
        <f>IF(ISBLANK('Milestones Grid'!$I$18)," ",'Milestones Grid'!$I$18)</f>
        <v> </v>
      </c>
      <c r="C4" s="396" t="str">
        <f>IF(ISBLANK('Milestones Grid'!$N$18)," ",'Milestones Grid'!$N$18)</f>
        <v> </v>
      </c>
      <c r="D4" s="396" t="str">
        <f>IF(ISBLANK('Milestones Grid'!$S$18)," ",'Milestones Grid'!$S$18)</f>
        <v> </v>
      </c>
      <c r="E4" s="396" t="str">
        <f>IF(ISBLANK('Milestones Grid'!$X$18)," ",'Milestones Grid'!$X$18)</f>
        <v> </v>
      </c>
      <c r="F4" s="396" t="str">
        <f>IF(ISBLANK('Milestones Grid'!$AC$18)," ",'Milestones Grid'!$AC$18)</f>
        <v> </v>
      </c>
      <c r="G4" s="396" t="str">
        <f>IF(ISBLANK('Milestones Grid'!$AH$18)," ",'Milestones Grid'!$AH$18)</f>
        <v> </v>
      </c>
      <c r="H4" s="396" t="str">
        <f>IF(ISBLANK('Milestones Grid'!$AM$18)," ",'Milestones Grid'!$AM$18)</f>
        <v> </v>
      </c>
      <c r="I4" s="396" t="str">
        <f>IF(ISBLANK('Milestones Grid'!$AR$18)," ",'Milestones Grid'!$AR$18)</f>
        <v> </v>
      </c>
      <c r="J4" s="396" t="str">
        <f>IF(ISBLANK('Milestones Grid'!$AW$18)," ",'Milestones Grid'!$AW$18)</f>
        <v> </v>
      </c>
      <c r="K4" s="396" t="str">
        <f>IF(ISBLANK('Milestones Grid'!$BB$18)," ",'Milestones Grid'!$BB$18)</f>
        <v> </v>
      </c>
      <c r="L4" s="396" t="str">
        <f>IF(ISBLANK('Milestones Grid'!$BG$18)," ",'Milestones Grid'!$BG$18)</f>
        <v> </v>
      </c>
      <c r="M4" s="398" t="str">
        <f>IF(ISBLANK('Milestones Grid'!$BL$18)," ",'Milestones Grid'!$BL$18)</f>
        <v> </v>
      </c>
      <c r="O4" s="396" t="str">
        <f t="shared" ref="O4:AA4" si="3">IF(ISNUMBER(A4),0.5," ")</f>
        <v> </v>
      </c>
      <c r="P4" s="396" t="str">
        <f t="shared" si="3"/>
        <v> </v>
      </c>
      <c r="Q4" s="396" t="str">
        <f t="shared" si="3"/>
        <v> </v>
      </c>
      <c r="R4" s="396" t="str">
        <f t="shared" si="3"/>
        <v> </v>
      </c>
      <c r="S4" s="396" t="str">
        <f t="shared" si="3"/>
        <v> </v>
      </c>
      <c r="T4" s="396" t="str">
        <f t="shared" si="3"/>
        <v> </v>
      </c>
      <c r="U4" s="396" t="str">
        <f t="shared" si="3"/>
        <v> </v>
      </c>
      <c r="V4" s="396" t="str">
        <f t="shared" si="3"/>
        <v> </v>
      </c>
      <c r="W4" s="396" t="str">
        <f t="shared" si="3"/>
        <v> </v>
      </c>
      <c r="X4" s="396" t="str">
        <f t="shared" si="3"/>
        <v> </v>
      </c>
      <c r="Y4" s="396" t="str">
        <f t="shared" si="3"/>
        <v> </v>
      </c>
      <c r="Z4" s="396" t="str">
        <f t="shared" si="3"/>
        <v> </v>
      </c>
      <c r="AA4" s="396" t="str">
        <f t="shared" si="3"/>
        <v> </v>
      </c>
    </row>
    <row r="5">
      <c r="A5" s="397" t="str">
        <f>IF(ISBLANK('Milestones Grid'!$D$19)," ",'Milestones Grid'!$D$19)</f>
        <v> </v>
      </c>
      <c r="B5" s="396" t="str">
        <f>IF(ISBLANK('Milestones Grid'!$I$19)," ",'Milestones Grid'!$I$19)</f>
        <v> </v>
      </c>
      <c r="C5" s="396" t="str">
        <f>IF(ISBLANK('Milestones Grid'!$N$19)," ",'Milestones Grid'!$N$19)</f>
        <v> </v>
      </c>
      <c r="D5" s="396" t="str">
        <f>IF(ISBLANK('Milestones Grid'!$S$19)," ",'Milestones Grid'!$S$19)</f>
        <v> </v>
      </c>
      <c r="E5" s="396" t="str">
        <f>IF(ISBLANK('Milestones Grid'!$X$19)," ",'Milestones Grid'!$X$19)</f>
        <v> </v>
      </c>
      <c r="F5" s="396" t="str">
        <f>IF(ISBLANK('Milestones Grid'!$AC$19)," ",'Milestones Grid'!$AC$19)</f>
        <v> </v>
      </c>
      <c r="G5" s="396" t="str">
        <f>IF(ISBLANK('Milestones Grid'!$AH$19)," ",'Milestones Grid'!$AH$19)</f>
        <v> </v>
      </c>
      <c r="H5" s="396" t="str">
        <f>IF(ISBLANK('Milestones Grid'!$AM$19)," ",'Milestones Grid'!$AM$19)</f>
        <v> </v>
      </c>
      <c r="I5" s="396" t="str">
        <f>IF(ISBLANK('Milestones Grid'!$AR$19)," ",'Milestones Grid'!$AR$19)</f>
        <v> </v>
      </c>
      <c r="J5" s="396" t="str">
        <f>IF(ISBLANK('Milestones Grid'!$AW$19)," ",'Milestones Grid'!$AW$19)</f>
        <v> </v>
      </c>
      <c r="K5" s="396" t="str">
        <f>IF(ISBLANK('Milestones Grid'!$BB$19)," ",'Milestones Grid'!$BB$19)</f>
        <v> </v>
      </c>
      <c r="L5" s="396" t="str">
        <f>IF(ISBLANK('Milestones Grid'!$BG$19)," ",'Milestones Grid'!$BG$19)</f>
        <v> </v>
      </c>
      <c r="M5" s="398" t="str">
        <f>IF(ISBLANK('Milestones Grid'!$BL$19)," ",'Milestones Grid'!$BL$19)</f>
        <v> </v>
      </c>
      <c r="O5" s="396" t="str">
        <f t="shared" ref="O5:AA5" si="4">IF(ISNUMBER(A5),0.5," ")</f>
        <v> </v>
      </c>
      <c r="P5" s="396" t="str">
        <f t="shared" si="4"/>
        <v> </v>
      </c>
      <c r="Q5" s="396" t="str">
        <f t="shared" si="4"/>
        <v> </v>
      </c>
      <c r="R5" s="396" t="str">
        <f t="shared" si="4"/>
        <v> </v>
      </c>
      <c r="S5" s="396" t="str">
        <f t="shared" si="4"/>
        <v> </v>
      </c>
      <c r="T5" s="396" t="str">
        <f t="shared" si="4"/>
        <v> </v>
      </c>
      <c r="U5" s="396" t="str">
        <f t="shared" si="4"/>
        <v> </v>
      </c>
      <c r="V5" s="396" t="str">
        <f t="shared" si="4"/>
        <v> </v>
      </c>
      <c r="W5" s="396" t="str">
        <f t="shared" si="4"/>
        <v> </v>
      </c>
      <c r="X5" s="396" t="str">
        <f t="shared" si="4"/>
        <v> </v>
      </c>
      <c r="Y5" s="396" t="str">
        <f t="shared" si="4"/>
        <v> </v>
      </c>
      <c r="Z5" s="396" t="str">
        <f t="shared" si="4"/>
        <v> </v>
      </c>
      <c r="AA5" s="396" t="str">
        <f t="shared" si="4"/>
        <v> </v>
      </c>
    </row>
    <row r="6">
      <c r="A6" s="397" t="str">
        <f>IF(ISBLANK('Milestones Grid'!$D$20)," ",'Milestones Grid'!$D$20)</f>
        <v> </v>
      </c>
      <c r="B6" s="396" t="str">
        <f>IF(ISBLANK('Milestones Grid'!$I$20)," ",'Milestones Grid'!$I$20)</f>
        <v> </v>
      </c>
      <c r="C6" s="396" t="str">
        <f>IF(ISBLANK('Milestones Grid'!$N$20)," ",'Milestones Grid'!$N$20)</f>
        <v> </v>
      </c>
      <c r="D6" s="396" t="str">
        <f>IF(ISBLANK('Milestones Grid'!$S$20)," ",'Milestones Grid'!$S$20)</f>
        <v> </v>
      </c>
      <c r="E6" s="396" t="str">
        <f>IF(ISBLANK('Milestones Grid'!$X$20)," ",'Milestones Grid'!$X$20)</f>
        <v> </v>
      </c>
      <c r="F6" s="396" t="str">
        <f>IF(ISBLANK('Milestones Grid'!$AC$20)," ",'Milestones Grid'!$AC$20)</f>
        <v> </v>
      </c>
      <c r="G6" s="396" t="str">
        <f>IF(ISBLANK('Milestones Grid'!$AH$20)," ",'Milestones Grid'!$AH$20)</f>
        <v> </v>
      </c>
      <c r="H6" s="396" t="str">
        <f>IF(ISBLANK('Milestones Grid'!$AM$20)," ",'Milestones Grid'!$AM$20)</f>
        <v> </v>
      </c>
      <c r="I6" s="396" t="str">
        <f>IF(ISBLANK('Milestones Grid'!$AR$20)," ",'Milestones Grid'!$AR$20)</f>
        <v> </v>
      </c>
      <c r="J6" s="396" t="str">
        <f>IF(ISBLANK('Milestones Grid'!$AW$20)," ",'Milestones Grid'!$AW$20)</f>
        <v> </v>
      </c>
      <c r="K6" s="396" t="str">
        <f>IF(ISBLANK('Milestones Grid'!$BB$20)," ",'Milestones Grid'!$BB$20)</f>
        <v> </v>
      </c>
      <c r="L6" s="396" t="str">
        <f>IF(ISBLANK('Milestones Grid'!$BG$20)," ",'Milestones Grid'!$BG$20)</f>
        <v> </v>
      </c>
      <c r="M6" s="398" t="str">
        <f>IF(ISBLANK('Milestones Grid'!$BL$20)," ",'Milestones Grid'!$BL$20)</f>
        <v> </v>
      </c>
      <c r="O6" s="396" t="str">
        <f t="shared" ref="O6:AA6" si="5">IF(ISNUMBER(A6),0.5," ")</f>
        <v> </v>
      </c>
      <c r="P6" s="396" t="str">
        <f t="shared" si="5"/>
        <v> </v>
      </c>
      <c r="Q6" s="396" t="str">
        <f t="shared" si="5"/>
        <v> </v>
      </c>
      <c r="R6" s="396" t="str">
        <f t="shared" si="5"/>
        <v> </v>
      </c>
      <c r="S6" s="396" t="str">
        <f t="shared" si="5"/>
        <v> </v>
      </c>
      <c r="T6" s="396" t="str">
        <f t="shared" si="5"/>
        <v> </v>
      </c>
      <c r="U6" s="396" t="str">
        <f t="shared" si="5"/>
        <v> </v>
      </c>
      <c r="V6" s="396" t="str">
        <f t="shared" si="5"/>
        <v> </v>
      </c>
      <c r="W6" s="396" t="str">
        <f t="shared" si="5"/>
        <v> </v>
      </c>
      <c r="X6" s="396" t="str">
        <f t="shared" si="5"/>
        <v> </v>
      </c>
      <c r="Y6" s="396" t="str">
        <f t="shared" si="5"/>
        <v> </v>
      </c>
      <c r="Z6" s="396" t="str">
        <f t="shared" si="5"/>
        <v> </v>
      </c>
      <c r="AA6" s="396" t="str">
        <f t="shared" si="5"/>
        <v> </v>
      </c>
    </row>
    <row r="7">
      <c r="A7" s="397" t="str">
        <f>IF(ISBLANK('Milestones Grid'!$D$21)," ",'Milestones Grid'!$D$21)</f>
        <v> </v>
      </c>
      <c r="B7" s="396" t="str">
        <f>IF(ISBLANK('Milestones Grid'!$I$21)," ",'Milestones Grid'!$I$21)</f>
        <v> </v>
      </c>
      <c r="C7" s="396" t="str">
        <f>IF(ISBLANK('Milestones Grid'!$N$21)," ",'Milestones Grid'!$N$21)</f>
        <v> </v>
      </c>
      <c r="D7" s="396" t="str">
        <f>IF(ISBLANK('Milestones Grid'!$S$21)," ",'Milestones Grid'!$S$21)</f>
        <v> </v>
      </c>
      <c r="E7" s="396" t="str">
        <f>IF(ISBLANK('Milestones Grid'!$X$21)," ",'Milestones Grid'!$X$21)</f>
        <v> </v>
      </c>
      <c r="F7" s="396" t="str">
        <f>IF(ISBLANK('Milestones Grid'!$AC$21)," ",'Milestones Grid'!$AC$21)</f>
        <v> </v>
      </c>
      <c r="G7" s="396" t="str">
        <f>IF(ISBLANK('Milestones Grid'!$AH$21)," ",'Milestones Grid'!$AH$21)</f>
        <v> </v>
      </c>
      <c r="H7" s="396" t="str">
        <f>IF(ISBLANK('Milestones Grid'!$AM$21)," ",'Milestones Grid'!$AM$21)</f>
        <v> </v>
      </c>
      <c r="I7" s="396" t="str">
        <f>IF(ISBLANK('Milestones Grid'!$AR$21)," ",'Milestones Grid'!$AR$21)</f>
        <v> </v>
      </c>
      <c r="J7" s="396" t="str">
        <f>IF(ISBLANK('Milestones Grid'!$AW$21)," ",'Milestones Grid'!$AW$21)</f>
        <v> </v>
      </c>
      <c r="K7" s="396" t="str">
        <f>IF(ISBLANK('Milestones Grid'!$BB$21)," ",'Milestones Grid'!$BB$21)</f>
        <v> </v>
      </c>
      <c r="L7" s="396" t="str">
        <f>IF(ISBLANK('Milestones Grid'!$BG$21)," ",'Milestones Grid'!$BG$21)</f>
        <v> </v>
      </c>
      <c r="M7" s="398" t="str">
        <f>IF(ISBLANK('Milestones Grid'!$BL$21)," ",'Milestones Grid'!$BL$21)</f>
        <v> </v>
      </c>
      <c r="O7" s="396" t="str">
        <f t="shared" ref="O7:AA7" si="6">IF(ISNUMBER(A7),0.5," ")</f>
        <v> </v>
      </c>
      <c r="P7" s="396" t="str">
        <f t="shared" si="6"/>
        <v> </v>
      </c>
      <c r="Q7" s="396" t="str">
        <f t="shared" si="6"/>
        <v> </v>
      </c>
      <c r="R7" s="396" t="str">
        <f t="shared" si="6"/>
        <v> </v>
      </c>
      <c r="S7" s="396" t="str">
        <f t="shared" si="6"/>
        <v> </v>
      </c>
      <c r="T7" s="396" t="str">
        <f t="shared" si="6"/>
        <v> </v>
      </c>
      <c r="U7" s="396" t="str">
        <f t="shared" si="6"/>
        <v> </v>
      </c>
      <c r="V7" s="396" t="str">
        <f t="shared" si="6"/>
        <v> </v>
      </c>
      <c r="W7" s="396" t="str">
        <f t="shared" si="6"/>
        <v> </v>
      </c>
      <c r="X7" s="396" t="str">
        <f t="shared" si="6"/>
        <v> </v>
      </c>
      <c r="Y7" s="396" t="str">
        <f t="shared" si="6"/>
        <v> </v>
      </c>
      <c r="Z7" s="396" t="str">
        <f t="shared" si="6"/>
        <v> </v>
      </c>
      <c r="AA7" s="396" t="str">
        <f t="shared" si="6"/>
        <v> </v>
      </c>
    </row>
    <row r="8">
      <c r="A8" s="397" t="str">
        <f>IF(ISBLANK('Milestones Grid'!$D$22)," ",'Milestones Grid'!$D$22)</f>
        <v> </v>
      </c>
      <c r="B8" s="396" t="str">
        <f>IF(ISBLANK('Milestones Grid'!$I$22)," ",'Milestones Grid'!$I$22)</f>
        <v> </v>
      </c>
      <c r="C8" s="396" t="str">
        <f>IF(ISBLANK('Milestones Grid'!$N$22)," ",'Milestones Grid'!$N$22)</f>
        <v> </v>
      </c>
      <c r="D8" s="396" t="str">
        <f>IF(ISBLANK('Milestones Grid'!$S$22)," ",'Milestones Grid'!$S$22)</f>
        <v> </v>
      </c>
      <c r="E8" s="396" t="str">
        <f>IF(ISBLANK('Milestones Grid'!$X$22)," ",'Milestones Grid'!$X$22)</f>
        <v> </v>
      </c>
      <c r="F8" s="396" t="str">
        <f>IF(ISBLANK('Milestones Grid'!$AC$22)," ",'Milestones Grid'!$AC$22)</f>
        <v> </v>
      </c>
      <c r="G8" s="396" t="str">
        <f>IF(ISBLANK('Milestones Grid'!$AH$22)," ",'Milestones Grid'!$AH$22)</f>
        <v> </v>
      </c>
      <c r="H8" s="396" t="str">
        <f>IF(ISBLANK('Milestones Grid'!$AM$22)," ",'Milestones Grid'!$AM$22)</f>
        <v> </v>
      </c>
      <c r="I8" s="396" t="str">
        <f>IF(ISBLANK('Milestones Grid'!$AR$22)," ",'Milestones Grid'!$AR$22)</f>
        <v> </v>
      </c>
      <c r="J8" s="396" t="str">
        <f>IF(ISBLANK('Milestones Grid'!$AW$22)," ",'Milestones Grid'!$AW$22)</f>
        <v> </v>
      </c>
      <c r="K8" s="396" t="str">
        <f>IF(ISBLANK('Milestones Grid'!$BB$22)," ",'Milestones Grid'!$BB$22)</f>
        <v> </v>
      </c>
      <c r="L8" s="396" t="str">
        <f>IF(ISBLANK('Milestones Grid'!$BG$22)," ",'Milestones Grid'!$BG$22)</f>
        <v> </v>
      </c>
      <c r="M8" s="398" t="str">
        <f>IF(ISBLANK('Milestones Grid'!$BL$22)," ",'Milestones Grid'!$BL$22)</f>
        <v> </v>
      </c>
      <c r="O8" s="396" t="str">
        <f t="shared" ref="O8:AA8" si="7">IF(ISNUMBER(A8),0.5," ")</f>
        <v> </v>
      </c>
      <c r="P8" s="396" t="str">
        <f t="shared" si="7"/>
        <v> </v>
      </c>
      <c r="Q8" s="396" t="str">
        <f t="shared" si="7"/>
        <v> </v>
      </c>
      <c r="R8" s="396" t="str">
        <f t="shared" si="7"/>
        <v> </v>
      </c>
      <c r="S8" s="396" t="str">
        <f t="shared" si="7"/>
        <v> </v>
      </c>
      <c r="T8" s="396" t="str">
        <f t="shared" si="7"/>
        <v> </v>
      </c>
      <c r="U8" s="396" t="str">
        <f t="shared" si="7"/>
        <v> </v>
      </c>
      <c r="V8" s="396" t="str">
        <f t="shared" si="7"/>
        <v> </v>
      </c>
      <c r="W8" s="396" t="str">
        <f t="shared" si="7"/>
        <v> </v>
      </c>
      <c r="X8" s="396" t="str">
        <f t="shared" si="7"/>
        <v> </v>
      </c>
      <c r="Y8" s="396" t="str">
        <f t="shared" si="7"/>
        <v> </v>
      </c>
      <c r="Z8" s="396" t="str">
        <f t="shared" si="7"/>
        <v> </v>
      </c>
      <c r="AA8" s="396" t="str">
        <f t="shared" si="7"/>
        <v> </v>
      </c>
    </row>
    <row r="9">
      <c r="A9" s="397" t="str">
        <f>IF(ISBLANK('Milestones Grid'!$D$23)," ",'Milestones Grid'!$D$23)</f>
        <v> </v>
      </c>
      <c r="B9" s="396" t="str">
        <f>IF(ISBLANK('Milestones Grid'!$I$23)," ",'Milestones Grid'!$I$23)</f>
        <v> </v>
      </c>
      <c r="C9" s="396" t="str">
        <f>IF(ISBLANK('Milestones Grid'!$N$23)," ",'Milestones Grid'!$N$23)</f>
        <v> </v>
      </c>
      <c r="D9" s="396" t="str">
        <f>IF(ISBLANK('Milestones Grid'!$S$23)," ",'Milestones Grid'!$S$23)</f>
        <v> </v>
      </c>
      <c r="E9" s="396" t="str">
        <f>IF(ISBLANK('Milestones Grid'!$X$23)," ",'Milestones Grid'!$X$23)</f>
        <v> </v>
      </c>
      <c r="F9" s="396" t="str">
        <f>IF(ISBLANK('Milestones Grid'!$AC$23)," ",'Milestones Grid'!$AC$23)</f>
        <v> </v>
      </c>
      <c r="G9" s="396" t="str">
        <f>IF(ISBLANK('Milestones Grid'!$AH$23)," ",'Milestones Grid'!$AH$23)</f>
        <v> </v>
      </c>
      <c r="H9" s="396" t="str">
        <f>IF(ISBLANK('Milestones Grid'!$AM$23)," ",'Milestones Grid'!$AM$23)</f>
        <v> </v>
      </c>
      <c r="I9" s="396" t="str">
        <f>IF(ISBLANK('Milestones Grid'!$AR$23)," ",'Milestones Grid'!$AR$23)</f>
        <v> </v>
      </c>
      <c r="J9" s="396" t="str">
        <f>IF(ISBLANK('Milestones Grid'!$AW$23)," ",'Milestones Grid'!$AW$23)</f>
        <v> </v>
      </c>
      <c r="K9" s="396" t="str">
        <f>IF(ISBLANK('Milestones Grid'!$BB$23)," ",'Milestones Grid'!$BB$23)</f>
        <v> </v>
      </c>
      <c r="L9" s="396" t="str">
        <f>IF(ISBLANK('Milestones Grid'!$BG$23)," ",'Milestones Grid'!$BG$23)</f>
        <v> </v>
      </c>
      <c r="M9" s="398" t="str">
        <f>IF(ISBLANK('Milestones Grid'!$BL$23)," ",'Milestones Grid'!$BL$23)</f>
        <v> </v>
      </c>
      <c r="O9" s="396" t="str">
        <f t="shared" ref="O9:AA9" si="8">IF(ISNUMBER(A9),0.5," ")</f>
        <v> </v>
      </c>
      <c r="P9" s="396" t="str">
        <f t="shared" si="8"/>
        <v> </v>
      </c>
      <c r="Q9" s="396" t="str">
        <f t="shared" si="8"/>
        <v> </v>
      </c>
      <c r="R9" s="396" t="str">
        <f t="shared" si="8"/>
        <v> </v>
      </c>
      <c r="S9" s="396" t="str">
        <f t="shared" si="8"/>
        <v> </v>
      </c>
      <c r="T9" s="396" t="str">
        <f t="shared" si="8"/>
        <v> </v>
      </c>
      <c r="U9" s="396" t="str">
        <f t="shared" si="8"/>
        <v> </v>
      </c>
      <c r="V9" s="396" t="str">
        <f t="shared" si="8"/>
        <v> </v>
      </c>
      <c r="W9" s="396" t="str">
        <f t="shared" si="8"/>
        <v> </v>
      </c>
      <c r="X9" s="396" t="str">
        <f t="shared" si="8"/>
        <v> </v>
      </c>
      <c r="Y9" s="396" t="str">
        <f t="shared" si="8"/>
        <v> </v>
      </c>
      <c r="Z9" s="396" t="str">
        <f t="shared" si="8"/>
        <v> </v>
      </c>
      <c r="AA9" s="396" t="str">
        <f t="shared" si="8"/>
        <v> </v>
      </c>
    </row>
    <row r="10">
      <c r="A10" s="397" t="str">
        <f>IF(ISBLANK('Milestones Grid'!$D$24)," ",'Milestones Grid'!$D$24)</f>
        <v> </v>
      </c>
      <c r="B10" s="396" t="str">
        <f>IF(ISBLANK('Milestones Grid'!$I$24)," ",'Milestones Grid'!$I$24)</f>
        <v> </v>
      </c>
      <c r="C10" s="396" t="str">
        <f>IF(ISBLANK('Milestones Grid'!$N$24)," ",'Milestones Grid'!$N$24)</f>
        <v> </v>
      </c>
      <c r="D10" s="396" t="str">
        <f>IF(ISBLANK('Milestones Grid'!$S$24)," ",'Milestones Grid'!$S$24)</f>
        <v> </v>
      </c>
      <c r="E10" s="396" t="str">
        <f>IF(ISBLANK('Milestones Grid'!$X$24)," ",'Milestones Grid'!$X$24)</f>
        <v> </v>
      </c>
      <c r="F10" s="396" t="str">
        <f>IF(ISBLANK('Milestones Grid'!$AC$24)," ",'Milestones Grid'!$AC$24)</f>
        <v> </v>
      </c>
      <c r="G10" s="396" t="str">
        <f>IF(ISBLANK('Milestones Grid'!$AH$24)," ",'Milestones Grid'!$AH$24)</f>
        <v> </v>
      </c>
      <c r="H10" s="396" t="str">
        <f>IF(ISBLANK('Milestones Grid'!$AM$24)," ",'Milestones Grid'!$AM$24)</f>
        <v> </v>
      </c>
      <c r="I10" s="396" t="str">
        <f>IF(ISBLANK('Milestones Grid'!$AR$24)," ",'Milestones Grid'!$AR$24)</f>
        <v> </v>
      </c>
      <c r="J10" s="396" t="str">
        <f>IF(ISBLANK('Milestones Grid'!$AW$24)," ",'Milestones Grid'!$AW$24)</f>
        <v> </v>
      </c>
      <c r="K10" s="396" t="str">
        <f>IF(ISBLANK('Milestones Grid'!$BB$24)," ",'Milestones Grid'!$BB$24)</f>
        <v> </v>
      </c>
      <c r="L10" s="396" t="str">
        <f>IF(ISBLANK('Milestones Grid'!$BG$24)," ",'Milestones Grid'!$BG$24)</f>
        <v> </v>
      </c>
      <c r="M10" s="398" t="str">
        <f>IF(ISBLANK('Milestones Grid'!$BL$24)," ",'Milestones Grid'!$BL$24)</f>
        <v> </v>
      </c>
      <c r="O10" s="396" t="str">
        <f t="shared" ref="O10:AA10" si="9">IF(ISNUMBER(A10),0.5," ")</f>
        <v> </v>
      </c>
      <c r="P10" s="396" t="str">
        <f t="shared" si="9"/>
        <v> </v>
      </c>
      <c r="Q10" s="396" t="str">
        <f t="shared" si="9"/>
        <v> </v>
      </c>
      <c r="R10" s="396" t="str">
        <f t="shared" si="9"/>
        <v> </v>
      </c>
      <c r="S10" s="396" t="str">
        <f t="shared" si="9"/>
        <v> </v>
      </c>
      <c r="T10" s="396" t="str">
        <f t="shared" si="9"/>
        <v> </v>
      </c>
      <c r="U10" s="396" t="str">
        <f t="shared" si="9"/>
        <v> </v>
      </c>
      <c r="V10" s="396" t="str">
        <f t="shared" si="9"/>
        <v> </v>
      </c>
      <c r="W10" s="396" t="str">
        <f t="shared" si="9"/>
        <v> </v>
      </c>
      <c r="X10" s="396" t="str">
        <f t="shared" si="9"/>
        <v> </v>
      </c>
      <c r="Y10" s="396" t="str">
        <f t="shared" si="9"/>
        <v> </v>
      </c>
      <c r="Z10" s="396" t="str">
        <f t="shared" si="9"/>
        <v> </v>
      </c>
      <c r="AA10" s="396" t="str">
        <f t="shared" si="9"/>
        <v> </v>
      </c>
    </row>
    <row r="11">
      <c r="A11" s="399" t="str">
        <f>IF(ISBLANK('Milestones Grid'!$D$25)," ",'Milestones Grid'!$D$25)</f>
        <v> </v>
      </c>
      <c r="B11" s="400" t="str">
        <f>IF(ISBLANK('Milestones Grid'!$I$25)," ",'Milestones Grid'!$I$25)</f>
        <v> </v>
      </c>
      <c r="C11" s="400" t="str">
        <f>IF(ISBLANK('Milestones Grid'!$N$25)," ",'Milestones Grid'!$N$25)</f>
        <v> </v>
      </c>
      <c r="D11" s="400" t="str">
        <f>IF(ISBLANK('Milestones Grid'!$S$25)," ",'Milestones Grid'!$S$25)</f>
        <v> </v>
      </c>
      <c r="E11" s="400" t="str">
        <f>IF(ISBLANK('Milestones Grid'!$X$25)," ",'Milestones Grid'!$X$25)</f>
        <v> </v>
      </c>
      <c r="F11" s="400" t="str">
        <f>IF(ISBLANK('Milestones Grid'!$AC$25)," ",'Milestones Grid'!$AC$25)</f>
        <v> </v>
      </c>
      <c r="G11" s="400" t="str">
        <f>IF(ISBLANK('Milestones Grid'!$AH$25)," ",'Milestones Grid'!$AH$25)</f>
        <v> </v>
      </c>
      <c r="H11" s="400" t="str">
        <f>IF(ISBLANK('Milestones Grid'!$AM$25)," ",'Milestones Grid'!$AM$25)</f>
        <v> </v>
      </c>
      <c r="I11" s="400" t="str">
        <f>IF(ISBLANK('Milestones Grid'!$AR$25)," ",'Milestones Grid'!$AR$25)</f>
        <v> </v>
      </c>
      <c r="J11" s="400" t="str">
        <f>IF(ISBLANK('Milestones Grid'!$AW$25)," ",'Milestones Grid'!$AW$25)</f>
        <v> </v>
      </c>
      <c r="K11" s="400" t="str">
        <f>IF(ISBLANK('Milestones Grid'!$BB$25)," ",'Milestones Grid'!$BB$25)</f>
        <v> </v>
      </c>
      <c r="L11" s="400" t="str">
        <f>IF(ISBLANK('Milestones Grid'!$BG$25)," ",'Milestones Grid'!$BG$25)</f>
        <v> </v>
      </c>
      <c r="M11" s="401" t="str">
        <f>IF(ISBLANK('Milestones Grid'!$BL$25)," ",'Milestones Grid'!$BL$25)</f>
        <v> </v>
      </c>
      <c r="O11" s="396" t="str">
        <f t="shared" ref="O11:AA11" si="10">IF(ISNUMBER(A11),0.5," ")</f>
        <v> </v>
      </c>
      <c r="P11" s="396" t="str">
        <f t="shared" si="10"/>
        <v> </v>
      </c>
      <c r="Q11" s="396" t="str">
        <f t="shared" si="10"/>
        <v> </v>
      </c>
      <c r="R11" s="396" t="str">
        <f t="shared" si="10"/>
        <v> </v>
      </c>
      <c r="S11" s="396" t="str">
        <f t="shared" si="10"/>
        <v> </v>
      </c>
      <c r="T11" s="396" t="str">
        <f t="shared" si="10"/>
        <v> </v>
      </c>
      <c r="U11" s="396" t="str">
        <f t="shared" si="10"/>
        <v> </v>
      </c>
      <c r="V11" s="396" t="str">
        <f t="shared" si="10"/>
        <v> </v>
      </c>
      <c r="W11" s="396" t="str">
        <f t="shared" si="10"/>
        <v> </v>
      </c>
      <c r="X11" s="396" t="str">
        <f t="shared" si="10"/>
        <v> </v>
      </c>
      <c r="Y11" s="396" t="str">
        <f t="shared" si="10"/>
        <v> </v>
      </c>
      <c r="Z11" s="396" t="str">
        <f t="shared" si="10"/>
        <v> </v>
      </c>
      <c r="AA11" s="396" t="str">
        <f t="shared" si="10"/>
        <v> </v>
      </c>
    </row>
    <row r="12">
      <c r="A12" s="393" t="str">
        <f>IF(ISBLANK('Milestones Grid'!$D$33)," ",'Milestones Grid'!$D$33)</f>
        <v> </v>
      </c>
      <c r="B12" s="394" t="str">
        <f>IF(ISBLANK('Milestones Grid'!$I$33)," ",'Milestones Grid'!$I$33)</f>
        <v> </v>
      </c>
      <c r="C12" s="394" t="str">
        <f>IF(ISBLANK('Milestones Grid'!$N$33)," ",'Milestones Grid'!$N$33)</f>
        <v> </v>
      </c>
      <c r="D12" s="394" t="str">
        <f>IF(ISBLANK('Milestones Grid'!$S$33)," ",'Milestones Grid'!$S$33)</f>
        <v> </v>
      </c>
      <c r="E12" s="394" t="str">
        <f>IF(ISBLANK('Milestones Grid'!$X$33)," ",'Milestones Grid'!$X$33)</f>
        <v> </v>
      </c>
      <c r="F12" s="394" t="str">
        <f>IF(ISBLANK('Milestones Grid'!$AC$33)," ",'Milestones Grid'!$AC$33)</f>
        <v> </v>
      </c>
      <c r="G12" s="394" t="str">
        <f>IF(ISBLANK('Milestones Grid'!$AH$33)," ",'Milestones Grid'!$AH$33)</f>
        <v> </v>
      </c>
      <c r="H12" s="394" t="str">
        <f>IF(ISBLANK('Milestones Grid'!$AM$33)," ",'Milestones Grid'!$AM$33)</f>
        <v/>
      </c>
      <c r="I12" s="394" t="str">
        <f>IF(ISBLANK('Milestones Grid'!$AR$33)," ",'Milestones Grid'!$AR$33)</f>
        <v> </v>
      </c>
      <c r="J12" s="394" t="str">
        <f>IF(ISBLANK('Milestones Grid'!$AW$33)," ",'Milestones Grid'!$AW$33)</f>
        <v> </v>
      </c>
      <c r="K12" s="394" t="str">
        <f>IF(ISBLANK('Milestones Grid'!$BB$33)," ",'Milestones Grid'!$BB$33)</f>
        <v> </v>
      </c>
      <c r="L12" s="395" t="str">
        <f>IF(ISBLANK('Milestones Grid'!$BG$33)," ",'Milestones Grid'!$BG$33)</f>
        <v> </v>
      </c>
      <c r="M12" s="6"/>
      <c r="O12" s="396" t="str">
        <f t="shared" ref="O12:Z12" si="11">IF(ISNUMBER(A12),0.5," ")</f>
        <v> </v>
      </c>
      <c r="P12" s="396" t="str">
        <f t="shared" si="11"/>
        <v> </v>
      </c>
      <c r="Q12" s="396" t="str">
        <f t="shared" si="11"/>
        <v> </v>
      </c>
      <c r="R12" s="396" t="str">
        <f t="shared" si="11"/>
        <v> </v>
      </c>
      <c r="S12" s="396" t="str">
        <f t="shared" si="11"/>
        <v> </v>
      </c>
      <c r="T12" s="396" t="str">
        <f t="shared" si="11"/>
        <v> </v>
      </c>
      <c r="U12" s="396" t="str">
        <f t="shared" si="11"/>
        <v> </v>
      </c>
      <c r="V12" s="396" t="str">
        <f t="shared" si="11"/>
        <v> </v>
      </c>
      <c r="W12" s="396" t="str">
        <f t="shared" si="11"/>
        <v> </v>
      </c>
      <c r="X12" s="396" t="str">
        <f t="shared" si="11"/>
        <v> </v>
      </c>
      <c r="Y12" s="396" t="str">
        <f t="shared" si="11"/>
        <v> </v>
      </c>
      <c r="Z12" s="378" t="str">
        <f t="shared" si="11"/>
        <v> </v>
      </c>
      <c r="AA12" s="58"/>
    </row>
    <row r="13">
      <c r="A13" s="397" t="str">
        <f>IF(ISBLANK('Milestones Grid'!$D$34)," ",'Milestones Grid'!$D$34)</f>
        <v> </v>
      </c>
      <c r="B13" s="396" t="str">
        <f>IF(ISBLANK('Milestones Grid'!$I$34)," ",'Milestones Grid'!$I$34)</f>
        <v> </v>
      </c>
      <c r="C13" s="396" t="str">
        <f>IF(ISBLANK('Milestones Grid'!$N$34)," ",'Milestones Grid'!$N$34)</f>
        <v> </v>
      </c>
      <c r="D13" s="396" t="str">
        <f>IF(ISBLANK('Milestones Grid'!$S$34)," ",'Milestones Grid'!$S$34)</f>
        <v> </v>
      </c>
      <c r="E13" s="396" t="str">
        <f>IF(ISBLANK('Milestones Grid'!$X$34)," ",'Milestones Grid'!$X$34)</f>
        <v> </v>
      </c>
      <c r="F13" s="396" t="str">
        <f>IF(ISBLANK('Milestones Grid'!$AC$34)," ",'Milestones Grid'!$AC$34)</f>
        <v> </v>
      </c>
      <c r="G13" s="396" t="str">
        <f>IF(ISBLANK('Milestones Grid'!$AH$34)," ",'Milestones Grid'!$AH$34)</f>
        <v> </v>
      </c>
      <c r="H13" s="396" t="str">
        <f>IF(ISBLANK('Milestones Grid'!$AM$34)," ",'Milestones Grid'!$AM$34)</f>
        <v/>
      </c>
      <c r="I13" s="396" t="str">
        <f>IF(ISBLANK('Milestones Grid'!$AR$34)," ",'Milestones Grid'!$AR$34)</f>
        <v> </v>
      </c>
      <c r="J13" s="396" t="str">
        <f>IF(ISBLANK('Milestones Grid'!$AW$34)," ",'Milestones Grid'!$AW$34)</f>
        <v> </v>
      </c>
      <c r="K13" s="396" t="str">
        <f>IF(ISBLANK('Milestones Grid'!$BB$35)," ",'Milestones Grid'!$BB$35)</f>
        <v> </v>
      </c>
      <c r="L13" s="398" t="str">
        <f>IF(ISBLANK('Milestones Grid'!$BG$34)," ",'Milestones Grid'!$BG$34)</f>
        <v> </v>
      </c>
      <c r="M13" s="6"/>
      <c r="O13" s="396" t="str">
        <f t="shared" ref="O13:Z13" si="12">IF(ISNUMBER(A13),0.5," ")</f>
        <v> </v>
      </c>
      <c r="P13" s="396" t="str">
        <f t="shared" si="12"/>
        <v> </v>
      </c>
      <c r="Q13" s="396" t="str">
        <f t="shared" si="12"/>
        <v> </v>
      </c>
      <c r="R13" s="396" t="str">
        <f t="shared" si="12"/>
        <v> </v>
      </c>
      <c r="S13" s="396" t="str">
        <f t="shared" si="12"/>
        <v> </v>
      </c>
      <c r="T13" s="396" t="str">
        <f t="shared" si="12"/>
        <v> </v>
      </c>
      <c r="U13" s="396" t="str">
        <f t="shared" si="12"/>
        <v> </v>
      </c>
      <c r="V13" s="396" t="str">
        <f t="shared" si="12"/>
        <v> </v>
      </c>
      <c r="W13" s="396" t="str">
        <f t="shared" si="12"/>
        <v> </v>
      </c>
      <c r="X13" s="396" t="str">
        <f t="shared" si="12"/>
        <v> </v>
      </c>
      <c r="Y13" s="396" t="str">
        <f t="shared" si="12"/>
        <v> </v>
      </c>
      <c r="Z13" s="378" t="str">
        <f t="shared" si="12"/>
        <v> </v>
      </c>
      <c r="AA13" s="58"/>
    </row>
    <row r="14">
      <c r="A14" s="397" t="str">
        <f>IF(ISBLANK('Milestones Grid'!$D$35)," ",'Milestones Grid'!$D$35)</f>
        <v> </v>
      </c>
      <c r="B14" s="396" t="str">
        <f>IF(ISBLANK('Milestones Grid'!$I$35)," ",'Milestones Grid'!$I$35)</f>
        <v> </v>
      </c>
      <c r="C14" s="396" t="str">
        <f>IF(ISBLANK('Milestones Grid'!$N$35)," ",'Milestones Grid'!$N$35)</f>
        <v> </v>
      </c>
      <c r="D14" s="396" t="str">
        <f>IF(ISBLANK('Milestones Grid'!$S$35)," ",'Milestones Grid'!$S$35)</f>
        <v> </v>
      </c>
      <c r="E14" s="396" t="str">
        <f>IF(ISBLANK('Milestones Grid'!$X$35)," ",'Milestones Grid'!$X$35)</f>
        <v> </v>
      </c>
      <c r="F14" s="396" t="str">
        <f>IF(ISBLANK('Milestones Grid'!$AC$35)," ",'Milestones Grid'!$AC$35)</f>
        <v> </v>
      </c>
      <c r="G14" s="396" t="str">
        <f>IF(ISBLANK('Milestones Grid'!$AH$35)," ",'Milestones Grid'!$AH$35)</f>
        <v> </v>
      </c>
      <c r="H14" s="396" t="str">
        <f>IF(ISBLANK('Milestones Grid'!$AM$35)," ",'Milestones Grid'!$AM$35)</f>
        <v/>
      </c>
      <c r="I14" s="396" t="str">
        <f>IF(ISBLANK('Milestones Grid'!$AR$35)," ",'Milestones Grid'!$AR$35)</f>
        <v> </v>
      </c>
      <c r="J14" s="396" t="str">
        <f>IF(ISBLANK('Milestones Grid'!$AW$35)," ",'Milestones Grid'!$AW$35)</f>
        <v> </v>
      </c>
      <c r="K14" s="396" t="str">
        <f>IF(ISBLANK(#REF!)," ",#REF!)</f>
        <v>#REF!</v>
      </c>
      <c r="L14" s="398" t="str">
        <f>IF(ISBLANK('Milestones Grid'!$BG$35)," ",'Milestones Grid'!$BG$35)</f>
        <v> </v>
      </c>
      <c r="M14" s="6"/>
      <c r="O14" s="396" t="str">
        <f t="shared" ref="O14:Z14" si="13">IF(ISNUMBER(A14),0.5," ")</f>
        <v> </v>
      </c>
      <c r="P14" s="396" t="str">
        <f t="shared" si="13"/>
        <v> </v>
      </c>
      <c r="Q14" s="396" t="str">
        <f t="shared" si="13"/>
        <v> </v>
      </c>
      <c r="R14" s="396" t="str">
        <f t="shared" si="13"/>
        <v> </v>
      </c>
      <c r="S14" s="396" t="str">
        <f t="shared" si="13"/>
        <v> </v>
      </c>
      <c r="T14" s="396" t="str">
        <f t="shared" si="13"/>
        <v> </v>
      </c>
      <c r="U14" s="396" t="str">
        <f t="shared" si="13"/>
        <v> </v>
      </c>
      <c r="V14" s="396" t="str">
        <f t="shared" si="13"/>
        <v> </v>
      </c>
      <c r="W14" s="396" t="str">
        <f t="shared" si="13"/>
        <v> </v>
      </c>
      <c r="X14" s="396" t="str">
        <f t="shared" si="13"/>
        <v> </v>
      </c>
      <c r="Y14" s="396" t="str">
        <f t="shared" si="13"/>
        <v> </v>
      </c>
      <c r="Z14" s="378" t="str">
        <f t="shared" si="13"/>
        <v> </v>
      </c>
      <c r="AA14" s="58"/>
    </row>
    <row r="15">
      <c r="A15" s="397" t="str">
        <f>IF(ISBLANK('Milestones Grid'!$D$36)," ",'Milestones Grid'!$D$36)</f>
        <v> </v>
      </c>
      <c r="B15" s="396" t="str">
        <f>IF(ISBLANK('Milestones Grid'!$I$36)," ",'Milestones Grid'!$I$36)</f>
        <v> </v>
      </c>
      <c r="C15" s="396" t="str">
        <f>IF(ISBLANK('Milestones Grid'!$N$36)," ",'Milestones Grid'!$N$36)</f>
        <v> </v>
      </c>
      <c r="D15" s="396" t="str">
        <f>IF(ISBLANK('Milestones Grid'!$S$36)," ",'Milestones Grid'!$S$36)</f>
        <v> </v>
      </c>
      <c r="E15" s="396" t="str">
        <f>IF(ISBLANK('Milestones Grid'!$X$36)," ",'Milestones Grid'!$X$36)</f>
        <v> </v>
      </c>
      <c r="F15" s="396" t="str">
        <f>IF(ISBLANK('Milestones Grid'!$AC$36)," ",'Milestones Grid'!$AC$36)</f>
        <v> </v>
      </c>
      <c r="G15" s="396" t="str">
        <f>IF(ISBLANK('Milestones Grid'!$AH$36)," ",'Milestones Grid'!$AH$36)</f>
        <v> </v>
      </c>
      <c r="H15" s="396" t="str">
        <f>IF(ISBLANK('Milestones Grid'!$AM$36)," ",'Milestones Grid'!$AM$36)</f>
        <v/>
      </c>
      <c r="I15" s="396" t="str">
        <f>IF(ISBLANK('Milestones Grid'!$AR$36)," ",'Milestones Grid'!$AR$36)</f>
        <v> </v>
      </c>
      <c r="J15" s="396" t="str">
        <f>IF(ISBLANK('Milestones Grid'!$AW$36)," ",'Milestones Grid'!$AW$36)</f>
        <v> </v>
      </c>
      <c r="K15" s="396" t="str">
        <f>IF(ISBLANK('Milestones Grid'!$BB$36)," ",'Milestones Grid'!$BB$36)</f>
        <v> </v>
      </c>
      <c r="L15" s="398" t="str">
        <f>IF(ISBLANK('Milestones Grid'!$BG$36)," ",'Milestones Grid'!$BG$36)</f>
        <v> </v>
      </c>
      <c r="M15" s="6"/>
      <c r="O15" s="396" t="str">
        <f t="shared" ref="O15:Z15" si="14">IF(ISNUMBER(A15),0.5," ")</f>
        <v> </v>
      </c>
      <c r="P15" s="396" t="str">
        <f t="shared" si="14"/>
        <v> </v>
      </c>
      <c r="Q15" s="396" t="str">
        <f t="shared" si="14"/>
        <v> </v>
      </c>
      <c r="R15" s="396" t="str">
        <f t="shared" si="14"/>
        <v> </v>
      </c>
      <c r="S15" s="396" t="str">
        <f t="shared" si="14"/>
        <v> </v>
      </c>
      <c r="T15" s="396" t="str">
        <f t="shared" si="14"/>
        <v> </v>
      </c>
      <c r="U15" s="396" t="str">
        <f t="shared" si="14"/>
        <v> </v>
      </c>
      <c r="V15" s="396" t="str">
        <f t="shared" si="14"/>
        <v> </v>
      </c>
      <c r="W15" s="396" t="str">
        <f t="shared" si="14"/>
        <v> </v>
      </c>
      <c r="X15" s="396" t="str">
        <f t="shared" si="14"/>
        <v> </v>
      </c>
      <c r="Y15" s="396" t="str">
        <f t="shared" si="14"/>
        <v> </v>
      </c>
      <c r="Z15" s="378" t="str">
        <f t="shared" si="14"/>
        <v> </v>
      </c>
      <c r="AA15" s="58"/>
    </row>
    <row r="16">
      <c r="A16" s="397" t="str">
        <f>IF(ISBLANK('Milestones Grid'!$D$37)," ",'Milestones Grid'!$D$37)</f>
        <v> </v>
      </c>
      <c r="B16" s="396" t="str">
        <f>IF(ISBLANK('Milestones Grid'!$I$37)," ",'Milestones Grid'!$I$37)</f>
        <v> </v>
      </c>
      <c r="C16" s="396" t="str">
        <f>IF(ISBLANK('Milestones Grid'!$N$37)," ",'Milestones Grid'!$N$37)</f>
        <v> </v>
      </c>
      <c r="D16" s="396" t="str">
        <f>IF(ISBLANK('Milestones Grid'!$S$37)," ",'Milestones Grid'!$S$37)</f>
        <v> </v>
      </c>
      <c r="E16" s="396" t="str">
        <f>IF(ISBLANK('Milestones Grid'!$X$37)," ",'Milestones Grid'!$X$37)</f>
        <v> </v>
      </c>
      <c r="F16" s="396" t="str">
        <f>IF(ISBLANK('Milestones Grid'!$AC$37)," ",'Milestones Grid'!$AC$37)</f>
        <v> </v>
      </c>
      <c r="G16" s="396" t="str">
        <f>IF(ISBLANK('Milestones Grid'!$AH$37)," ",'Milestones Grid'!$AH$37)</f>
        <v> </v>
      </c>
      <c r="H16" s="396" t="str">
        <f>IF(ISBLANK('Milestones Grid'!$AM$37)," ",'Milestones Grid'!$AM$37)</f>
        <v/>
      </c>
      <c r="I16" s="396" t="str">
        <f>IF(ISBLANK('Milestones Grid'!$AR$37)," ",'Milestones Grid'!$AR$37)</f>
        <v> </v>
      </c>
      <c r="J16" s="396" t="str">
        <f>IF(ISBLANK('Milestones Grid'!$AW$37)," ",'Milestones Grid'!$AW$37)</f>
        <v> </v>
      </c>
      <c r="K16" s="396" t="str">
        <f>IF(ISBLANK('Milestones Grid'!$BB$37)," ",'Milestones Grid'!$BB$37)</f>
        <v> </v>
      </c>
      <c r="L16" s="398" t="str">
        <f>IF(ISBLANK('Milestones Grid'!$BG$37)," ",'Milestones Grid'!$BG$37)</f>
        <v> </v>
      </c>
      <c r="M16" s="6"/>
      <c r="O16" s="396" t="str">
        <f t="shared" ref="O16:Z16" si="15">IF(ISNUMBER(A16),0.5," ")</f>
        <v> </v>
      </c>
      <c r="P16" s="396" t="str">
        <f t="shared" si="15"/>
        <v> </v>
      </c>
      <c r="Q16" s="396" t="str">
        <f t="shared" si="15"/>
        <v> </v>
      </c>
      <c r="R16" s="396" t="str">
        <f t="shared" si="15"/>
        <v> </v>
      </c>
      <c r="S16" s="396" t="str">
        <f t="shared" si="15"/>
        <v> </v>
      </c>
      <c r="T16" s="396" t="str">
        <f t="shared" si="15"/>
        <v> </v>
      </c>
      <c r="U16" s="396" t="str">
        <f t="shared" si="15"/>
        <v> </v>
      </c>
      <c r="V16" s="396" t="str">
        <f t="shared" si="15"/>
        <v> </v>
      </c>
      <c r="W16" s="396" t="str">
        <f t="shared" si="15"/>
        <v> </v>
      </c>
      <c r="X16" s="396" t="str">
        <f t="shared" si="15"/>
        <v> </v>
      </c>
      <c r="Y16" s="396" t="str">
        <f t="shared" si="15"/>
        <v> </v>
      </c>
      <c r="Z16" s="378" t="str">
        <f t="shared" si="15"/>
        <v> </v>
      </c>
      <c r="AA16" s="58"/>
    </row>
    <row r="17">
      <c r="A17" s="397" t="str">
        <f>IF(ISBLANK('Milestones Grid'!$D$38)," ",'Milestones Grid'!$D$38)</f>
        <v> </v>
      </c>
      <c r="B17" s="396" t="str">
        <f>IF(ISBLANK('Milestones Grid'!$I$38)," ",'Milestones Grid'!$I$38)</f>
        <v> </v>
      </c>
      <c r="C17" s="396" t="str">
        <f>IF(ISBLANK('Milestones Grid'!$N$38)," ",'Milestones Grid'!$N$38)</f>
        <v> </v>
      </c>
      <c r="D17" s="396" t="str">
        <f>IF(ISBLANK('Milestones Grid'!$S$38)," ",'Milestones Grid'!$S$38)</f>
        <v> </v>
      </c>
      <c r="E17" s="396" t="str">
        <f>IF(ISBLANK('Milestones Grid'!$X$38)," ",'Milestones Grid'!$X$38)</f>
        <v> </v>
      </c>
      <c r="F17" s="396" t="str">
        <f>IF(ISBLANK('Milestones Grid'!$AC$38)," ",'Milestones Grid'!$AC$38)</f>
        <v> </v>
      </c>
      <c r="G17" s="396" t="str">
        <f>IF(ISBLANK('Milestones Grid'!$AH$38)," ",'Milestones Grid'!$AH$38)</f>
        <v> </v>
      </c>
      <c r="H17" s="396" t="str">
        <f>IF(ISBLANK('Milestones Grid'!$AM$38)," ",'Milestones Grid'!$AM$38)</f>
        <v/>
      </c>
      <c r="I17" s="396" t="str">
        <f>IF(ISBLANK('Milestones Grid'!$AR$38)," ",'Milestones Grid'!$AR$38)</f>
        <v> </v>
      </c>
      <c r="J17" s="396" t="str">
        <f>IF(ISBLANK('Milestones Grid'!$AW$38)," ",'Milestones Grid'!$AW$38)</f>
        <v> </v>
      </c>
      <c r="K17" s="396" t="str">
        <f>IF(ISBLANK('Milestones Grid'!$BB$38)," ",'Milestones Grid'!$BB$38)</f>
        <v> </v>
      </c>
      <c r="L17" s="398" t="str">
        <f>IF(ISBLANK('Milestones Grid'!$BG$38)," ",'Milestones Grid'!$BG$38)</f>
        <v> </v>
      </c>
      <c r="M17" s="6"/>
      <c r="O17" s="396" t="str">
        <f t="shared" ref="O17:Z17" si="16">IF(ISNUMBER(A17),0.5," ")</f>
        <v> </v>
      </c>
      <c r="P17" s="396" t="str">
        <f t="shared" si="16"/>
        <v> </v>
      </c>
      <c r="Q17" s="396" t="str">
        <f t="shared" si="16"/>
        <v> </v>
      </c>
      <c r="R17" s="396" t="str">
        <f t="shared" si="16"/>
        <v> </v>
      </c>
      <c r="S17" s="396" t="str">
        <f t="shared" si="16"/>
        <v> </v>
      </c>
      <c r="T17" s="396" t="str">
        <f t="shared" si="16"/>
        <v> </v>
      </c>
      <c r="U17" s="396" t="str">
        <f t="shared" si="16"/>
        <v> </v>
      </c>
      <c r="V17" s="396" t="str">
        <f t="shared" si="16"/>
        <v> </v>
      </c>
      <c r="W17" s="396" t="str">
        <f t="shared" si="16"/>
        <v> </v>
      </c>
      <c r="X17" s="396" t="str">
        <f t="shared" si="16"/>
        <v> </v>
      </c>
      <c r="Y17" s="396" t="str">
        <f t="shared" si="16"/>
        <v> </v>
      </c>
      <c r="Z17" s="378" t="str">
        <f t="shared" si="16"/>
        <v> </v>
      </c>
      <c r="AA17" s="58"/>
    </row>
    <row r="18">
      <c r="A18" s="397" t="str">
        <f>IF(ISBLANK('Milestones Grid'!$D$39)," ",'Milestones Grid'!$D$39)</f>
        <v> </v>
      </c>
      <c r="B18" s="396" t="str">
        <f>IF(ISBLANK('Milestones Grid'!$I$39)," ",'Milestones Grid'!$I$39)</f>
        <v> </v>
      </c>
      <c r="C18" s="396" t="str">
        <f>IF(ISBLANK('Milestones Grid'!$N$39)," ",'Milestones Grid'!$N$39)</f>
        <v> </v>
      </c>
      <c r="D18" s="396" t="str">
        <f>IF(ISBLANK('Milestones Grid'!$S$39)," ",'Milestones Grid'!$S$39)</f>
        <v> </v>
      </c>
      <c r="E18" s="396" t="str">
        <f>IF(ISBLANK('Milestones Grid'!$X$39)," ",'Milestones Grid'!$X$39)</f>
        <v> </v>
      </c>
      <c r="F18" s="396" t="str">
        <f>IF(ISBLANK('Milestones Grid'!$AC$39)," ",'Milestones Grid'!$AC$39)</f>
        <v> </v>
      </c>
      <c r="G18" s="396" t="str">
        <f>IF(ISBLANK('Milestones Grid'!$AH$39)," ",'Milestones Grid'!$AH$39)</f>
        <v> </v>
      </c>
      <c r="H18" s="396" t="str">
        <f>IF(ISBLANK('Milestones Grid'!$AM$39)," ",'Milestones Grid'!$AM$39)</f>
        <v/>
      </c>
      <c r="I18" s="396" t="str">
        <f>IF(ISBLANK('Milestones Grid'!$AR$39)," ",'Milestones Grid'!$AR$39)</f>
        <v> </v>
      </c>
      <c r="J18" s="396" t="str">
        <f>IF(ISBLANK('Milestones Grid'!$AW$39)," ",'Milestones Grid'!$AW$39)</f>
        <v> </v>
      </c>
      <c r="K18" s="396" t="str">
        <f>IF(ISBLANK('Milestones Grid'!$BB$39)," ",'Milestones Grid'!$BB$39)</f>
        <v> </v>
      </c>
      <c r="L18" s="398" t="str">
        <f>IF(ISBLANK('Milestones Grid'!$BG$39)," ",'Milestones Grid'!$BG$39)</f>
        <v> </v>
      </c>
      <c r="M18" s="6"/>
      <c r="O18" s="396" t="str">
        <f t="shared" ref="O18:Z18" si="17">IF(ISNUMBER(A18),0.5," ")</f>
        <v> </v>
      </c>
      <c r="P18" s="396" t="str">
        <f t="shared" si="17"/>
        <v> </v>
      </c>
      <c r="Q18" s="396" t="str">
        <f t="shared" si="17"/>
        <v> </v>
      </c>
      <c r="R18" s="396" t="str">
        <f t="shared" si="17"/>
        <v> </v>
      </c>
      <c r="S18" s="396" t="str">
        <f t="shared" si="17"/>
        <v> </v>
      </c>
      <c r="T18" s="396" t="str">
        <f t="shared" si="17"/>
        <v> </v>
      </c>
      <c r="U18" s="396" t="str">
        <f t="shared" si="17"/>
        <v> </v>
      </c>
      <c r="V18" s="396" t="str">
        <f t="shared" si="17"/>
        <v> </v>
      </c>
      <c r="W18" s="396" t="str">
        <f t="shared" si="17"/>
        <v> </v>
      </c>
      <c r="X18" s="396" t="str">
        <f t="shared" si="17"/>
        <v> </v>
      </c>
      <c r="Y18" s="396" t="str">
        <f t="shared" si="17"/>
        <v> </v>
      </c>
      <c r="Z18" s="378" t="str">
        <f t="shared" si="17"/>
        <v> </v>
      </c>
      <c r="AA18" s="58"/>
    </row>
    <row r="19">
      <c r="A19" s="397" t="str">
        <f>IF(ISBLANK('Milestones Grid'!$D$40)," ",'Milestones Grid'!$D$40)</f>
        <v> </v>
      </c>
      <c r="B19" s="396" t="str">
        <f>IF(ISBLANK('Milestones Grid'!$I$40)," ",'Milestones Grid'!$I$40)</f>
        <v> </v>
      </c>
      <c r="C19" s="396" t="str">
        <f>IF(ISBLANK('Milestones Grid'!$N$40)," ",'Milestones Grid'!$N$40)</f>
        <v> </v>
      </c>
      <c r="D19" s="396" t="str">
        <f>IF(ISBLANK('Milestones Grid'!$S$40)," ",'Milestones Grid'!$S$40)</f>
        <v> </v>
      </c>
      <c r="E19" s="396" t="str">
        <f>IF(ISBLANK('Milestones Grid'!$X$40)," ",'Milestones Grid'!$X$40)</f>
        <v> </v>
      </c>
      <c r="F19" s="396" t="str">
        <f>IF(ISBLANK('Milestones Grid'!$AC$40)," ",'Milestones Grid'!$AC$40)</f>
        <v> </v>
      </c>
      <c r="G19" s="396" t="str">
        <f>IF(ISBLANK('Milestones Grid'!$AH$40)," ",'Milestones Grid'!$AH$40)</f>
        <v> </v>
      </c>
      <c r="H19" s="396" t="str">
        <f>IF(ISBLANK('Milestones Grid'!$AM$40)," ",'Milestones Grid'!$AM$40)</f>
        <v/>
      </c>
      <c r="I19" s="396" t="str">
        <f>IF(ISBLANK('Milestones Grid'!$AR$40)," ",'Milestones Grid'!$AR$40)</f>
        <v> </v>
      </c>
      <c r="J19" s="396" t="str">
        <f>IF(ISBLANK('Milestones Grid'!$AW$40)," ",'Milestones Grid'!$AW$40)</f>
        <v> </v>
      </c>
      <c r="K19" s="396" t="str">
        <f>IF(ISBLANK('Milestones Grid'!$BB$40)," ",'Milestones Grid'!$BB$40)</f>
        <v> </v>
      </c>
      <c r="L19" s="398" t="str">
        <f>IF(ISBLANK('Milestones Grid'!$BG$40)," ",'Milestones Grid'!$BG$40)</f>
        <v> </v>
      </c>
      <c r="M19" s="6"/>
      <c r="O19" s="396" t="str">
        <f t="shared" ref="O19:Z19" si="18">IF(ISNUMBER(A19),0.5," ")</f>
        <v> </v>
      </c>
      <c r="P19" s="396" t="str">
        <f t="shared" si="18"/>
        <v> </v>
      </c>
      <c r="Q19" s="396" t="str">
        <f t="shared" si="18"/>
        <v> </v>
      </c>
      <c r="R19" s="396" t="str">
        <f t="shared" si="18"/>
        <v> </v>
      </c>
      <c r="S19" s="396" t="str">
        <f t="shared" si="18"/>
        <v> </v>
      </c>
      <c r="T19" s="396" t="str">
        <f t="shared" si="18"/>
        <v> </v>
      </c>
      <c r="U19" s="396" t="str">
        <f t="shared" si="18"/>
        <v> </v>
      </c>
      <c r="V19" s="396" t="str">
        <f t="shared" si="18"/>
        <v> </v>
      </c>
      <c r="W19" s="396" t="str">
        <f t="shared" si="18"/>
        <v> </v>
      </c>
      <c r="X19" s="396" t="str">
        <f t="shared" si="18"/>
        <v> </v>
      </c>
      <c r="Y19" s="396" t="str">
        <f t="shared" si="18"/>
        <v> </v>
      </c>
      <c r="Z19" s="378" t="str">
        <f t="shared" si="18"/>
        <v> </v>
      </c>
      <c r="AA19" s="58"/>
    </row>
    <row r="20">
      <c r="A20" s="397" t="str">
        <f>IF(ISBLANK('Milestones Grid'!$D$41)," ",'Milestones Grid'!$D$41)</f>
        <v> </v>
      </c>
      <c r="B20" s="396" t="str">
        <f>IF(ISBLANK('Milestones Grid'!$I$41)," ",'Milestones Grid'!$I$41)</f>
        <v> </v>
      </c>
      <c r="C20" s="396" t="str">
        <f>IF(ISBLANK('Milestones Grid'!$N$41)," ",'Milestones Grid'!$N$41)</f>
        <v> </v>
      </c>
      <c r="D20" s="396" t="str">
        <f>IF(ISBLANK('Milestones Grid'!$S$41)," ",'Milestones Grid'!$S$41)</f>
        <v> </v>
      </c>
      <c r="E20" s="396" t="str">
        <f>IF(ISBLANK('Milestones Grid'!$X$41)," ",'Milestones Grid'!$X$41)</f>
        <v> </v>
      </c>
      <c r="F20" s="396" t="str">
        <f>IF(ISBLANK('Milestones Grid'!$AC$41)," ",'Milestones Grid'!$AC$41)</f>
        <v> </v>
      </c>
      <c r="G20" s="396" t="str">
        <f>IF(ISBLANK('Milestones Grid'!$AH$41)," ",'Milestones Grid'!$AH$41)</f>
        <v> </v>
      </c>
      <c r="H20" s="396" t="str">
        <f>IF(ISBLANK('Milestones Grid'!$AM$41)," ",'Milestones Grid'!$AM$41)</f>
        <v/>
      </c>
      <c r="I20" s="396" t="str">
        <f>IF(ISBLANK('Milestones Grid'!$AR$41)," ",'Milestones Grid'!$AR$41)</f>
        <v> </v>
      </c>
      <c r="J20" s="396" t="str">
        <f>IF(ISBLANK('Milestones Grid'!$AW$41)," ",'Milestones Grid'!$AW$41)</f>
        <v> </v>
      </c>
      <c r="K20" s="396" t="str">
        <f>IF(ISBLANK('Milestones Grid'!$BB$41)," ",'Milestones Grid'!$BB$41)</f>
        <v> </v>
      </c>
      <c r="L20" s="398" t="str">
        <f>IF(ISBLANK('Milestones Grid'!$BG$41)," ",'Milestones Grid'!$BG$41)</f>
        <v> </v>
      </c>
      <c r="M20" s="6"/>
      <c r="O20" s="396" t="str">
        <f t="shared" ref="O20:Z20" si="19">IF(ISNUMBER(A20),0.5," ")</f>
        <v> </v>
      </c>
      <c r="P20" s="396" t="str">
        <f t="shared" si="19"/>
        <v> </v>
      </c>
      <c r="Q20" s="396" t="str">
        <f t="shared" si="19"/>
        <v> </v>
      </c>
      <c r="R20" s="396" t="str">
        <f t="shared" si="19"/>
        <v> </v>
      </c>
      <c r="S20" s="396" t="str">
        <f t="shared" si="19"/>
        <v> </v>
      </c>
      <c r="T20" s="396" t="str">
        <f t="shared" si="19"/>
        <v> </v>
      </c>
      <c r="U20" s="396" t="str">
        <f t="shared" si="19"/>
        <v> </v>
      </c>
      <c r="V20" s="396" t="str">
        <f t="shared" si="19"/>
        <v> </v>
      </c>
      <c r="W20" s="396" t="str">
        <f t="shared" si="19"/>
        <v> </v>
      </c>
      <c r="X20" s="396" t="str">
        <f t="shared" si="19"/>
        <v> </v>
      </c>
      <c r="Y20" s="396" t="str">
        <f t="shared" si="19"/>
        <v> </v>
      </c>
      <c r="Z20" s="378" t="str">
        <f t="shared" si="19"/>
        <v> </v>
      </c>
      <c r="AA20" s="58"/>
    </row>
    <row r="21" ht="15.75" customHeight="1">
      <c r="A21" s="399" t="str">
        <f>IF(ISBLANK('Milestones Grid'!$D$42)," ",'Milestones Grid'!$D$42)</f>
        <v> </v>
      </c>
      <c r="B21" s="400" t="str">
        <f>IF(ISBLANK('Milestones Grid'!$I$42)," ",'Milestones Grid'!$I$42)</f>
        <v> </v>
      </c>
      <c r="C21" s="400" t="str">
        <f>IF(ISBLANK('Milestones Grid'!$N$42)," ",'Milestones Grid'!$N$42)</f>
        <v> </v>
      </c>
      <c r="D21" s="400" t="str">
        <f>IF(ISBLANK('Milestones Grid'!$S$42)," ",'Milestones Grid'!$S$42)</f>
        <v> </v>
      </c>
      <c r="E21" s="400" t="str">
        <f>IF(ISBLANK('Milestones Grid'!$X$42)," ",'Milestones Grid'!$X$42)</f>
        <v> </v>
      </c>
      <c r="F21" s="400" t="str">
        <f>IF(ISBLANK('Milestones Grid'!$AC$42)," ",'Milestones Grid'!$AC$42)</f>
        <v> </v>
      </c>
      <c r="G21" s="400" t="str">
        <f>IF(ISBLANK('Milestones Grid'!$AH$42)," ",'Milestones Grid'!$AH$42)</f>
        <v> </v>
      </c>
      <c r="H21" s="400" t="str">
        <f>IF(ISBLANK('Milestones Grid'!$AM$42)," ",'Milestones Grid'!$AM$42)</f>
        <v/>
      </c>
      <c r="I21" s="400" t="str">
        <f>IF(ISBLANK('Milestones Grid'!$AR$42)," ",'Milestones Grid'!$AR$42)</f>
        <v> </v>
      </c>
      <c r="J21" s="400" t="str">
        <f>IF(ISBLANK('Milestones Grid'!$AW$42)," ",'Milestones Grid'!$AW$42)</f>
        <v> </v>
      </c>
      <c r="K21" s="400" t="str">
        <f>IF(ISBLANK('Milestones Grid'!$BB$42)," ",'Milestones Grid'!$BB$42)</f>
        <v> </v>
      </c>
      <c r="L21" s="401" t="str">
        <f>IF(ISBLANK('Milestones Grid'!$BG$42)," ",'Milestones Grid'!$BG$42)</f>
        <v> </v>
      </c>
      <c r="M21" s="6"/>
      <c r="O21" s="396" t="str">
        <f t="shared" ref="O21:Z21" si="20">IF(ISNUMBER(A21),0.5," ")</f>
        <v> </v>
      </c>
      <c r="P21" s="396" t="str">
        <f t="shared" si="20"/>
        <v> </v>
      </c>
      <c r="Q21" s="396" t="str">
        <f t="shared" si="20"/>
        <v> </v>
      </c>
      <c r="R21" s="396" t="str">
        <f t="shared" si="20"/>
        <v> </v>
      </c>
      <c r="S21" s="396" t="str">
        <f t="shared" si="20"/>
        <v> </v>
      </c>
      <c r="T21" s="396" t="str">
        <f t="shared" si="20"/>
        <v> </v>
      </c>
      <c r="U21" s="396" t="str">
        <f t="shared" si="20"/>
        <v> </v>
      </c>
      <c r="V21" s="396" t="str">
        <f t="shared" si="20"/>
        <v> </v>
      </c>
      <c r="W21" s="396" t="str">
        <f t="shared" si="20"/>
        <v> </v>
      </c>
      <c r="X21" s="396" t="str">
        <f t="shared" si="20"/>
        <v> </v>
      </c>
      <c r="Y21" s="396" t="str">
        <f t="shared" si="20"/>
        <v> </v>
      </c>
      <c r="Z21" s="396" t="str">
        <f t="shared" si="20"/>
        <v> </v>
      </c>
      <c r="AA21" s="58"/>
    </row>
    <row r="22" ht="15.75" customHeight="1">
      <c r="A22" s="393" t="str">
        <f>IF(ISBLANK('Milestones Grid'!$D$50)," ",'Milestones Grid'!$D$50)</f>
        <v> </v>
      </c>
      <c r="B22" s="394" t="str">
        <f>IF(ISBLANK('Milestones Grid'!$I$50)," ",'Milestones Grid'!$I$50)</f>
        <v> </v>
      </c>
      <c r="C22" s="394" t="str">
        <f>IF(ISBLANK('Milestones Grid'!$N$50)," ",'Milestones Grid'!$N$50)</f>
        <v> </v>
      </c>
      <c r="D22" s="394" t="str">
        <f>IF(ISBLANK('Milestones Grid'!$S$50)," ",'Milestones Grid'!$S$50)</f>
        <v> </v>
      </c>
      <c r="E22" s="394" t="str">
        <f>IF(ISBLANK('Milestones Grid'!$X$50)," ",'Milestones Grid'!$X$50)</f>
        <v> </v>
      </c>
      <c r="F22" s="394" t="str">
        <f>IF(ISBLANK('Milestones Grid'!$AC$50)," ",'Milestones Grid'!$AC$50)</f>
        <v> </v>
      </c>
      <c r="G22" s="394" t="str">
        <f>IF(ISBLANK('Milestones Grid'!$AH$50)," ",'Milestones Grid'!$AH$50)</f>
        <v> </v>
      </c>
      <c r="H22" s="394" t="str">
        <f>IF(ISBLANK('Milestones Grid'!$AM$50)," ",'Milestones Grid'!$AM$50)</f>
        <v/>
      </c>
      <c r="I22" s="395" t="str">
        <f>IF(ISBLANK('Milestones Grid'!$AR$50)," ",'Milestones Grid'!$AR$50)</f>
        <v> </v>
      </c>
      <c r="J22" s="6" t="str">
        <f>IF(ISBLANK('Milestones Grid'!$AW$50)," ",'Milestones Grid'!$AW$50)</f>
        <v> </v>
      </c>
      <c r="K22" s="6" t="str">
        <f>IF(ISBLANK('Milestones Grid'!$BB$50)," ",'Milestones Grid'!$BB$50)</f>
        <v> </v>
      </c>
      <c r="L22" s="6" t="str">
        <f>IF(ISBLANK('Milestones Grid'!$BG$50)," ",'Milestones Grid'!$BG$50)</f>
        <v> </v>
      </c>
      <c r="M22" s="6" t="str">
        <f>IF(ISBLANK('Milestones Grid'!$BL$50)," ",'Milestones Grid'!$BL$50)</f>
        <v> </v>
      </c>
      <c r="O22" s="396" t="str">
        <f t="shared" ref="O22:W22" si="21">IF(ISNUMBER(A22),0.5," ")</f>
        <v> </v>
      </c>
      <c r="P22" s="396" t="str">
        <f t="shared" si="21"/>
        <v> </v>
      </c>
      <c r="Q22" s="396" t="str">
        <f t="shared" si="21"/>
        <v> </v>
      </c>
      <c r="R22" s="396" t="str">
        <f t="shared" si="21"/>
        <v> </v>
      </c>
      <c r="S22" s="396" t="str">
        <f t="shared" si="21"/>
        <v> </v>
      </c>
      <c r="T22" s="396" t="str">
        <f t="shared" si="21"/>
        <v> </v>
      </c>
      <c r="U22" s="396" t="str">
        <f t="shared" si="21"/>
        <v> </v>
      </c>
      <c r="V22" s="396" t="str">
        <f t="shared" si="21"/>
        <v> </v>
      </c>
      <c r="W22" s="378" t="str">
        <f t="shared" si="21"/>
        <v> </v>
      </c>
      <c r="X22" s="58"/>
      <c r="Y22" s="6"/>
      <c r="Z22" s="6"/>
      <c r="AA22" s="6"/>
    </row>
    <row r="23" ht="15.75" customHeight="1">
      <c r="A23" s="397" t="str">
        <f>IF(ISBLANK('Milestones Grid'!$D$51)," ",'Milestones Grid'!$D$51)</f>
        <v> </v>
      </c>
      <c r="B23" s="396" t="str">
        <f>IF(ISBLANK('Milestones Grid'!$I$51)," ",'Milestones Grid'!$I$51)</f>
        <v> </v>
      </c>
      <c r="C23" s="396" t="str">
        <f>IF(ISBLANK('Milestones Grid'!$N$51)," ",'Milestones Grid'!$N$51)</f>
        <v> </v>
      </c>
      <c r="D23" s="396" t="str">
        <f>IF(ISBLANK('Milestones Grid'!$S$51)," ",'Milestones Grid'!$S$51)</f>
        <v> </v>
      </c>
      <c r="E23" s="396" t="str">
        <f>IF(ISBLANK('Milestones Grid'!$X$51)," ",'Milestones Grid'!$X$51)</f>
        <v> </v>
      </c>
      <c r="F23" s="396" t="str">
        <f>IF(ISBLANK('Milestones Grid'!$AC$51)," ",'Milestones Grid'!$AC$51)</f>
        <v> </v>
      </c>
      <c r="G23" s="396" t="str">
        <f>IF(ISBLANK('Milestones Grid'!$AH$51)," ",'Milestones Grid'!$AH$51)</f>
        <v> </v>
      </c>
      <c r="H23" s="396" t="str">
        <f>IF(ISBLANK('Milestones Grid'!$AM$51)," ",'Milestones Grid'!$AM$51)</f>
        <v/>
      </c>
      <c r="I23" s="398" t="str">
        <f>IF(ISBLANK('Milestones Grid'!$AR$51)," ",'Milestones Grid'!$AR$51)</f>
        <v> </v>
      </c>
      <c r="J23" s="6"/>
      <c r="K23" s="6"/>
      <c r="L23" s="6"/>
      <c r="M23" s="6"/>
      <c r="O23" s="396" t="str">
        <f t="shared" ref="O23:W23" si="22">IF(ISNUMBER(A23),0.5," ")</f>
        <v> </v>
      </c>
      <c r="P23" s="396" t="str">
        <f t="shared" si="22"/>
        <v> </v>
      </c>
      <c r="Q23" s="396" t="str">
        <f t="shared" si="22"/>
        <v> </v>
      </c>
      <c r="R23" s="396" t="str">
        <f t="shared" si="22"/>
        <v> </v>
      </c>
      <c r="S23" s="396" t="str">
        <f t="shared" si="22"/>
        <v> </v>
      </c>
      <c r="T23" s="396" t="str">
        <f t="shared" si="22"/>
        <v> </v>
      </c>
      <c r="U23" s="396" t="str">
        <f t="shared" si="22"/>
        <v> </v>
      </c>
      <c r="V23" s="396" t="str">
        <f t="shared" si="22"/>
        <v> </v>
      </c>
      <c r="W23" s="378" t="str">
        <f t="shared" si="22"/>
        <v> </v>
      </c>
      <c r="X23" s="58"/>
      <c r="Y23" s="6"/>
      <c r="Z23" s="6"/>
      <c r="AA23" s="6"/>
    </row>
    <row r="24" ht="15.75" customHeight="1">
      <c r="A24" s="397" t="str">
        <f>IF(ISBLANK('Milestones Grid'!$D$52)," ",'Milestones Grid'!$D$52)</f>
        <v> </v>
      </c>
      <c r="B24" s="396" t="str">
        <f>IF(ISBLANK('Milestones Grid'!$I$52)," ",'Milestones Grid'!$I$52)</f>
        <v> </v>
      </c>
      <c r="C24" s="396" t="str">
        <f>IF(ISBLANK('Milestones Grid'!$N$52)," ",'Milestones Grid'!$N$52)</f>
        <v> </v>
      </c>
      <c r="D24" s="396" t="str">
        <f>IF(ISBLANK('Milestones Grid'!$S$52)," ",'Milestones Grid'!$S$52)</f>
        <v> </v>
      </c>
      <c r="E24" s="396">
        <f>IF(ISBLANK('Milestones Grid'!$X$52)," ",'Milestones Grid'!$X$52)</f>
        <v>1</v>
      </c>
      <c r="F24" s="396" t="str">
        <f>IF(ISBLANK('Milestones Grid'!$AC$52)," ",'Milestones Grid'!$AC$52)</f>
        <v> </v>
      </c>
      <c r="G24" s="396" t="str">
        <f>IF(ISBLANK('Milestones Grid'!$AH$52)," ",'Milestones Grid'!$AH$52)</f>
        <v> </v>
      </c>
      <c r="H24" s="396" t="str">
        <f>IF(ISBLANK('Milestones Grid'!$AM$52)," ",'Milestones Grid'!$AM$52)</f>
        <v/>
      </c>
      <c r="I24" s="398" t="str">
        <f>IF(ISBLANK('Milestones Grid'!$AR$52)," ",'Milestones Grid'!$AR$52)</f>
        <v> </v>
      </c>
      <c r="J24" s="6"/>
      <c r="K24" s="6"/>
      <c r="L24" s="6"/>
      <c r="M24" s="6"/>
      <c r="O24" s="396" t="str">
        <f t="shared" ref="O24:W24" si="23">IF(ISNUMBER(A24),0.5," ")</f>
        <v> </v>
      </c>
      <c r="P24" s="396" t="str">
        <f t="shared" si="23"/>
        <v> </v>
      </c>
      <c r="Q24" s="396" t="str">
        <f t="shared" si="23"/>
        <v> </v>
      </c>
      <c r="R24" s="396" t="str">
        <f t="shared" si="23"/>
        <v> </v>
      </c>
      <c r="S24" s="396">
        <f t="shared" si="23"/>
        <v>0.5</v>
      </c>
      <c r="T24" s="396" t="str">
        <f t="shared" si="23"/>
        <v> </v>
      </c>
      <c r="U24" s="396" t="str">
        <f t="shared" si="23"/>
        <v> </v>
      </c>
      <c r="V24" s="396" t="str">
        <f t="shared" si="23"/>
        <v> </v>
      </c>
      <c r="W24" s="378" t="str">
        <f t="shared" si="23"/>
        <v> </v>
      </c>
      <c r="X24" s="58"/>
      <c r="Y24" s="6"/>
      <c r="Z24" s="6"/>
      <c r="AA24" s="6"/>
    </row>
    <row r="25" ht="15.75" customHeight="1">
      <c r="A25" s="397" t="str">
        <f>IF(ISBLANK('Milestones Grid'!$D$53)," ",'Milestones Grid'!$D$53)</f>
        <v> </v>
      </c>
      <c r="B25" s="396" t="str">
        <f>IF(ISBLANK('Milestones Grid'!$I$53)," ",'Milestones Grid'!$I$53)</f>
        <v> </v>
      </c>
      <c r="C25" s="396" t="str">
        <f>IF(ISBLANK('Milestones Grid'!$N$53)," ",'Milestones Grid'!$N$53)</f>
        <v> </v>
      </c>
      <c r="D25" s="396">
        <f>IF(ISBLANK('Milestones Grid'!$S$53)," ",'Milestones Grid'!$S$53)</f>
        <v>1</v>
      </c>
      <c r="E25" s="396">
        <f>IF(ISBLANK('Milestones Grid'!$X$53)," ",'Milestones Grid'!$X$53)</f>
        <v>1</v>
      </c>
      <c r="F25" s="396" t="str">
        <f>IF(ISBLANK('Milestones Grid'!$AC$53)," ",'Milestones Grid'!$AC$53)</f>
        <v> </v>
      </c>
      <c r="G25" s="396" t="str">
        <f>IF(ISBLANK('Milestones Grid'!$AH$53)," ",'Milestones Grid'!$AH$53)</f>
        <v> </v>
      </c>
      <c r="H25" s="396" t="str">
        <f>IF(ISBLANK('Milestones Grid'!$AM$53)," ",'Milestones Grid'!$AM$53)</f>
        <v/>
      </c>
      <c r="I25" s="398" t="str">
        <f>IF(ISBLANK('Milestones Grid'!$AR$53)," ",'Milestones Grid'!$AR$53)</f>
        <v> </v>
      </c>
      <c r="J25" s="6"/>
      <c r="K25" s="6"/>
      <c r="L25" s="6"/>
      <c r="M25" s="6"/>
      <c r="O25" s="396" t="str">
        <f t="shared" ref="O25:W25" si="24">IF(ISNUMBER(A25),0.5," ")</f>
        <v> </v>
      </c>
      <c r="P25" s="396" t="str">
        <f t="shared" si="24"/>
        <v> </v>
      </c>
      <c r="Q25" s="396" t="str">
        <f t="shared" si="24"/>
        <v> </v>
      </c>
      <c r="R25" s="396">
        <f t="shared" si="24"/>
        <v>0.5</v>
      </c>
      <c r="S25" s="396">
        <f t="shared" si="24"/>
        <v>0.5</v>
      </c>
      <c r="T25" s="396" t="str">
        <f t="shared" si="24"/>
        <v> </v>
      </c>
      <c r="U25" s="396" t="str">
        <f t="shared" si="24"/>
        <v> </v>
      </c>
      <c r="V25" s="396" t="str">
        <f t="shared" si="24"/>
        <v> </v>
      </c>
      <c r="W25" s="378" t="str">
        <f t="shared" si="24"/>
        <v> </v>
      </c>
      <c r="X25" s="58"/>
      <c r="Y25" s="6"/>
      <c r="Z25" s="6"/>
      <c r="AA25" s="6"/>
    </row>
    <row r="26" ht="15.75" customHeight="1">
      <c r="A26" s="397" t="str">
        <f>IF(ISBLANK('Milestones Grid'!$D$54)," ",'Milestones Grid'!$D$54)</f>
        <v> </v>
      </c>
      <c r="B26" s="396" t="str">
        <f>IF(ISBLANK('Milestones Grid'!$I$54)," ",'Milestones Grid'!$I$54)</f>
        <v> </v>
      </c>
      <c r="C26" s="396" t="str">
        <f>IF(ISBLANK('Milestones Grid'!$N$54)," ",'Milestones Grid'!$N$54)</f>
        <v> </v>
      </c>
      <c r="D26" s="396" t="str">
        <f>IF(ISBLANK('Milestones Grid'!$S$54)," ",'Milestones Grid'!$S$54)</f>
        <v> </v>
      </c>
      <c r="E26" s="396" t="str">
        <f>IF(ISBLANK('Milestones Grid'!$X$54)," ",'Milestones Grid'!$X$54)</f>
        <v> </v>
      </c>
      <c r="F26" s="396" t="str">
        <f>IF(ISBLANK('Milestones Grid'!$AC$54)," ",'Milestones Grid'!$AC$54)</f>
        <v> </v>
      </c>
      <c r="G26" s="396" t="str">
        <f>IF(ISBLANK('Milestones Grid'!$AH$54)," ",'Milestones Grid'!$AH$54)</f>
        <v> </v>
      </c>
      <c r="H26" s="396" t="str">
        <f>IF(ISBLANK('Milestones Grid'!$AM$54)," ",'Milestones Grid'!$AM$54)</f>
        <v/>
      </c>
      <c r="I26" s="398" t="str">
        <f>IF(ISBLANK('Milestones Grid'!$AR$54)," ",'Milestones Grid'!$AR$54)</f>
        <v> </v>
      </c>
      <c r="J26" s="6"/>
      <c r="K26" s="6"/>
      <c r="L26" s="6"/>
      <c r="M26" s="6"/>
      <c r="O26" s="396" t="str">
        <f t="shared" ref="O26:W26" si="25">IF(ISNUMBER(A26),0.5," ")</f>
        <v> </v>
      </c>
      <c r="P26" s="396" t="str">
        <f t="shared" si="25"/>
        <v> </v>
      </c>
      <c r="Q26" s="396" t="str">
        <f t="shared" si="25"/>
        <v> </v>
      </c>
      <c r="R26" s="396" t="str">
        <f t="shared" si="25"/>
        <v> </v>
      </c>
      <c r="S26" s="396" t="str">
        <f t="shared" si="25"/>
        <v> </v>
      </c>
      <c r="T26" s="396" t="str">
        <f t="shared" si="25"/>
        <v> </v>
      </c>
      <c r="U26" s="396" t="str">
        <f t="shared" si="25"/>
        <v> </v>
      </c>
      <c r="V26" s="396" t="str">
        <f t="shared" si="25"/>
        <v> </v>
      </c>
      <c r="W26" s="378" t="str">
        <f t="shared" si="25"/>
        <v> </v>
      </c>
      <c r="X26" s="58"/>
      <c r="Y26" s="6"/>
      <c r="Z26" s="6"/>
      <c r="AA26" s="6"/>
    </row>
    <row r="27" ht="15.75" customHeight="1">
      <c r="A27" s="397" t="str">
        <f>IF(ISBLANK('Milestones Grid'!$D$55)," ",'Milestones Grid'!$D$55)</f>
        <v> </v>
      </c>
      <c r="B27" s="396" t="str">
        <f>IF(ISBLANK('Milestones Grid'!$I$55)," ",'Milestones Grid'!$I$55)</f>
        <v> </v>
      </c>
      <c r="C27" s="396" t="str">
        <f>IF(ISBLANK('Milestones Grid'!$N$55)," ",'Milestones Grid'!$N$55)</f>
        <v> </v>
      </c>
      <c r="D27" s="396" t="str">
        <f>IF(ISBLANK('Milestones Grid'!$S$55)," ",'Milestones Grid'!$S$55)</f>
        <v> </v>
      </c>
      <c r="E27" s="396" t="str">
        <f>IF(ISBLANK('Milestones Grid'!$X$55)," ",'Milestones Grid'!$X$55)</f>
        <v> </v>
      </c>
      <c r="F27" s="396" t="str">
        <f>IF(ISBLANK('Milestones Grid'!$AC$55)," ",'Milestones Grid'!$AC$55)</f>
        <v> </v>
      </c>
      <c r="G27" s="396" t="str">
        <f>IF(ISBLANK('Milestones Grid'!$AH$55)," ",'Milestones Grid'!$AH$55)</f>
        <v> </v>
      </c>
      <c r="H27" s="396" t="str">
        <f>IF(ISBLANK('Milestones Grid'!$AM$55)," ",'Milestones Grid'!$AM$55)</f>
        <v/>
      </c>
      <c r="I27" s="398" t="str">
        <f>IF(ISBLANK('Milestones Grid'!$AR$55)," ",'Milestones Grid'!$AR$55)</f>
        <v> </v>
      </c>
      <c r="J27" s="6"/>
      <c r="K27" s="6"/>
      <c r="L27" s="6"/>
      <c r="M27" s="6"/>
      <c r="O27" s="396" t="str">
        <f t="shared" ref="O27:W27" si="26">IF(ISNUMBER(A27),0.5," ")</f>
        <v> </v>
      </c>
      <c r="P27" s="396" t="str">
        <f t="shared" si="26"/>
        <v> </v>
      </c>
      <c r="Q27" s="396" t="str">
        <f t="shared" si="26"/>
        <v> </v>
      </c>
      <c r="R27" s="396" t="str">
        <f t="shared" si="26"/>
        <v> </v>
      </c>
      <c r="S27" s="396" t="str">
        <f t="shared" si="26"/>
        <v> </v>
      </c>
      <c r="T27" s="396" t="str">
        <f t="shared" si="26"/>
        <v> </v>
      </c>
      <c r="U27" s="396" t="str">
        <f t="shared" si="26"/>
        <v> </v>
      </c>
      <c r="V27" s="396" t="str">
        <f t="shared" si="26"/>
        <v> </v>
      </c>
      <c r="W27" s="378" t="str">
        <f t="shared" si="26"/>
        <v> </v>
      </c>
      <c r="X27" s="58"/>
      <c r="Y27" s="6"/>
      <c r="Z27" s="6"/>
      <c r="AA27" s="6"/>
    </row>
    <row r="28" ht="15.75" customHeight="1">
      <c r="A28" s="397" t="str">
        <f>IF(ISBLANK('Milestones Grid'!$D$56)," ",'Milestones Grid'!$D$56)</f>
        <v> </v>
      </c>
      <c r="B28" s="396" t="str">
        <f>IF(ISBLANK('Milestones Grid'!$I$56)," ",'Milestones Grid'!$I$56)</f>
        <v> </v>
      </c>
      <c r="C28" s="396" t="str">
        <f>IF(ISBLANK('Milestones Grid'!$N$56)," ",'Milestones Grid'!$N$56)</f>
        <v> </v>
      </c>
      <c r="D28" s="396">
        <f>IF(ISBLANK('Milestones Grid'!$S$56)," ",'Milestones Grid'!$S$56)</f>
        <v>1</v>
      </c>
      <c r="E28" s="396" t="str">
        <f>IF(ISBLANK('Milestones Grid'!$X$56)," ",'Milestones Grid'!$X$56)</f>
        <v> </v>
      </c>
      <c r="F28" s="396">
        <f>IF(ISBLANK('Milestones Grid'!$AC$56)," ",'Milestones Grid'!$AC$56)</f>
        <v>1</v>
      </c>
      <c r="G28" s="396" t="str">
        <f>IF(ISBLANK('Milestones Grid'!$AH$56)," ",'Milestones Grid'!$AH$56)</f>
        <v> </v>
      </c>
      <c r="H28" s="396" t="str">
        <f>IF(ISBLANK('Milestones Grid'!$AM$56)," ",'Milestones Grid'!$AM$56)</f>
        <v/>
      </c>
      <c r="I28" s="398" t="str">
        <f>IF(ISBLANK('Milestones Grid'!$AR$56)," ",'Milestones Grid'!$AR$56)</f>
        <v> </v>
      </c>
      <c r="J28" s="6"/>
      <c r="K28" s="6"/>
      <c r="L28" s="6"/>
      <c r="M28" s="6"/>
      <c r="O28" s="396" t="str">
        <f t="shared" ref="O28:W28" si="27">IF(ISNUMBER(A28),0.5," ")</f>
        <v> </v>
      </c>
      <c r="P28" s="396" t="str">
        <f t="shared" si="27"/>
        <v> </v>
      </c>
      <c r="Q28" s="396" t="str">
        <f t="shared" si="27"/>
        <v> </v>
      </c>
      <c r="R28" s="396">
        <f t="shared" si="27"/>
        <v>0.5</v>
      </c>
      <c r="S28" s="396" t="str">
        <f t="shared" si="27"/>
        <v> </v>
      </c>
      <c r="T28" s="396">
        <f t="shared" si="27"/>
        <v>0.5</v>
      </c>
      <c r="U28" s="396" t="str">
        <f t="shared" si="27"/>
        <v> </v>
      </c>
      <c r="V28" s="396" t="str">
        <f t="shared" si="27"/>
        <v> </v>
      </c>
      <c r="W28" s="378" t="str">
        <f t="shared" si="27"/>
        <v> </v>
      </c>
      <c r="X28" s="58"/>
      <c r="Y28" s="6"/>
      <c r="Z28" s="6"/>
      <c r="AA28" s="6"/>
    </row>
    <row r="29" ht="15.75" customHeight="1">
      <c r="A29" s="397" t="str">
        <f>IF(ISBLANK('Milestones Grid'!$D$57)," ",'Milestones Grid'!$D$57)</f>
        <v> </v>
      </c>
      <c r="B29" s="396" t="str">
        <f>IF(ISBLANK('Milestones Grid'!$I$57)," ",'Milestones Grid'!$I$57)</f>
        <v> </v>
      </c>
      <c r="C29" s="396" t="str">
        <f>IF(ISBLANK('Milestones Grid'!$N$57)," ",'Milestones Grid'!$N$57)</f>
        <v> </v>
      </c>
      <c r="D29" s="396">
        <f>IF(ISBLANK('Milestones Grid'!$S$57)," ",'Milestones Grid'!$S$57)</f>
        <v>1</v>
      </c>
      <c r="E29" s="396" t="str">
        <f>IF(ISBLANK('Milestones Grid'!$X$57)," ",'Milestones Grid'!$X$57)</f>
        <v> </v>
      </c>
      <c r="F29" s="396">
        <f>IF(ISBLANK('Milestones Grid'!$AC$57)," ",'Milestones Grid'!$AC$57)</f>
        <v>1</v>
      </c>
      <c r="G29" s="396" t="str">
        <f>IF(ISBLANK('Milestones Grid'!$AH$57)," ",'Milestones Grid'!$AH$57)</f>
        <v> </v>
      </c>
      <c r="H29" s="396" t="str">
        <f>IF(ISBLANK('Milestones Grid'!$AM$57)," ",'Milestones Grid'!$AM$57)</f>
        <v/>
      </c>
      <c r="I29" s="398" t="str">
        <f>IF(ISBLANK('Milestones Grid'!$AR$57)," ",'Milestones Grid'!$AR$57)</f>
        <v> </v>
      </c>
      <c r="J29" s="6"/>
      <c r="K29" s="6"/>
      <c r="L29" s="6"/>
      <c r="M29" s="6"/>
      <c r="O29" s="396" t="str">
        <f t="shared" ref="O29:W29" si="28">IF(ISNUMBER(A29),0.5," ")</f>
        <v> </v>
      </c>
      <c r="P29" s="396" t="str">
        <f t="shared" si="28"/>
        <v> </v>
      </c>
      <c r="Q29" s="396" t="str">
        <f t="shared" si="28"/>
        <v> </v>
      </c>
      <c r="R29" s="396">
        <f t="shared" si="28"/>
        <v>0.5</v>
      </c>
      <c r="S29" s="396" t="str">
        <f t="shared" si="28"/>
        <v> </v>
      </c>
      <c r="T29" s="396">
        <f t="shared" si="28"/>
        <v>0.5</v>
      </c>
      <c r="U29" s="396" t="str">
        <f t="shared" si="28"/>
        <v> </v>
      </c>
      <c r="V29" s="396" t="str">
        <f t="shared" si="28"/>
        <v> </v>
      </c>
      <c r="W29" s="378" t="str">
        <f t="shared" si="28"/>
        <v> </v>
      </c>
      <c r="X29" s="58"/>
      <c r="Y29" s="6"/>
      <c r="Z29" s="6"/>
      <c r="AA29" s="6"/>
    </row>
    <row r="30" ht="15.75" customHeight="1">
      <c r="A30" s="397" t="str">
        <f>IF(ISBLANK('Milestones Grid'!$D$58)," ",'Milestones Grid'!$D$58)</f>
        <v> </v>
      </c>
      <c r="B30" s="396" t="str">
        <f>IF(ISBLANK('Milestones Grid'!$I$58)," ",'Milestones Grid'!$I$58)</f>
        <v> </v>
      </c>
      <c r="C30" s="396" t="str">
        <f>IF(ISBLANK('Milestones Grid'!$N$58)," ",'Milestones Grid'!$N$58)</f>
        <v> </v>
      </c>
      <c r="D30" s="396">
        <f>IF(ISBLANK('Milestones Grid'!$S$58)," ",'Milestones Grid'!$S$58)</f>
        <v>1</v>
      </c>
      <c r="E30" s="396" t="str">
        <f>IF(ISBLANK('Milestones Grid'!$X$58)," ",'Milestones Grid'!$X$58)</f>
        <v> </v>
      </c>
      <c r="F30" s="396">
        <f>IF(ISBLANK('Milestones Grid'!$AC$58)," ",'Milestones Grid'!$AC$58)</f>
        <v>1</v>
      </c>
      <c r="G30" s="396" t="str">
        <f>IF(ISBLANK('Milestones Grid'!$AH$58)," ",'Milestones Grid'!$AH$58)</f>
        <v> </v>
      </c>
      <c r="H30" s="396" t="str">
        <f>IF(ISBLANK('Milestones Grid'!$AM$58)," ",'Milestones Grid'!$AM$58)</f>
        <v/>
      </c>
      <c r="I30" s="398" t="str">
        <f>IF(ISBLANK('Milestones Grid'!$AR$58)," ",'Milestones Grid'!$AR$58)</f>
        <v> </v>
      </c>
      <c r="J30" s="6"/>
      <c r="K30" s="6"/>
      <c r="L30" s="6"/>
      <c r="M30" s="6"/>
      <c r="O30" s="396" t="str">
        <f t="shared" ref="O30:W30" si="29">IF(ISNUMBER(A30),0.5," ")</f>
        <v> </v>
      </c>
      <c r="P30" s="396" t="str">
        <f t="shared" si="29"/>
        <v> </v>
      </c>
      <c r="Q30" s="396" t="str">
        <f t="shared" si="29"/>
        <v> </v>
      </c>
      <c r="R30" s="396">
        <f t="shared" si="29"/>
        <v>0.5</v>
      </c>
      <c r="S30" s="396" t="str">
        <f t="shared" si="29"/>
        <v> </v>
      </c>
      <c r="T30" s="396">
        <f t="shared" si="29"/>
        <v>0.5</v>
      </c>
      <c r="U30" s="396" t="str">
        <f t="shared" si="29"/>
        <v> </v>
      </c>
      <c r="V30" s="396" t="str">
        <f t="shared" si="29"/>
        <v> </v>
      </c>
      <c r="W30" s="378" t="str">
        <f t="shared" si="29"/>
        <v> </v>
      </c>
      <c r="X30" s="58"/>
      <c r="Y30" s="6"/>
      <c r="Z30" s="6"/>
      <c r="AA30" s="6"/>
    </row>
    <row r="31" ht="15.75" customHeight="1">
      <c r="A31" s="399" t="str">
        <f>IF(ISBLANK('Milestones Grid'!$D$59)," ",'Milestones Grid'!$D$59)</f>
        <v> </v>
      </c>
      <c r="B31" s="400" t="str">
        <f>IF(ISBLANK('Milestones Grid'!$I$59)," ",'Milestones Grid'!$I$59)</f>
        <v> </v>
      </c>
      <c r="C31" s="400">
        <f>IF(ISBLANK('Milestones Grid'!$N$59)," ",'Milestones Grid'!$N$59)</f>
        <v>1</v>
      </c>
      <c r="D31" s="400">
        <f>IF(ISBLANK('Milestones Grid'!$S$59)," ",'Milestones Grid'!$S$59)</f>
        <v>1</v>
      </c>
      <c r="E31" s="400">
        <f>IF(ISBLANK('Milestones Grid'!$X$59)," ",'Milestones Grid'!$X$59)</f>
        <v>1</v>
      </c>
      <c r="F31" s="400">
        <f>IF(ISBLANK('Milestones Grid'!$AC$59)," ",'Milestones Grid'!$AC$59)</f>
        <v>1</v>
      </c>
      <c r="G31" s="400" t="str">
        <f>IF(ISBLANK('Milestones Grid'!$AH$59)," ",'Milestones Grid'!$AH$59)</f>
        <v> </v>
      </c>
      <c r="H31" s="400" t="str">
        <f>IF(ISBLANK('Milestones Grid'!$AM$59)," ",'Milestones Grid'!$AM$59)</f>
        <v/>
      </c>
      <c r="I31" s="401" t="str">
        <f>IF(ISBLANK('Milestones Grid'!$AR$59)," ",'Milestones Grid'!$AR$59)</f>
        <v> </v>
      </c>
      <c r="J31" s="6"/>
      <c r="K31" s="6"/>
      <c r="L31" s="6"/>
      <c r="M31" s="6"/>
      <c r="O31" s="396" t="str">
        <f t="shared" ref="O31:W31" si="30">IF(ISNUMBER(A31),0.5," ")</f>
        <v> </v>
      </c>
      <c r="P31" s="396" t="str">
        <f t="shared" si="30"/>
        <v> </v>
      </c>
      <c r="Q31" s="396">
        <f t="shared" si="30"/>
        <v>0.5</v>
      </c>
      <c r="R31" s="396">
        <f t="shared" si="30"/>
        <v>0.5</v>
      </c>
      <c r="S31" s="396">
        <f t="shared" si="30"/>
        <v>0.5</v>
      </c>
      <c r="T31" s="396">
        <f t="shared" si="30"/>
        <v>0.5</v>
      </c>
      <c r="U31" s="396" t="str">
        <f t="shared" si="30"/>
        <v> </v>
      </c>
      <c r="V31" s="396" t="str">
        <f t="shared" si="30"/>
        <v> </v>
      </c>
      <c r="W31" s="378" t="str">
        <f t="shared" si="30"/>
        <v> </v>
      </c>
      <c r="X31" s="58"/>
      <c r="Y31" s="6"/>
      <c r="Z31" s="6"/>
      <c r="AA31" s="6"/>
    </row>
    <row r="32" ht="15.75" customHeight="1">
      <c r="B32" s="6" t="s">
        <v>36</v>
      </c>
      <c r="C32" s="6" t="s">
        <v>37</v>
      </c>
      <c r="D32" s="6" t="s">
        <v>38</v>
      </c>
      <c r="E32" s="6" t="s">
        <v>39</v>
      </c>
      <c r="F32" s="6" t="s">
        <v>40</v>
      </c>
      <c r="G32" s="6" t="s">
        <v>41</v>
      </c>
      <c r="H32" s="6" t="s">
        <v>60</v>
      </c>
      <c r="I32" s="6" t="s">
        <v>61</v>
      </c>
      <c r="J32" s="6" t="s">
        <v>44</v>
      </c>
      <c r="K32" s="6" t="s">
        <v>45</v>
      </c>
      <c r="L32" s="6" t="s">
        <v>46</v>
      </c>
      <c r="M32" s="6" t="s">
        <v>47</v>
      </c>
      <c r="N32" s="405"/>
      <c r="T32" s="406" t="s">
        <v>602</v>
      </c>
    </row>
    <row r="33" ht="15.75" customHeight="1">
      <c r="A33" s="6" t="s">
        <v>603</v>
      </c>
      <c r="B33" s="6">
        <f>SUMIF(A$2:A$31,1)</f>
        <v>0</v>
      </c>
      <c r="C33" s="6">
        <f t="shared" ref="C33:G33" si="31">SUMIF(B2:B31,1)</f>
        <v>0</v>
      </c>
      <c r="D33" s="6">
        <f t="shared" si="31"/>
        <v>1</v>
      </c>
      <c r="E33" s="6">
        <f t="shared" si="31"/>
        <v>5</v>
      </c>
      <c r="F33" s="6">
        <f t="shared" si="31"/>
        <v>3</v>
      </c>
      <c r="G33" s="6">
        <f t="shared" si="31"/>
        <v>4</v>
      </c>
      <c r="H33" s="6">
        <f t="shared" ref="H33:I33" si="32">SUMIF(G12:G31,1)</f>
        <v>0</v>
      </c>
      <c r="I33" s="6">
        <f t="shared" si="32"/>
        <v>0</v>
      </c>
      <c r="J33" s="6">
        <f t="shared" ref="J33:M33" si="33">SUMIF(I12:I21,1)</f>
        <v>0</v>
      </c>
      <c r="K33" s="6">
        <f t="shared" si="33"/>
        <v>0</v>
      </c>
      <c r="L33" s="6">
        <f t="shared" si="33"/>
        <v>0</v>
      </c>
      <c r="M33" s="6">
        <f t="shared" si="33"/>
        <v>0</v>
      </c>
      <c r="N33" s="405"/>
      <c r="O33" s="6" t="s">
        <v>36</v>
      </c>
      <c r="P33" s="6" t="s">
        <v>37</v>
      </c>
      <c r="Q33" s="6" t="s">
        <v>38</v>
      </c>
      <c r="R33" s="6" t="s">
        <v>39</v>
      </c>
      <c r="S33" s="6" t="s">
        <v>40</v>
      </c>
      <c r="T33" s="6" t="s">
        <v>41</v>
      </c>
      <c r="U33" s="6" t="s">
        <v>60</v>
      </c>
      <c r="V33" s="6" t="s">
        <v>61</v>
      </c>
      <c r="W33" s="6" t="s">
        <v>63</v>
      </c>
      <c r="X33" s="6" t="s">
        <v>44</v>
      </c>
      <c r="Y33" s="6" t="s">
        <v>45</v>
      </c>
      <c r="Z33" s="6" t="s">
        <v>46</v>
      </c>
      <c r="AA33" s="6"/>
    </row>
    <row r="34" ht="15.75" customHeight="1">
      <c r="A34" s="6" t="s">
        <v>604</v>
      </c>
      <c r="B34" s="6">
        <f t="shared" ref="B34:G34" si="34">SUMIF(A$2:A$31,1)+(SUMIF(A$2:A$31,2)/2)</f>
        <v>0</v>
      </c>
      <c r="C34" s="6">
        <f t="shared" si="34"/>
        <v>0</v>
      </c>
      <c r="D34" s="6">
        <f t="shared" si="34"/>
        <v>1</v>
      </c>
      <c r="E34" s="6">
        <f t="shared" si="34"/>
        <v>5</v>
      </c>
      <c r="F34" s="6">
        <f t="shared" si="34"/>
        <v>3</v>
      </c>
      <c r="G34" s="6">
        <f t="shared" si="34"/>
        <v>4</v>
      </c>
      <c r="H34" s="6">
        <f t="shared" ref="H34:I34" si="35">SUMIF(G$12:G$31,1)+(SUMIF(G$12:G$31,2)/2)</f>
        <v>0</v>
      </c>
      <c r="I34" s="6">
        <f t="shared" si="35"/>
        <v>0</v>
      </c>
      <c r="J34" s="6">
        <f t="shared" ref="J34:M34" si="36">SUMIF(I$12:I$21,1)+(SUMIF(I$12:I$21,2)/2)</f>
        <v>0</v>
      </c>
      <c r="K34" s="6">
        <f t="shared" si="36"/>
        <v>0</v>
      </c>
      <c r="L34" s="6">
        <f t="shared" si="36"/>
        <v>0</v>
      </c>
      <c r="M34" s="6">
        <f t="shared" si="36"/>
        <v>0</v>
      </c>
      <c r="N34" s="405"/>
      <c r="O34" s="9">
        <f t="shared" ref="O34:T34" si="37">SUM(O2:O31)</f>
        <v>0</v>
      </c>
      <c r="P34" s="9">
        <f t="shared" si="37"/>
        <v>0</v>
      </c>
      <c r="Q34" s="9">
        <f t="shared" si="37"/>
        <v>0.5</v>
      </c>
      <c r="R34" s="9">
        <f t="shared" si="37"/>
        <v>2.5</v>
      </c>
      <c r="S34" s="9">
        <f t="shared" si="37"/>
        <v>1.5</v>
      </c>
      <c r="T34" s="9">
        <f t="shared" si="37"/>
        <v>2</v>
      </c>
      <c r="U34" s="9">
        <f t="shared" ref="U34:V34" si="38">SUM(U12:U31)</f>
        <v>0</v>
      </c>
      <c r="V34" s="9">
        <f t="shared" si="38"/>
        <v>0</v>
      </c>
      <c r="W34" s="9">
        <f>SUM(W22:W31)</f>
        <v>0</v>
      </c>
      <c r="X34" s="9">
        <f t="shared" ref="X34:Z34" si="39">SUM(W2:W21)</f>
        <v>0</v>
      </c>
      <c r="Y34" s="9">
        <f t="shared" si="39"/>
        <v>0</v>
      </c>
      <c r="Z34" s="9">
        <f t="shared" si="39"/>
        <v>0</v>
      </c>
    </row>
    <row r="35" ht="15.75" customHeight="1">
      <c r="A35" s="6" t="s">
        <v>605</v>
      </c>
      <c r="B35" s="6">
        <f t="shared" ref="B35:G35" si="40">SUMIF(A$2:A$31,1)+SUMIF(A$2:A$31,2)/2+SUMIF(A$2:A$31,3)/3</f>
        <v>0</v>
      </c>
      <c r="C35" s="6">
        <f t="shared" si="40"/>
        <v>0</v>
      </c>
      <c r="D35" s="6">
        <f t="shared" si="40"/>
        <v>1</v>
      </c>
      <c r="E35" s="6">
        <f t="shared" si="40"/>
        <v>5</v>
      </c>
      <c r="F35" s="6">
        <f t="shared" si="40"/>
        <v>3</v>
      </c>
      <c r="G35" s="6">
        <f t="shared" si="40"/>
        <v>4</v>
      </c>
      <c r="H35" s="6">
        <f t="shared" ref="H35:I35" si="41">SUMIF(G$12:G$31,1)+SUMIF(G$12:G$31,2)/2+SUMIF(G$12:G$31,3)/3</f>
        <v>0</v>
      </c>
      <c r="I35" s="6">
        <f t="shared" si="41"/>
        <v>0</v>
      </c>
      <c r="J35" s="6">
        <f t="shared" ref="J35:M35" si="42">SUMIF(I$12:I$21,1)+SUMIF(I$12:I$21,2)/2+SUMIF(I$12:I$21,3)/3</f>
        <v>0</v>
      </c>
      <c r="K35" s="6">
        <f t="shared" si="42"/>
        <v>0</v>
      </c>
      <c r="L35" s="6">
        <f t="shared" si="42"/>
        <v>0</v>
      </c>
      <c r="M35" s="6">
        <f t="shared" si="42"/>
        <v>0</v>
      </c>
      <c r="N35" s="405"/>
      <c r="O35" s="6" t="s">
        <v>47</v>
      </c>
      <c r="P35" s="6" t="s">
        <v>42</v>
      </c>
      <c r="Q35" s="6" t="s">
        <v>43</v>
      </c>
      <c r="R35" s="6" t="s">
        <v>48</v>
      </c>
    </row>
    <row r="36" ht="15.75" customHeight="1">
      <c r="A36" s="6" t="s">
        <v>606</v>
      </c>
      <c r="B36" s="6">
        <f t="shared" ref="B36:G36" si="43">SUMIF(A$2:A$31,1)+SUMIF(A$2:A$31,2)/2+SUMIF(A$2:A$31,3)/3+SUMIF(A$2:A$31,4)/4</f>
        <v>0</v>
      </c>
      <c r="C36" s="6">
        <f t="shared" si="43"/>
        <v>0</v>
      </c>
      <c r="D36" s="6">
        <f t="shared" si="43"/>
        <v>1</v>
      </c>
      <c r="E36" s="6">
        <f t="shared" si="43"/>
        <v>5</v>
      </c>
      <c r="F36" s="6">
        <f t="shared" si="43"/>
        <v>3</v>
      </c>
      <c r="G36" s="6">
        <f t="shared" si="43"/>
        <v>4</v>
      </c>
      <c r="H36" s="6">
        <f t="shared" ref="H36:I36" si="44">SUMIF(G$12:G$31,1)+SUMIF(G$12:G$31,2)/2+SUMIF(G$12:G$31,3)/3+SUMIF(G$12:G$31,4)/4</f>
        <v>0</v>
      </c>
      <c r="I36" s="6">
        <f t="shared" si="44"/>
        <v>0</v>
      </c>
      <c r="J36" s="6">
        <f t="shared" ref="J36:M36" si="45">SUMIF(I$12:I$21,1)+SUMIF(I$12:I$21,2)/2+SUMIF(I$12:I$21,3)/3+SUMIF(I$12:I$21,4)/4</f>
        <v>0</v>
      </c>
      <c r="K36" s="6">
        <f t="shared" si="45"/>
        <v>0</v>
      </c>
      <c r="L36" s="6">
        <f t="shared" si="45"/>
        <v>0</v>
      </c>
      <c r="M36" s="6">
        <f t="shared" si="45"/>
        <v>0</v>
      </c>
      <c r="N36" s="405"/>
      <c r="O36" s="9">
        <f>SUM(Z2:Z21)</f>
        <v>0</v>
      </c>
      <c r="P36" s="9">
        <f t="shared" ref="P36:Q36" si="46">SUM(U2:U11)</f>
        <v>0</v>
      </c>
      <c r="Q36" s="9">
        <f t="shared" si="46"/>
        <v>0</v>
      </c>
      <c r="R36" s="9">
        <f>SUM(AA2:AA11)</f>
        <v>0</v>
      </c>
    </row>
    <row r="37" ht="15.75" customHeight="1">
      <c r="B37" s="6" t="s">
        <v>42</v>
      </c>
      <c r="C37" s="6" t="s">
        <v>43</v>
      </c>
      <c r="D37" s="6" t="s">
        <v>48</v>
      </c>
      <c r="E37" s="6" t="s">
        <v>63</v>
      </c>
    </row>
    <row r="38" ht="15.75" customHeight="1">
      <c r="A38" s="6" t="s">
        <v>603</v>
      </c>
      <c r="B38" s="6">
        <f t="shared" ref="B38:C38" si="47">SUMIF(G$2:G$11,1)</f>
        <v>0</v>
      </c>
      <c r="C38" s="6">
        <f t="shared" si="47"/>
        <v>0</v>
      </c>
      <c r="D38" s="6">
        <f>SUMIF(M$2:M$11,1)</f>
        <v>0</v>
      </c>
      <c r="E38" s="6">
        <f>SUMIF(I$22:I$31,1)</f>
        <v>0</v>
      </c>
    </row>
    <row r="39" ht="15.75" customHeight="1">
      <c r="A39" s="6" t="s">
        <v>604</v>
      </c>
      <c r="B39" s="6">
        <f t="shared" ref="B39:C39" si="48">SUMIF(G$2:G$11,1)+(SUMIF(G$2:G$11,2)/2)</f>
        <v>0</v>
      </c>
      <c r="C39" s="6">
        <f t="shared" si="48"/>
        <v>0</v>
      </c>
      <c r="D39" s="6">
        <f>SUMIF(M$2:M$11,1)+(SUMIF(M$2:M$11,2)/2)</f>
        <v>0</v>
      </c>
      <c r="E39" s="6">
        <f>SUMIF(I$22:I$31,1)+(SUMIF(I$22:I$31,2)/2)</f>
        <v>0</v>
      </c>
    </row>
    <row r="40" ht="15.75" customHeight="1">
      <c r="A40" s="6" t="s">
        <v>605</v>
      </c>
      <c r="B40" s="6">
        <f t="shared" ref="B40:C40" si="49">SUMIF(G$2:G$11,1)+SUMIF(G$2:G$11,2)/2+SUMIF(G$2:G$11,3)/3</f>
        <v>0</v>
      </c>
      <c r="C40" s="6">
        <f t="shared" si="49"/>
        <v>0</v>
      </c>
      <c r="D40" s="6">
        <f>SUMIF(M$2:M$11,1)+SUMIF(M$2:M$11,2)/2+SUMIF(M$2:M$11,3)/3</f>
        <v>0</v>
      </c>
      <c r="E40" s="6">
        <f>SUMIF(I$22:I$31,1)+SUMIF(I$22:I$31,2)/2+SUMIF(I$22:I$31,3)/3</f>
        <v>0</v>
      </c>
    </row>
    <row r="41" ht="15.75" customHeight="1">
      <c r="A41" s="6" t="s">
        <v>606</v>
      </c>
      <c r="B41" s="6">
        <f t="shared" ref="B41:C41" si="50">SUMIF(G$2:G$11,1)+SUMIF(G$2:G$11,2)/2+SUMIF(G$2:G$11,3)/3+SUMIF(G$2:G$11,4)/4</f>
        <v>0</v>
      </c>
      <c r="C41" s="6">
        <f t="shared" si="50"/>
        <v>0</v>
      </c>
      <c r="D41" s="6">
        <f>SUMIF(M$2:M$11,1)+SUMIF(M$2:M$11,2)/2+SUMIF(M$2:M$11,3)/3+SUMIF(M$2:M$11,4)/4</f>
        <v>0</v>
      </c>
      <c r="E41" s="6">
        <f>SUMIF(I$22:I$31,1)+SUMIF(I$22:I$31,2)/2+SUMIF(I$22:I$31,3)/3+SUMIF(I$22:I$31,4)/4</f>
        <v>0</v>
      </c>
    </row>
    <row r="42" ht="15.75" customHeight="1"/>
    <row r="43" ht="15.75" customHeight="1">
      <c r="D43" s="406" t="s">
        <v>543</v>
      </c>
      <c r="L43" s="406" t="s">
        <v>544</v>
      </c>
    </row>
    <row r="44" ht="15.75" customHeight="1">
      <c r="A44" s="6" t="s">
        <v>603</v>
      </c>
      <c r="B44" s="9">
        <f>SUM('Barrier Grid'!D14:E21)</f>
        <v>0</v>
      </c>
      <c r="C44" s="9">
        <f>SUM('Barrier Grid'!N14:O21)</f>
        <v>0</v>
      </c>
      <c r="D44" s="9">
        <f>SUM('Barrier Grid'!X14:Y21)</f>
        <v>0</v>
      </c>
      <c r="E44" s="9">
        <f>SUM('Barrier Grid'!AH14:AI21)</f>
        <v>0</v>
      </c>
      <c r="F44" s="9">
        <f>SUM('Barrier Grid'!AR14:AS21)</f>
        <v>0</v>
      </c>
      <c r="G44" s="9">
        <f>SUM('Barrier Grid'!BB14:BC21)</f>
        <v>0</v>
      </c>
      <c r="I44" s="6" t="s">
        <v>603</v>
      </c>
      <c r="J44" s="9">
        <f>SUM('Transition Grid'!D14:E23)</f>
        <v>0</v>
      </c>
      <c r="K44" s="9">
        <f>SUM('Transition Grid'!N14:O23)</f>
        <v>5</v>
      </c>
      <c r="L44" s="9">
        <f>SUM('Transition Grid'!X14:Y23)</f>
        <v>5</v>
      </c>
      <c r="M44" s="9">
        <f>SUM('Transition Grid'!AH14:AI23)</f>
        <v>0</v>
      </c>
      <c r="N44" s="9">
        <f>SUM('Transition Grid'!AR14:AS23)</f>
        <v>1</v>
      </c>
      <c r="O44" s="9">
        <f>SUM('Transition Grid'!BB14:BC23)</f>
        <v>0</v>
      </c>
    </row>
    <row r="45" ht="15.75" customHeight="1">
      <c r="A45" s="6" t="s">
        <v>604</v>
      </c>
      <c r="B45" s="9">
        <f>SUM('Barrier Grid'!F14:G21)/2</f>
        <v>0</v>
      </c>
      <c r="C45" s="9">
        <f>SUM('Barrier Grid'!P14:Q21)/2</f>
        <v>0</v>
      </c>
      <c r="D45" s="9">
        <f>SUM('Barrier Grid'!Z14:AA21)/2</f>
        <v>0</v>
      </c>
      <c r="E45" s="9">
        <f>SUM('Barrier Grid'!AJ14:AK21)/2</f>
        <v>0</v>
      </c>
      <c r="F45" s="9">
        <f>SUM('Barrier Grid'!AT14:AU21)/2</f>
        <v>0</v>
      </c>
      <c r="G45" s="9">
        <f>SUM('Barrier Grid'!BD14:BE21)/2</f>
        <v>0</v>
      </c>
      <c r="I45" s="6" t="s">
        <v>604</v>
      </c>
      <c r="J45" s="9">
        <f>SUM('Transition Grid'!F14:G23)/2</f>
        <v>0</v>
      </c>
      <c r="K45" s="9">
        <f>SUM('Transition Grid'!P14:Q23)/2</f>
        <v>0</v>
      </c>
      <c r="L45" s="9">
        <f>SUM('Transition Grid'!Z14:AA23)/2</f>
        <v>0</v>
      </c>
      <c r="M45" s="9">
        <f>SUM('Transition Grid'!AJ14:AK23)/2</f>
        <v>0</v>
      </c>
      <c r="N45" s="9">
        <f>SUM('Transition Grid'!AT14:AU23)/2</f>
        <v>0</v>
      </c>
      <c r="O45" s="9">
        <f>SUM('Transition Grid'!BD14:BE23)/2</f>
        <v>0</v>
      </c>
    </row>
    <row r="46" ht="15.75" customHeight="1">
      <c r="A46" s="6" t="s">
        <v>605</v>
      </c>
      <c r="B46" s="9">
        <f>SUM('Barrier Grid'!H14:I21)/3</f>
        <v>0</v>
      </c>
      <c r="C46" s="9">
        <f>SUM('Barrier Grid'!R14:S21)/3</f>
        <v>0</v>
      </c>
      <c r="D46" s="9">
        <f>SUM('Barrier Grid'!AB14:AC21)/3</f>
        <v>0</v>
      </c>
      <c r="E46" s="9">
        <f>SUM('Barrier Grid'!AL14:AM21)/3</f>
        <v>0</v>
      </c>
      <c r="F46" s="9">
        <f>SUM('Barrier Grid'!AV14:AW21)/3</f>
        <v>0</v>
      </c>
      <c r="G46" s="9">
        <f>SUM('Barrier Grid'!BF14:BG21)/3</f>
        <v>0</v>
      </c>
      <c r="I46" s="6" t="s">
        <v>605</v>
      </c>
      <c r="J46" s="9">
        <f>SUM('Transition Grid'!H14:I23)/3</f>
        <v>0</v>
      </c>
      <c r="K46" s="9">
        <f>SUM('Transition Grid'!R14:S23)/3</f>
        <v>0</v>
      </c>
      <c r="L46" s="9">
        <f>SUM('Transition Grid'!AB14:AC23)/3</f>
        <v>0</v>
      </c>
      <c r="M46" s="9">
        <f>SUM('Transition Grid'!AL14:AM23)/3</f>
        <v>0</v>
      </c>
      <c r="N46" s="9">
        <f>SUM('Transition Grid'!AV14:AW23)/3</f>
        <v>0</v>
      </c>
      <c r="O46" s="9">
        <f>SUM('Transition Grid'!BF14:BG23)/3</f>
        <v>0</v>
      </c>
    </row>
    <row r="47" ht="15.75" customHeight="1">
      <c r="A47" s="6" t="s">
        <v>606</v>
      </c>
      <c r="B47" s="9">
        <f>SUM('Barrier Grid'!J14:K21)/4</f>
        <v>0</v>
      </c>
      <c r="C47" s="9">
        <f>SUM('Barrier Grid'!T14:U21)/4</f>
        <v>0</v>
      </c>
      <c r="D47" s="9">
        <f>SUM('Barrier Grid'!AD14:AE21)/4</f>
        <v>0</v>
      </c>
      <c r="E47" s="9">
        <f>SUM('Barrier Grid'!AN14:AO21)/4</f>
        <v>0</v>
      </c>
      <c r="F47" s="9">
        <f>SUM('Barrier Grid'!AX14:AY21)/4</f>
        <v>0</v>
      </c>
      <c r="G47" s="9">
        <f>SUM('Barrier Grid'!BH14:BI21)/4</f>
        <v>0</v>
      </c>
      <c r="I47" s="6" t="s">
        <v>606</v>
      </c>
      <c r="J47" s="9">
        <f>SUM('Transition Grid'!J14:K23)/4</f>
        <v>0</v>
      </c>
      <c r="K47" s="9">
        <f>SUM('Transition Grid'!T14:U23)/4</f>
        <v>0</v>
      </c>
      <c r="L47" s="9">
        <f>SUM('Transition Grid'!AD14:AE23)/4</f>
        <v>0</v>
      </c>
      <c r="M47" s="9">
        <f>SUM('Transition Grid'!AN14:AO23)/4</f>
        <v>0</v>
      </c>
      <c r="N47" s="9">
        <f>SUM('Transition Grid'!AX14:AY23)/4</f>
        <v>0</v>
      </c>
      <c r="O47" s="9">
        <f>SUM('Transition Grid'!BH14:BI23)/4</f>
        <v>0</v>
      </c>
    </row>
    <row r="48" ht="15.75" customHeight="1">
      <c r="I48" s="6"/>
    </row>
    <row r="49" ht="15.75" customHeight="1">
      <c r="A49" s="6" t="s">
        <v>603</v>
      </c>
      <c r="B49" s="6">
        <f>SUM('Barrier Grid'!D29:E36)</f>
        <v>0</v>
      </c>
      <c r="C49" s="6">
        <f>SUM('Barrier Grid'!N29:O36)</f>
        <v>0</v>
      </c>
      <c r="D49" s="6">
        <f>SUM('Barrier Grid'!X29:Y36)</f>
        <v>0</v>
      </c>
      <c r="E49" s="6">
        <f>SUM('Barrier Grid'!AH29:AI36)</f>
        <v>0</v>
      </c>
      <c r="F49" s="6">
        <f>SUM('Barrier Grid'!AR29:AS36)</f>
        <v>0</v>
      </c>
      <c r="G49" s="6">
        <f>SUM('Barrier Grid'!BB29:BC36)</f>
        <v>0</v>
      </c>
      <c r="I49" s="6" t="s">
        <v>603</v>
      </c>
      <c r="J49" s="6">
        <f>SUM('Transition Grid'!D30:E39)</f>
        <v>0</v>
      </c>
      <c r="K49" s="6">
        <f>SUM('Transition Grid'!N30:O39)</f>
        <v>0</v>
      </c>
      <c r="L49" s="6">
        <f>SUM('Transition Grid'!X30:Y39)</f>
        <v>0</v>
      </c>
      <c r="M49" s="6">
        <f>SUM('Transition Grid'!AH30:AI39)</f>
        <v>0</v>
      </c>
      <c r="N49" s="6">
        <f>SUM('Transition Grid'!AR30:AS39)</f>
        <v>0</v>
      </c>
      <c r="O49" s="6">
        <f>SUM('Transition Grid'!BB30:BC39)</f>
        <v>0</v>
      </c>
    </row>
    <row r="50" ht="15.75" customHeight="1">
      <c r="A50" s="6" t="s">
        <v>604</v>
      </c>
      <c r="B50" s="6">
        <f>SUM('Barrier Grid'!F29:G36)/2</f>
        <v>0</v>
      </c>
      <c r="C50" s="6">
        <f>SUM('Barrier Grid'!P29:Q36)/2</f>
        <v>0</v>
      </c>
      <c r="D50" s="6">
        <f>SUM('Barrier Grid'!Z29:AA36)/2</f>
        <v>0</v>
      </c>
      <c r="E50" s="6">
        <f>SUM('Barrier Grid'!AJ29:AK36)/2</f>
        <v>0</v>
      </c>
      <c r="F50" s="6">
        <f>SUM('Barrier Grid'!AT29:AU36)/2</f>
        <v>0</v>
      </c>
      <c r="G50" s="6">
        <f>SUM('Barrier Grid'!BD29:BE36)/2</f>
        <v>0</v>
      </c>
      <c r="I50" s="6" t="s">
        <v>604</v>
      </c>
      <c r="J50" s="6">
        <f>SUM('Transition Grid'!F30:G39)/2</f>
        <v>0</v>
      </c>
      <c r="K50" s="6">
        <f>SUM('Transition Grid'!P30:Q39)/2</f>
        <v>0</v>
      </c>
      <c r="L50" s="6">
        <f>SUM('Transition Grid'!Z30:AA39)/2</f>
        <v>0</v>
      </c>
      <c r="M50" s="6">
        <f>SUM('Transition Grid'!AJ30:AK39)/2</f>
        <v>0</v>
      </c>
      <c r="N50" s="6">
        <f>SUM('Transition Grid'!AT30:AU39)/2</f>
        <v>0</v>
      </c>
      <c r="O50" s="6">
        <f>SUM('Transition Grid'!BD30:BE39)/2</f>
        <v>0</v>
      </c>
    </row>
    <row r="51" ht="15.75" customHeight="1">
      <c r="A51" s="6" t="s">
        <v>605</v>
      </c>
      <c r="B51" s="6">
        <f>SUM('Barrier Grid'!H29:I36)/3</f>
        <v>0</v>
      </c>
      <c r="C51" s="6">
        <f>SUM('Barrier Grid'!R29:S36)/3</f>
        <v>0</v>
      </c>
      <c r="D51" s="6">
        <f>SUM('Barrier Grid'!AB29:AC36)/3</f>
        <v>0</v>
      </c>
      <c r="E51" s="6">
        <f>SUM('Barrier Grid'!AL29:AM36)/3</f>
        <v>0</v>
      </c>
      <c r="F51" s="6">
        <f>SUM('Barrier Grid'!AV29:AW36)/3</f>
        <v>0</v>
      </c>
      <c r="G51" s="6">
        <f>SUM('Barrier Grid'!BF29:BG36)/3</f>
        <v>0</v>
      </c>
      <c r="I51" s="6" t="s">
        <v>605</v>
      </c>
      <c r="J51" s="6">
        <f>SUM('Transition Grid'!H30:I39)/3</f>
        <v>0</v>
      </c>
      <c r="K51" s="6">
        <f>SUM('Transition Grid'!R30:S39)/3</f>
        <v>0</v>
      </c>
      <c r="L51" s="6">
        <f>SUM('Transition Grid'!AB30:AC39)/3</f>
        <v>0</v>
      </c>
      <c r="M51" s="6">
        <f>SUM('Transition Grid'!AL30:AM39)/3</f>
        <v>0</v>
      </c>
      <c r="N51" s="6">
        <f>SUM('Transition Grid'!AV30:AW39)/3</f>
        <v>0</v>
      </c>
      <c r="O51" s="6">
        <f>SUM('Transition Grid'!BF30:BG39)/3</f>
        <v>0</v>
      </c>
    </row>
    <row r="52" ht="15.75" customHeight="1">
      <c r="A52" s="6" t="s">
        <v>606</v>
      </c>
      <c r="B52" s="6">
        <f>SUM('Barrier Grid'!J29:K36)/4</f>
        <v>0</v>
      </c>
      <c r="C52" s="6">
        <f>SUM('Barrier Grid'!T29:U36)/4</f>
        <v>0</v>
      </c>
      <c r="D52" s="6">
        <f>SUM('Barrier Grid'!AD29:AE36)/4</f>
        <v>0</v>
      </c>
      <c r="E52" s="6">
        <f>SUM('Barrier Grid'!AN29:AO36)/4</f>
        <v>0</v>
      </c>
      <c r="F52" s="6">
        <f>SUM('Barrier Grid'!AX29:AY36)/4</f>
        <v>0</v>
      </c>
      <c r="G52" s="6">
        <f>SUM('Barrier Grid'!BH29:BI36)/4</f>
        <v>0</v>
      </c>
      <c r="I52" s="6" t="s">
        <v>606</v>
      </c>
      <c r="J52" s="6">
        <f>SUM('Transition Grid'!J30:K39)/4</f>
        <v>0</v>
      </c>
      <c r="K52" s="6">
        <f>SUM('Transition Grid'!T30:U39)/4</f>
        <v>0</v>
      </c>
      <c r="L52" s="6">
        <f>SUM('Transition Grid'!AD30:AE39)/4</f>
        <v>0</v>
      </c>
      <c r="M52" s="6">
        <f>SUM('Transition Grid'!AN30:AO39)/4</f>
        <v>0</v>
      </c>
      <c r="N52" s="6">
        <f>SUM('Transition Grid'!AX30:AY39)/4</f>
        <v>0</v>
      </c>
      <c r="O52" s="6">
        <f>SUM('Transition Grid'!BH30:BI39)/4</f>
        <v>0</v>
      </c>
    </row>
    <row r="53" ht="15.75" customHeight="1">
      <c r="I53" s="6"/>
    </row>
    <row r="54" ht="15.75" customHeight="1">
      <c r="A54" s="6" t="s">
        <v>603</v>
      </c>
      <c r="B54" s="6">
        <f>SUM('Barrier Grid'!D44:E51)</f>
        <v>0</v>
      </c>
      <c r="C54" s="6">
        <f>SUM('Barrier Grid'!N44:O51)</f>
        <v>0</v>
      </c>
      <c r="D54" s="6">
        <f>SUM('Barrier Grid'!X44:Y51)</f>
        <v>0</v>
      </c>
      <c r="E54" s="6">
        <f>SUM('Barrier Grid'!AH44:AI51)</f>
        <v>0</v>
      </c>
      <c r="F54" s="6">
        <f>SUM('Barrier Grid'!AR44:AS51)</f>
        <v>0</v>
      </c>
      <c r="G54" s="6">
        <f>SUM('Barrier Grid'!BB44:BC51)</f>
        <v>0</v>
      </c>
      <c r="I54" s="6" t="s">
        <v>603</v>
      </c>
      <c r="J54" s="6">
        <f>SUM('Transition Grid'!D46:E55)</f>
        <v>0</v>
      </c>
      <c r="K54" s="6">
        <f>SUM('Transition Grid'!N46:O55)</f>
        <v>0</v>
      </c>
      <c r="L54" s="6">
        <f>SUM('Transition Grid'!X46:Y55)</f>
        <v>0</v>
      </c>
      <c r="M54" s="6">
        <f>SUM('Transition Grid'!AH46:AI55)</f>
        <v>0</v>
      </c>
      <c r="N54" s="6">
        <f>SUM('Transition Grid'!AR46:AS55)</f>
        <v>0</v>
      </c>
      <c r="O54" s="6">
        <f>SUM('Transition Grid'!BB46:BC55)</f>
        <v>0</v>
      </c>
    </row>
    <row r="55" ht="15.75" customHeight="1">
      <c r="A55" s="6" t="s">
        <v>604</v>
      </c>
      <c r="B55" s="6">
        <f>SUM('Barrier Grid'!F44:G51)/2</f>
        <v>0</v>
      </c>
      <c r="C55" s="6">
        <f>SUM('Barrier Grid'!P44:Q51)/2</f>
        <v>0</v>
      </c>
      <c r="D55" s="6">
        <f>SUM('Barrier Grid'!Z44:AA51)/2</f>
        <v>0</v>
      </c>
      <c r="E55" s="6">
        <f>SUM('Barrier Grid'!AJ44:AK51)/2</f>
        <v>0</v>
      </c>
      <c r="F55" s="6">
        <f>SUM('Barrier Grid'!AT44:AU51)/2</f>
        <v>0</v>
      </c>
      <c r="G55" s="6">
        <f>SUM('Barrier Grid'!BD44:BE51)/2</f>
        <v>0</v>
      </c>
      <c r="I55" s="6" t="s">
        <v>604</v>
      </c>
      <c r="J55" s="6">
        <f>SUM('Transition Grid'!F46:G55)/2</f>
        <v>0</v>
      </c>
      <c r="K55" s="6">
        <f>SUM('Transition Grid'!P46:Q55)/2</f>
        <v>0</v>
      </c>
      <c r="L55" s="6">
        <f>SUM('Transition Grid'!Z46:AA55)/2</f>
        <v>0</v>
      </c>
      <c r="M55" s="6">
        <f>SUM('Transition Grid'!AJ46:AK55)/2</f>
        <v>0</v>
      </c>
      <c r="N55" s="6">
        <f>SUM('Transition Grid'!AT46:AU55)/2</f>
        <v>0</v>
      </c>
      <c r="O55" s="6">
        <f>SUM('Transition Grid'!BD46:BE55)/2</f>
        <v>0</v>
      </c>
    </row>
    <row r="56" ht="15.75" customHeight="1">
      <c r="A56" s="6" t="s">
        <v>605</v>
      </c>
      <c r="B56" s="6">
        <f>SUM('Barrier Grid'!H44:I51)/3</f>
        <v>0</v>
      </c>
      <c r="C56" s="6">
        <f>SUM('Barrier Grid'!R44:S51)/3</f>
        <v>0</v>
      </c>
      <c r="D56" s="6">
        <f>SUM('Barrier Grid'!AB44:AC51)/3</f>
        <v>0</v>
      </c>
      <c r="E56" s="6">
        <f>SUM('Barrier Grid'!AL44:AM51)/3</f>
        <v>0</v>
      </c>
      <c r="F56" s="6">
        <f>SUM('Barrier Grid'!AV44:AW51)/3</f>
        <v>0</v>
      </c>
      <c r="G56" s="6">
        <f>SUM('Barrier Grid'!BF44:BG51)/3</f>
        <v>0</v>
      </c>
      <c r="I56" s="6" t="s">
        <v>605</v>
      </c>
      <c r="J56" s="6">
        <f>SUM('Transition Grid'!H46:I55)/3</f>
        <v>0</v>
      </c>
      <c r="K56" s="6">
        <f>SUM('Transition Grid'!R46:S55)/3</f>
        <v>0</v>
      </c>
      <c r="L56" s="6">
        <f>SUM('Transition Grid'!AB46:AC55)/3</f>
        <v>0</v>
      </c>
      <c r="M56" s="6">
        <f>SUM('Transition Grid'!AL46:AM55)/3</f>
        <v>0</v>
      </c>
      <c r="N56" s="6">
        <f>SUM('Transition Grid'!AV46:AW55)/3</f>
        <v>0</v>
      </c>
      <c r="O56" s="6">
        <f>SUM('Transition Grid'!BF46:BG55)/3</f>
        <v>0</v>
      </c>
    </row>
    <row r="57" ht="15.75" customHeight="1">
      <c r="A57" s="6" t="s">
        <v>606</v>
      </c>
      <c r="B57" s="6">
        <f>SUM('Barrier Grid'!J44:K51)/4</f>
        <v>0</v>
      </c>
      <c r="C57" s="6">
        <f>SUM('Barrier Grid'!T44:U51)/4</f>
        <v>0</v>
      </c>
      <c r="D57" s="6">
        <f>SUM('Barrier Grid'!AD44:AE51)/4</f>
        <v>0</v>
      </c>
      <c r="E57" s="6">
        <f>SUM('Barrier Grid'!AN44:AO51)/4</f>
        <v>0</v>
      </c>
      <c r="F57" s="6">
        <f>SUM('Barrier Grid'!AX44:AY51)/4</f>
        <v>0</v>
      </c>
      <c r="G57" s="6">
        <f>SUM('Barrier Grid'!BH44:BI51)/4</f>
        <v>0</v>
      </c>
      <c r="I57" s="6" t="s">
        <v>606</v>
      </c>
      <c r="J57" s="6">
        <f>SUM('Transition Grid'!J46:K55)/4</f>
        <v>0</v>
      </c>
      <c r="K57" s="6">
        <f>SUM('Transition Grid'!T46:U55)/4</f>
        <v>0</v>
      </c>
      <c r="L57" s="6">
        <f>SUM('Transition Grid'!AD46:AE55)/4</f>
        <v>0</v>
      </c>
      <c r="M57" s="6">
        <f>SUM('Transition Grid'!AN46:AO55)/4</f>
        <v>0</v>
      </c>
      <c r="N57" s="6">
        <f>SUM('Transition Grid'!AX46:AY55)/4</f>
        <v>0</v>
      </c>
      <c r="O57" s="6">
        <f>SUM('Transition Grid'!BH46:BI55)/4</f>
        <v>0</v>
      </c>
    </row>
    <row r="58" ht="15.75" customHeight="1"/>
    <row r="59" ht="15.75" customHeight="1">
      <c r="A59" s="6" t="s">
        <v>603</v>
      </c>
      <c r="B59" s="6">
        <f>SUM('Barrier Grid'!D59:E66)</f>
        <v>0</v>
      </c>
      <c r="C59" s="6">
        <f>SUM('Barrier Grid'!N59:O66)</f>
        <v>0</v>
      </c>
      <c r="D59" s="6">
        <f>SUM('Barrier Grid'!X59:Y66)</f>
        <v>0</v>
      </c>
      <c r="E59" s="6">
        <f>SUM('Barrier Grid'!AH59:AI66)</f>
        <v>0</v>
      </c>
      <c r="F59" s="6">
        <f>SUM('Barrier Grid'!AR59:AS66)</f>
        <v>0</v>
      </c>
      <c r="G59" s="6">
        <f>SUM('Barrier Grid'!BB59:BC66)</f>
        <v>0</v>
      </c>
      <c r="I59" s="6"/>
      <c r="M59" s="406" t="s">
        <v>607</v>
      </c>
    </row>
    <row r="60" ht="15.75" customHeight="1">
      <c r="A60" s="6" t="s">
        <v>604</v>
      </c>
      <c r="B60" s="6">
        <f>SUM('Barrier Grid'!F59:G66)/2</f>
        <v>0</v>
      </c>
      <c r="C60" s="6">
        <f>SUM('Barrier Grid'!P59:Q66)/2</f>
        <v>0</v>
      </c>
      <c r="D60" s="6">
        <f>SUM('Barrier Grid'!Z59:AA66)/2</f>
        <v>0</v>
      </c>
      <c r="E60" s="6">
        <f>SUM('Barrier Grid'!AJ59:AK66)/2</f>
        <v>0</v>
      </c>
      <c r="F60" s="6">
        <f>SUM('Barrier Grid'!AT59:AU66)/2</f>
        <v>0</v>
      </c>
      <c r="G60" s="6">
        <f>SUM('Barrier Grid'!BD59:BE66)/2</f>
        <v>0</v>
      </c>
      <c r="I60" s="6" t="s">
        <v>603</v>
      </c>
      <c r="J60" s="396" t="str">
        <f>'Intraverbal 6.0'!BC$26</f>
        <v/>
      </c>
      <c r="K60" s="396" t="str">
        <f>'Intraverbal 6.0'!BC$41</f>
        <v/>
      </c>
      <c r="L60" s="396" t="str">
        <f>'Intraverbal 6.0'!BC$54</f>
        <v/>
      </c>
      <c r="M60" s="396" t="str">
        <f>'Intraverbal 6.0'!BC$67</f>
        <v/>
      </c>
      <c r="N60" s="396" t="str">
        <f>'Intraverbal 6.0'!BC$80</f>
        <v/>
      </c>
      <c r="O60" s="396" t="str">
        <f>'Intraverbal 6.0'!BC$93</f>
        <v/>
      </c>
      <c r="P60" s="396" t="str">
        <f>'Intraverbal 6.0'!BC$106</f>
        <v/>
      </c>
      <c r="Q60" s="396" t="str">
        <f>'Intraverbal 6.0'!BC$119</f>
        <v/>
      </c>
    </row>
    <row r="61" ht="15.75" customHeight="1">
      <c r="A61" s="6" t="s">
        <v>605</v>
      </c>
      <c r="B61" s="6">
        <f>SUM('Barrier Grid'!H59:I66)/3</f>
        <v>0</v>
      </c>
      <c r="C61" s="6">
        <f>SUM('Barrier Grid'!R59:S66)/3</f>
        <v>0</v>
      </c>
      <c r="D61" s="6">
        <f>SUM('Barrier Grid'!AB59:AC66)/3</f>
        <v>0</v>
      </c>
      <c r="E61" s="6">
        <f>SUM('Barrier Grid'!AL59:AM66)/3</f>
        <v>0</v>
      </c>
      <c r="F61" s="6">
        <f>SUM('Barrier Grid'!AV59:AW66)/3</f>
        <v>0</v>
      </c>
      <c r="G61" s="6">
        <f>SUM('Barrier Grid'!BF59:BG66)/3</f>
        <v>0</v>
      </c>
      <c r="I61" s="6" t="s">
        <v>604</v>
      </c>
      <c r="J61" s="396" t="str">
        <f>'Intraverbal 6.0'!$BF$26</f>
        <v/>
      </c>
      <c r="K61" s="396" t="str">
        <f>'Intraverbal 6.0'!$BF$41</f>
        <v/>
      </c>
      <c r="L61" s="396" t="str">
        <f>'Intraverbal 6.0'!$BF$54</f>
        <v/>
      </c>
      <c r="M61" s="396" t="str">
        <f>'Intraverbal 6.0'!$BF$67</f>
        <v/>
      </c>
      <c r="N61" s="396" t="str">
        <f>'Intraverbal 6.0'!$BF$80</f>
        <v/>
      </c>
      <c r="O61" s="396" t="str">
        <f>'Intraverbal 6.0'!$BF$93</f>
        <v/>
      </c>
      <c r="P61" s="396" t="str">
        <f>'Intraverbal 6.0'!$BF$106</f>
        <v/>
      </c>
      <c r="Q61" s="396" t="str">
        <f>'Intraverbal 6.0'!$BF$119</f>
        <v/>
      </c>
    </row>
    <row r="62" ht="15.75" customHeight="1">
      <c r="A62" s="6" t="s">
        <v>606</v>
      </c>
      <c r="B62" s="6">
        <f>SUM('Barrier Grid'!J59:K66)/4</f>
        <v>0</v>
      </c>
      <c r="C62" s="6">
        <f>SUM('Barrier Grid'!T59:U66)/4</f>
        <v>0</v>
      </c>
      <c r="D62" s="6">
        <f>SUM('Barrier Grid'!AD59:AE66)/4</f>
        <v>0</v>
      </c>
      <c r="E62" s="6">
        <f>SUM('Barrier Grid'!AN59:AO66)/4</f>
        <v>0</v>
      </c>
      <c r="F62" s="6">
        <f>SUM('Barrier Grid'!AX59:AY66)/4</f>
        <v>0</v>
      </c>
      <c r="G62" s="6">
        <f>SUM('Barrier Grid'!BH59:BI66)/4</f>
        <v>0</v>
      </c>
      <c r="I62" s="6" t="s">
        <v>605</v>
      </c>
      <c r="J62" s="396" t="str">
        <f>'Intraverbal 6.0'!$BI$26</f>
        <v/>
      </c>
      <c r="K62" s="396" t="str">
        <f>'Intraverbal 6.0'!$BI$41</f>
        <v/>
      </c>
      <c r="L62" s="396" t="str">
        <f>'Intraverbal 6.0'!$BI$54</f>
        <v/>
      </c>
      <c r="M62" s="396" t="str">
        <f>'Intraverbal 6.0'!$BI$67</f>
        <v/>
      </c>
      <c r="N62" s="396" t="str">
        <f>'Intraverbal 6.0'!$BI$80</f>
        <v/>
      </c>
      <c r="O62" s="396" t="str">
        <f>'Intraverbal 6.0'!$BI$93</f>
        <v/>
      </c>
      <c r="P62" s="396" t="str">
        <f>'Intraverbal 6.0'!$BI$106</f>
        <v/>
      </c>
      <c r="Q62" s="396" t="str">
        <f>'Intraverbal 6.0'!$BI$119</f>
        <v/>
      </c>
    </row>
    <row r="63" ht="15.75" customHeight="1">
      <c r="I63" s="6" t="s">
        <v>606</v>
      </c>
      <c r="J63" s="407" t="str">
        <f>'Intraverbal 6.0'!$BL$26</f>
        <v/>
      </c>
      <c r="K63" s="407" t="str">
        <f>'Intraverbal 6.0'!$BL$41</f>
        <v/>
      </c>
      <c r="L63" s="407" t="str">
        <f>'Intraverbal 6.0'!$BL$54</f>
        <v/>
      </c>
      <c r="M63" s="407" t="str">
        <f>'Intraverbal 6.0'!$BL$67</f>
        <v/>
      </c>
      <c r="N63" s="407" t="str">
        <f>'Intraverbal 6.0'!$BL$80</f>
        <v/>
      </c>
      <c r="O63" s="407" t="str">
        <f>'Intraverbal 6.0'!$BL$93</f>
        <v/>
      </c>
      <c r="P63" s="407" t="str">
        <f>'Intraverbal 6.0'!$BL$106</f>
        <v/>
      </c>
      <c r="Q63" s="407" t="str">
        <f>'Intraverbal 6.0'!$BL$119</f>
        <v/>
      </c>
    </row>
    <row r="64" ht="15.75" customHeight="1">
      <c r="I64" s="6" t="s">
        <v>608</v>
      </c>
      <c r="J64" s="408" t="str">
        <f t="shared" ref="J64:Q64" si="51">IF(ISNUMBER(J63),J63,IF(ISNUMBER(J62),J62,IF(ISNUMBER(J61),J61,IF(ISNUMBER(J60),J60,""))))</f>
        <v/>
      </c>
      <c r="K64" s="409" t="str">
        <f t="shared" si="51"/>
        <v/>
      </c>
      <c r="L64" s="409" t="str">
        <f t="shared" si="51"/>
        <v/>
      </c>
      <c r="M64" s="409" t="str">
        <f t="shared" si="51"/>
        <v/>
      </c>
      <c r="N64" s="409" t="str">
        <f t="shared" si="51"/>
        <v/>
      </c>
      <c r="O64" s="409" t="str">
        <f t="shared" si="51"/>
        <v/>
      </c>
      <c r="P64" s="409" t="str">
        <f t="shared" si="51"/>
        <v/>
      </c>
      <c r="Q64" s="410" t="str">
        <f t="shared" si="51"/>
        <v/>
      </c>
    </row>
    <row r="65" ht="15.75" customHeight="1"/>
    <row r="66" ht="15.75" customHeight="1">
      <c r="A66" s="6" t="s">
        <v>609</v>
      </c>
    </row>
    <row r="67" ht="15.75" customHeight="1">
      <c r="A67" s="396" t="str">
        <f>'Milestones Grid'!H6</f>
        <v>TEST NAME- GOLF</v>
      </c>
      <c r="B67" s="396" t="str">
        <f>$O$2</f>
        <v> </v>
      </c>
      <c r="C67" s="396" t="str">
        <f>$O$3</f>
        <v> </v>
      </c>
      <c r="D67" s="396" t="str">
        <f>$O$4</f>
        <v> </v>
      </c>
      <c r="E67" s="396" t="str">
        <f>$O$5</f>
        <v> </v>
      </c>
      <c r="F67" s="396" t="str">
        <f>$O$6</f>
        <v> </v>
      </c>
      <c r="G67" s="396" t="str">
        <f>$O$7</f>
        <v> </v>
      </c>
      <c r="H67" s="396" t="str">
        <f>$O$8</f>
        <v> </v>
      </c>
      <c r="I67" s="396" t="str">
        <f>$O$9</f>
        <v> </v>
      </c>
      <c r="J67" s="396" t="str">
        <f>$O$10</f>
        <v> </v>
      </c>
      <c r="K67" s="396" t="str">
        <f>$O$11</f>
        <v> </v>
      </c>
      <c r="L67" s="396" t="str">
        <f>$O$12</f>
        <v> </v>
      </c>
      <c r="M67" s="396" t="str">
        <f>$O$13</f>
        <v> </v>
      </c>
      <c r="N67" s="396" t="str">
        <f>$O$14</f>
        <v> </v>
      </c>
      <c r="O67" s="396" t="str">
        <f>$O$15</f>
        <v> </v>
      </c>
      <c r="P67" s="396" t="str">
        <f>$O$16</f>
        <v> </v>
      </c>
      <c r="Q67" s="396" t="str">
        <f>$O$17</f>
        <v> </v>
      </c>
      <c r="R67" s="396" t="str">
        <f>$O$18</f>
        <v> </v>
      </c>
      <c r="S67" s="396" t="str">
        <f>$O$19</f>
        <v> </v>
      </c>
      <c r="T67" s="396" t="str">
        <f>$O$20</f>
        <v> </v>
      </c>
      <c r="U67" s="396" t="str">
        <f>$O$21</f>
        <v> </v>
      </c>
      <c r="V67" s="396" t="str">
        <f>$O$22</f>
        <v> </v>
      </c>
      <c r="W67" s="396" t="str">
        <f>$O$23</f>
        <v> </v>
      </c>
      <c r="X67" s="396" t="str">
        <f>$O$24</f>
        <v> </v>
      </c>
      <c r="Y67" s="396" t="str">
        <f>$O$25</f>
        <v> </v>
      </c>
      <c r="Z67" s="396" t="str">
        <f>$O$26</f>
        <v> </v>
      </c>
      <c r="AA67" s="396" t="str">
        <f>$O$27</f>
        <v> </v>
      </c>
      <c r="AB67" s="396" t="str">
        <f>$O$28</f>
        <v> </v>
      </c>
      <c r="AC67" s="396" t="str">
        <f>$O$29</f>
        <v> </v>
      </c>
      <c r="AD67" s="396" t="str">
        <f>$O$30</f>
        <v> </v>
      </c>
      <c r="AE67" s="396" t="str">
        <f>$O$31</f>
        <v> </v>
      </c>
      <c r="AF67" s="396" t="str">
        <f>$P$2</f>
        <v> </v>
      </c>
      <c r="AG67" s="396" t="str">
        <f>$P$3</f>
        <v> </v>
      </c>
      <c r="AH67" s="396" t="str">
        <f>$P$4</f>
        <v> </v>
      </c>
      <c r="AI67" s="396" t="str">
        <f>$P$5</f>
        <v> </v>
      </c>
      <c r="AJ67" s="396" t="str">
        <f>$P$6</f>
        <v> </v>
      </c>
      <c r="AK67" s="396" t="str">
        <f>$P$7</f>
        <v> </v>
      </c>
      <c r="AL67" s="396" t="str">
        <f>$P$8</f>
        <v> </v>
      </c>
      <c r="AM67" s="396" t="str">
        <f>$P$9</f>
        <v> </v>
      </c>
      <c r="AN67" s="396" t="str">
        <f>$P$10</f>
        <v> </v>
      </c>
      <c r="AO67" s="396" t="str">
        <f>$P$11</f>
        <v> </v>
      </c>
      <c r="AP67" s="396" t="str">
        <f>$P$12</f>
        <v> </v>
      </c>
      <c r="AQ67" s="396" t="str">
        <f>$P$13</f>
        <v> </v>
      </c>
      <c r="AR67" s="396" t="str">
        <f>$P$14</f>
        <v> </v>
      </c>
      <c r="AS67" s="396" t="str">
        <f>$P$15</f>
        <v> </v>
      </c>
      <c r="AT67" s="396" t="str">
        <f>$P$16</f>
        <v> </v>
      </c>
      <c r="AU67" s="396" t="str">
        <f>$P$17</f>
        <v> </v>
      </c>
      <c r="AV67" s="396" t="str">
        <f>$P$18</f>
        <v> </v>
      </c>
      <c r="AW67" s="396" t="str">
        <f>$P$19</f>
        <v> </v>
      </c>
      <c r="AX67" s="396" t="str">
        <f>$P$20</f>
        <v> </v>
      </c>
      <c r="AY67" s="396" t="str">
        <f>$P$21</f>
        <v> </v>
      </c>
      <c r="AZ67" s="396" t="str">
        <f>$P$22</f>
        <v> </v>
      </c>
      <c r="BA67" s="396" t="str">
        <f>$P$23</f>
        <v> </v>
      </c>
      <c r="BB67" s="396" t="str">
        <f>$P$24</f>
        <v> </v>
      </c>
      <c r="BC67" s="396" t="str">
        <f>$P$25</f>
        <v> </v>
      </c>
      <c r="BD67" s="396" t="str">
        <f>$P$26</f>
        <v> </v>
      </c>
      <c r="BE67" s="396" t="str">
        <f>$P$27</f>
        <v> </v>
      </c>
      <c r="BF67" s="396" t="str">
        <f>$P$28</f>
        <v> </v>
      </c>
      <c r="BG67" s="396" t="str">
        <f>$P$29</f>
        <v> </v>
      </c>
      <c r="BH67" s="396" t="str">
        <f>$P$30</f>
        <v> </v>
      </c>
      <c r="BI67" s="396" t="str">
        <f>$P$31</f>
        <v> </v>
      </c>
      <c r="BJ67" s="396" t="str">
        <f>$Q$2</f>
        <v> </v>
      </c>
      <c r="BK67" s="396" t="str">
        <f>$Q$3</f>
        <v> </v>
      </c>
      <c r="BL67" s="396" t="str">
        <f>$Q$4</f>
        <v> </v>
      </c>
      <c r="BM67" s="396" t="str">
        <f>$Q$5</f>
        <v> </v>
      </c>
      <c r="BN67" s="396" t="str">
        <f>$Q$6</f>
        <v> </v>
      </c>
      <c r="BO67" s="396" t="str">
        <f>$Q$7</f>
        <v> </v>
      </c>
      <c r="BP67" s="396" t="str">
        <f>$Q$8</f>
        <v> </v>
      </c>
      <c r="BQ67" s="396" t="str">
        <f>$Q$9</f>
        <v> </v>
      </c>
      <c r="BR67" s="396" t="str">
        <f>$Q$10</f>
        <v> </v>
      </c>
      <c r="BS67" s="396" t="str">
        <f>$Q$11</f>
        <v> </v>
      </c>
      <c r="BT67" s="396" t="str">
        <f>$Q$12</f>
        <v> </v>
      </c>
      <c r="BU67" s="396" t="str">
        <f>$Q$13</f>
        <v> </v>
      </c>
      <c r="BV67" s="396" t="str">
        <f>$Q$14</f>
        <v> </v>
      </c>
      <c r="BW67" s="396" t="str">
        <f>$Q$15</f>
        <v> </v>
      </c>
      <c r="BX67" s="396" t="str">
        <f>$Q$16</f>
        <v> </v>
      </c>
      <c r="BY67" s="396" t="str">
        <f>$Q$17</f>
        <v> </v>
      </c>
      <c r="BZ67" s="396" t="str">
        <f>$Q$18</f>
        <v> </v>
      </c>
      <c r="CA67" s="396" t="str">
        <f>$Q$19</f>
        <v> </v>
      </c>
      <c r="CB67" s="396" t="str">
        <f>$Q$20</f>
        <v> </v>
      </c>
      <c r="CC67" s="396" t="str">
        <f>$Q$21</f>
        <v> </v>
      </c>
      <c r="CD67" s="396" t="str">
        <f>$Q$22</f>
        <v> </v>
      </c>
      <c r="CE67" s="396" t="str">
        <f>$Q$23</f>
        <v> </v>
      </c>
      <c r="CF67" s="396" t="str">
        <f>$Q$24</f>
        <v> </v>
      </c>
      <c r="CG67" s="396" t="str">
        <f>$Q$25</f>
        <v> </v>
      </c>
      <c r="CH67" s="396" t="str">
        <f>$Q$26</f>
        <v> </v>
      </c>
      <c r="CI67" s="396" t="str">
        <f>$Q$27</f>
        <v> </v>
      </c>
      <c r="CJ67" s="396" t="str">
        <f>$Q$28</f>
        <v> </v>
      </c>
      <c r="CK67" s="396" t="str">
        <f>$Q$29</f>
        <v> </v>
      </c>
      <c r="CL67" s="396" t="str">
        <f>$Q$30</f>
        <v> </v>
      </c>
      <c r="CM67" s="396">
        <f>$Q$31</f>
        <v>0.5</v>
      </c>
      <c r="CN67" s="396" t="str">
        <f>$R$2</f>
        <v> </v>
      </c>
      <c r="CO67" s="396" t="str">
        <f>$R$3</f>
        <v> </v>
      </c>
      <c r="CP67" s="396" t="str">
        <f>$R$4</f>
        <v> </v>
      </c>
      <c r="CQ67" s="396" t="str">
        <f>$R$5</f>
        <v> </v>
      </c>
      <c r="CR67" s="396" t="str">
        <f>$R$6</f>
        <v> </v>
      </c>
      <c r="CS67" s="396" t="str">
        <f>$R$7</f>
        <v> </v>
      </c>
      <c r="CT67" s="396" t="str">
        <f>$R$8</f>
        <v> </v>
      </c>
      <c r="CU67" s="396" t="str">
        <f>$R$9</f>
        <v> </v>
      </c>
      <c r="CV67" s="396" t="str">
        <f>$R$10</f>
        <v> </v>
      </c>
      <c r="CW67" s="396" t="str">
        <f>$R$11</f>
        <v> </v>
      </c>
      <c r="CX67" s="396" t="str">
        <f>$R$12</f>
        <v> </v>
      </c>
      <c r="CY67" s="396" t="str">
        <f>$R$13</f>
        <v> </v>
      </c>
      <c r="CZ67" s="396" t="str">
        <f>$R$14</f>
        <v> </v>
      </c>
      <c r="DA67" s="396" t="str">
        <f>$R$15</f>
        <v> </v>
      </c>
      <c r="DB67" s="396" t="str">
        <f>$R$16</f>
        <v> </v>
      </c>
      <c r="DC67" s="396" t="str">
        <f>$R$17</f>
        <v> </v>
      </c>
      <c r="DD67" s="396" t="str">
        <f>$R$18</f>
        <v> </v>
      </c>
      <c r="DE67" s="396" t="str">
        <f>$R$19</f>
        <v> </v>
      </c>
      <c r="DF67" s="396" t="str">
        <f>$R$20</f>
        <v> </v>
      </c>
      <c r="DG67" s="396" t="str">
        <f>$R$21</f>
        <v> </v>
      </c>
      <c r="DH67" s="396" t="str">
        <f>$R$22</f>
        <v> </v>
      </c>
      <c r="DI67" s="396" t="str">
        <f>$R$23</f>
        <v> </v>
      </c>
      <c r="DJ67" s="396" t="str">
        <f>$R$24</f>
        <v> </v>
      </c>
      <c r="DK67" s="396">
        <f>$R$25</f>
        <v>0.5</v>
      </c>
      <c r="DL67" s="396" t="str">
        <f>$R$26</f>
        <v> </v>
      </c>
      <c r="DM67" s="396" t="str">
        <f>$R$27</f>
        <v> </v>
      </c>
      <c r="DN67" s="396">
        <f>$R$28</f>
        <v>0.5</v>
      </c>
      <c r="DO67" s="396">
        <f>$R$29</f>
        <v>0.5</v>
      </c>
      <c r="DP67" s="396">
        <f>$R$30</f>
        <v>0.5</v>
      </c>
      <c r="DQ67" s="396">
        <f>$R$31</f>
        <v>0.5</v>
      </c>
      <c r="DR67" s="396" t="str">
        <f>$S$2</f>
        <v> </v>
      </c>
      <c r="DS67" s="396" t="str">
        <f>$S$3</f>
        <v> </v>
      </c>
      <c r="DT67" s="396" t="str">
        <f>$S$4</f>
        <v> </v>
      </c>
      <c r="DU67" s="396" t="str">
        <f>$S$5</f>
        <v> </v>
      </c>
      <c r="DV67" s="396" t="str">
        <f>$S$6</f>
        <v> </v>
      </c>
      <c r="DW67" s="396" t="str">
        <f>$S$7</f>
        <v> </v>
      </c>
      <c r="DX67" s="396" t="str">
        <f>$S$8</f>
        <v> </v>
      </c>
      <c r="DY67" s="396" t="str">
        <f>$S$9</f>
        <v> </v>
      </c>
      <c r="DZ67" s="396" t="str">
        <f>$S$10</f>
        <v> </v>
      </c>
      <c r="EA67" s="396" t="str">
        <f>$S$11</f>
        <v> </v>
      </c>
      <c r="EB67" s="396" t="str">
        <f>$S$12</f>
        <v> </v>
      </c>
      <c r="EC67" s="396" t="str">
        <f>$S$13</f>
        <v> </v>
      </c>
      <c r="ED67" s="396" t="str">
        <f>$S$14</f>
        <v> </v>
      </c>
      <c r="EE67" s="396" t="str">
        <f>$S$15</f>
        <v> </v>
      </c>
      <c r="EF67" s="396" t="str">
        <f>$S$16</f>
        <v> </v>
      </c>
      <c r="EG67" s="396" t="str">
        <f>$S$17</f>
        <v> </v>
      </c>
      <c r="EH67" s="396" t="str">
        <f>$S$18</f>
        <v> </v>
      </c>
      <c r="EI67" s="396" t="str">
        <f>$S$19</f>
        <v> </v>
      </c>
      <c r="EJ67" s="396" t="str">
        <f>$S$20</f>
        <v> </v>
      </c>
      <c r="EK67" s="396" t="str">
        <f>$S$21</f>
        <v> </v>
      </c>
      <c r="EL67" s="396" t="str">
        <f>$S$22</f>
        <v> </v>
      </c>
      <c r="EM67" s="396" t="str">
        <f>$S$23</f>
        <v> </v>
      </c>
      <c r="EN67" s="396">
        <f>$S$24</f>
        <v>0.5</v>
      </c>
      <c r="EO67" s="396">
        <f>$S$25</f>
        <v>0.5</v>
      </c>
      <c r="EP67" s="396" t="str">
        <f>$S$26</f>
        <v> </v>
      </c>
      <c r="EQ67" s="396" t="str">
        <f>$S$27</f>
        <v> </v>
      </c>
      <c r="ER67" s="396" t="str">
        <f>$S$28</f>
        <v> </v>
      </c>
      <c r="ES67" s="396" t="str">
        <f>$S$29</f>
        <v> </v>
      </c>
      <c r="ET67" s="396" t="str">
        <f>$S$30</f>
        <v> </v>
      </c>
      <c r="EU67" s="396">
        <f>$S$31</f>
        <v>0.5</v>
      </c>
      <c r="EV67" s="396" t="str">
        <f>$T$2</f>
        <v> </v>
      </c>
      <c r="EW67" s="396" t="str">
        <f>$T$3</f>
        <v> </v>
      </c>
      <c r="EX67" s="396" t="str">
        <f>$T$4</f>
        <v> </v>
      </c>
      <c r="EY67" s="396" t="str">
        <f>$T$5</f>
        <v> </v>
      </c>
      <c r="EZ67" s="396" t="str">
        <f>$T$6</f>
        <v> </v>
      </c>
      <c r="FA67" s="396" t="str">
        <f>$T$7</f>
        <v> </v>
      </c>
      <c r="FB67" s="396" t="str">
        <f>$T$8</f>
        <v> </v>
      </c>
      <c r="FC67" s="396" t="str">
        <f>$T$9</f>
        <v> </v>
      </c>
      <c r="FD67" s="396" t="str">
        <f>$T$10</f>
        <v> </v>
      </c>
      <c r="FE67" s="396" t="str">
        <f>$T$11</f>
        <v> </v>
      </c>
      <c r="FF67" s="396" t="str">
        <f>$T$12</f>
        <v> </v>
      </c>
      <c r="FG67" s="396" t="str">
        <f>$T$13</f>
        <v> </v>
      </c>
      <c r="FH67" s="396" t="str">
        <f>$T$14</f>
        <v> </v>
      </c>
      <c r="FI67" s="396" t="str">
        <f>$T$15</f>
        <v> </v>
      </c>
      <c r="FJ67" s="396" t="str">
        <f>$T$16</f>
        <v> </v>
      </c>
      <c r="FK67" s="396" t="str">
        <f>$T$17</f>
        <v> </v>
      </c>
      <c r="FL67" s="396" t="str">
        <f>$T$18</f>
        <v> </v>
      </c>
      <c r="FM67" s="396" t="str">
        <f>$T$19</f>
        <v> </v>
      </c>
      <c r="FN67" s="396" t="str">
        <f>$T$20</f>
        <v> </v>
      </c>
      <c r="FO67" s="396" t="str">
        <f>$T$21</f>
        <v> </v>
      </c>
      <c r="FP67" s="396" t="str">
        <f>$T$22</f>
        <v> </v>
      </c>
      <c r="FQ67" s="396" t="str">
        <f>$T$23</f>
        <v> </v>
      </c>
      <c r="FR67" s="396" t="str">
        <f>$T$24</f>
        <v> </v>
      </c>
      <c r="FS67" s="396" t="str">
        <f>$T$25</f>
        <v> </v>
      </c>
      <c r="FT67" s="396" t="str">
        <f>$T$26</f>
        <v> </v>
      </c>
      <c r="FU67" s="396" t="str">
        <f>$T$27</f>
        <v> </v>
      </c>
      <c r="FV67" s="396">
        <f>$T$28</f>
        <v>0.5</v>
      </c>
      <c r="FW67" s="396">
        <f>$T$29</f>
        <v>0.5</v>
      </c>
      <c r="FX67" s="396">
        <f>$T$30</f>
        <v>0.5</v>
      </c>
      <c r="FY67" s="396">
        <f>$T$31</f>
        <v>0.5</v>
      </c>
      <c r="FZ67" s="396" t="str">
        <f>$U$2</f>
        <v> </v>
      </c>
      <c r="GA67" s="396" t="str">
        <f>$U$3</f>
        <v> </v>
      </c>
      <c r="GB67" s="396" t="str">
        <f>$U$4</f>
        <v> </v>
      </c>
      <c r="GC67" s="396" t="str">
        <f>$U$5</f>
        <v> </v>
      </c>
      <c r="GD67" s="396" t="str">
        <f>$U$6</f>
        <v> </v>
      </c>
      <c r="GE67" s="396" t="str">
        <f>$U$7</f>
        <v> </v>
      </c>
      <c r="GF67" s="396" t="str">
        <f>$U$8</f>
        <v> </v>
      </c>
      <c r="GG67" s="396" t="str">
        <f>$U$9</f>
        <v> </v>
      </c>
      <c r="GH67" s="396" t="str">
        <f>$U$10</f>
        <v> </v>
      </c>
      <c r="GI67" s="396" t="str">
        <f>$U$11</f>
        <v> </v>
      </c>
      <c r="GJ67" s="396" t="str">
        <f>$U$12</f>
        <v> </v>
      </c>
      <c r="GK67" s="396" t="str">
        <f>$U$13</f>
        <v> </v>
      </c>
      <c r="GL67" s="396" t="str">
        <f>$U$14</f>
        <v> </v>
      </c>
      <c r="GM67" s="396" t="str">
        <f>$U$15</f>
        <v> </v>
      </c>
      <c r="GN67" s="396" t="str">
        <f>$U$16</f>
        <v> </v>
      </c>
      <c r="GO67" s="396" t="str">
        <f>$U$17</f>
        <v> </v>
      </c>
      <c r="GP67" s="396" t="str">
        <f>$U$18</f>
        <v> </v>
      </c>
      <c r="GQ67" s="396" t="str">
        <f>$U$19</f>
        <v> </v>
      </c>
      <c r="GR67" s="396" t="str">
        <f>$U$20</f>
        <v> </v>
      </c>
      <c r="GS67" s="396" t="str">
        <f>$U$21</f>
        <v> </v>
      </c>
      <c r="GT67" s="396" t="str">
        <f>$U$22</f>
        <v> </v>
      </c>
      <c r="GU67" s="396" t="str">
        <f>$U$23</f>
        <v> </v>
      </c>
      <c r="GV67" s="396" t="str">
        <f>$U$24</f>
        <v> </v>
      </c>
      <c r="GW67" s="396" t="str">
        <f>$U$25</f>
        <v> </v>
      </c>
      <c r="GX67" s="396" t="str">
        <f>$U$26</f>
        <v> </v>
      </c>
      <c r="GY67" s="396" t="str">
        <f>$U$27</f>
        <v> </v>
      </c>
      <c r="GZ67" s="396" t="str">
        <f>$U$28</f>
        <v> </v>
      </c>
      <c r="HA67" s="396" t="str">
        <f>$U$29</f>
        <v> </v>
      </c>
      <c r="HB67" s="396" t="str">
        <f>$U$30</f>
        <v> </v>
      </c>
      <c r="HC67" s="396" t="str">
        <f>$U$31</f>
        <v> </v>
      </c>
      <c r="HD67" s="396" t="str">
        <f>$V$2</f>
        <v> </v>
      </c>
      <c r="HE67" s="396" t="str">
        <f>$V$3</f>
        <v> </v>
      </c>
      <c r="HF67" s="396" t="str">
        <f>$V$4</f>
        <v> </v>
      </c>
      <c r="HG67" s="396" t="str">
        <f>$V$5</f>
        <v> </v>
      </c>
      <c r="HH67" s="396" t="str">
        <f>$V$6</f>
        <v> </v>
      </c>
      <c r="HI67" s="396" t="str">
        <f>$V$7</f>
        <v> </v>
      </c>
      <c r="HJ67" s="396" t="str">
        <f>$V$8</f>
        <v> </v>
      </c>
      <c r="HK67" s="396" t="str">
        <f>$V$9</f>
        <v> </v>
      </c>
      <c r="HL67" s="396" t="str">
        <f>$V$10</f>
        <v> </v>
      </c>
      <c r="HM67" s="396" t="str">
        <f>$V$11</f>
        <v> </v>
      </c>
      <c r="HN67" s="396" t="str">
        <f>$V$12</f>
        <v> </v>
      </c>
      <c r="HO67" s="396" t="str">
        <f>$V$13</f>
        <v> </v>
      </c>
      <c r="HP67" s="396" t="str">
        <f>$V$14</f>
        <v> </v>
      </c>
      <c r="HQ67" s="396" t="str">
        <f>$V$15</f>
        <v> </v>
      </c>
      <c r="HR67" s="396" t="str">
        <f>$V$16</f>
        <v> </v>
      </c>
      <c r="HS67" s="396" t="str">
        <f>$V$17</f>
        <v> </v>
      </c>
      <c r="HT67" s="396" t="str">
        <f>$V$18</f>
        <v> </v>
      </c>
      <c r="HU67" s="396" t="str">
        <f>$V$19</f>
        <v> </v>
      </c>
      <c r="HV67" s="396" t="str">
        <f>$V$20</f>
        <v> </v>
      </c>
      <c r="HW67" s="396" t="str">
        <f>$V$21</f>
        <v> </v>
      </c>
      <c r="HX67" s="396" t="str">
        <f>$V$22</f>
        <v> </v>
      </c>
      <c r="HY67" s="396" t="str">
        <f>$V$23</f>
        <v> </v>
      </c>
      <c r="HZ67" s="396" t="str">
        <f>$V$24</f>
        <v> </v>
      </c>
      <c r="IA67" s="396" t="str">
        <f>$V$25</f>
        <v> </v>
      </c>
      <c r="IB67" s="396" t="str">
        <f>$V$26</f>
        <v> </v>
      </c>
      <c r="IC67" s="396" t="str">
        <f>$V$27</f>
        <v> </v>
      </c>
      <c r="ID67" s="396" t="str">
        <f>$V$28</f>
        <v> </v>
      </c>
      <c r="IE67" s="396" t="str">
        <f>$V$29</f>
        <v> </v>
      </c>
      <c r="IF67" s="396" t="str">
        <f>$V$30</f>
        <v> </v>
      </c>
      <c r="IG67" s="396" t="str">
        <f>$V$31</f>
        <v> </v>
      </c>
      <c r="IH67" s="396" t="str">
        <f>$W$2</f>
        <v> </v>
      </c>
      <c r="II67" s="396" t="str">
        <f>$W$3</f>
        <v> </v>
      </c>
      <c r="IJ67" s="396" t="str">
        <f>$W$4</f>
        <v> </v>
      </c>
      <c r="IK67" s="396" t="str">
        <f>$W$5</f>
        <v> </v>
      </c>
      <c r="IL67" s="396" t="str">
        <f>$W$6</f>
        <v> </v>
      </c>
      <c r="IM67" s="396" t="str">
        <f>$W$7</f>
        <v> </v>
      </c>
      <c r="IN67" s="396" t="str">
        <f>$W$8</f>
        <v> </v>
      </c>
      <c r="IO67" s="396" t="str">
        <f>$W$9</f>
        <v> </v>
      </c>
      <c r="IP67" s="396" t="str">
        <f>$W$10</f>
        <v> </v>
      </c>
      <c r="IQ67" s="396" t="str">
        <f>$W$11</f>
        <v> </v>
      </c>
      <c r="IR67" s="396" t="str">
        <f>$W$12</f>
        <v> </v>
      </c>
      <c r="IS67" s="396" t="str">
        <f>$W$13</f>
        <v> </v>
      </c>
      <c r="IT67" s="396" t="str">
        <f>$W$14</f>
        <v> </v>
      </c>
      <c r="IU67" s="396" t="str">
        <f>$W$15</f>
        <v> </v>
      </c>
      <c r="IV67" s="396" t="str">
        <f>$W$16</f>
        <v> </v>
      </c>
      <c r="IW67" s="396" t="str">
        <f>$W$17</f>
        <v> </v>
      </c>
      <c r="IX67" s="396" t="str">
        <f>$W$18</f>
        <v> </v>
      </c>
      <c r="IY67" s="396" t="str">
        <f>$W$19</f>
        <v> </v>
      </c>
      <c r="IZ67" s="396" t="str">
        <f>$W$20</f>
        <v> </v>
      </c>
      <c r="JA67" s="396" t="str">
        <f>$W$21</f>
        <v> </v>
      </c>
      <c r="JB67" s="396" t="str">
        <f>$W$22</f>
        <v> </v>
      </c>
      <c r="JC67" s="396" t="str">
        <f>$W$23</f>
        <v> </v>
      </c>
      <c r="JD67" s="396" t="str">
        <f>$W$24</f>
        <v> </v>
      </c>
      <c r="JE67" s="396" t="str">
        <f>$W$25</f>
        <v> </v>
      </c>
      <c r="JF67" s="396" t="str">
        <f>$W$26</f>
        <v> </v>
      </c>
      <c r="JG67" s="396" t="str">
        <f>$W$27</f>
        <v> </v>
      </c>
      <c r="JH67" s="396" t="str">
        <f>$W$28</f>
        <v> </v>
      </c>
      <c r="JI67" s="396" t="str">
        <f>$W$29</f>
        <v> </v>
      </c>
      <c r="JJ67" s="396" t="str">
        <f>$W$30</f>
        <v> </v>
      </c>
      <c r="JK67" s="396" t="str">
        <f>$W$31</f>
        <v> </v>
      </c>
      <c r="JL67" s="396" t="str">
        <f>$X$2</f>
        <v> </v>
      </c>
      <c r="JM67" s="396" t="str">
        <f>$X$3</f>
        <v> </v>
      </c>
      <c r="JN67" s="396" t="str">
        <f>$X$4</f>
        <v> </v>
      </c>
      <c r="JO67" s="396" t="str">
        <f>$X$5</f>
        <v> </v>
      </c>
      <c r="JP67" s="396" t="str">
        <f>$X$6</f>
        <v> </v>
      </c>
      <c r="JQ67" s="396" t="str">
        <f>$X$7</f>
        <v> </v>
      </c>
      <c r="JR67" s="396" t="str">
        <f>$X$8</f>
        <v> </v>
      </c>
      <c r="JS67" s="396" t="str">
        <f>$X$9</f>
        <v> </v>
      </c>
      <c r="JT67" s="396" t="str">
        <f>$X$10</f>
        <v> </v>
      </c>
      <c r="JU67" s="396" t="str">
        <f>$X$11</f>
        <v> </v>
      </c>
      <c r="JV67" s="396" t="str">
        <f>$X$12</f>
        <v> </v>
      </c>
      <c r="JW67" s="396" t="str">
        <f>$X$13</f>
        <v> </v>
      </c>
      <c r="JX67" s="396" t="str">
        <f>$X$14</f>
        <v> </v>
      </c>
      <c r="JY67" s="396" t="str">
        <f>$X$15</f>
        <v> </v>
      </c>
      <c r="JZ67" s="396" t="str">
        <f>$X$16</f>
        <v> </v>
      </c>
      <c r="KA67" s="396" t="str">
        <f>$X$17</f>
        <v> </v>
      </c>
      <c r="KB67" s="396" t="str">
        <f>$X$18</f>
        <v> </v>
      </c>
      <c r="KC67" s="396" t="str">
        <f>$X$19</f>
        <v> </v>
      </c>
      <c r="KD67" s="396" t="str">
        <f>$X$20</f>
        <v> </v>
      </c>
      <c r="KE67" s="396" t="str">
        <f>$X$21</f>
        <v> </v>
      </c>
      <c r="KF67" s="396" t="str">
        <f>$Y$2</f>
        <v> </v>
      </c>
      <c r="KG67" s="396" t="str">
        <f>$Y$3</f>
        <v> </v>
      </c>
      <c r="KH67" s="396" t="str">
        <f>$Y$4</f>
        <v> </v>
      </c>
      <c r="KI67" s="396" t="str">
        <f>$Y$5</f>
        <v> </v>
      </c>
      <c r="KJ67" s="396" t="str">
        <f>$Y$6</f>
        <v> </v>
      </c>
      <c r="KK67" s="396" t="str">
        <f>$Y$7</f>
        <v> </v>
      </c>
      <c r="KL67" s="396" t="str">
        <f>$Y$8</f>
        <v> </v>
      </c>
      <c r="KM67" s="396" t="str">
        <f>$Y$9</f>
        <v> </v>
      </c>
      <c r="KN67" s="396" t="str">
        <f>$Y$10</f>
        <v> </v>
      </c>
      <c r="KO67" s="396" t="str">
        <f>$Y$11</f>
        <v> </v>
      </c>
      <c r="KP67" s="396" t="str">
        <f>$Y$12</f>
        <v> </v>
      </c>
      <c r="KQ67" s="396" t="str">
        <f>$Y$13</f>
        <v> </v>
      </c>
      <c r="KR67" s="396" t="str">
        <f>$Y$14</f>
        <v> </v>
      </c>
      <c r="KS67" s="396" t="str">
        <f>$Y$15</f>
        <v> </v>
      </c>
      <c r="KT67" s="396" t="str">
        <f>$Y$16</f>
        <v> </v>
      </c>
      <c r="KU67" s="396" t="str">
        <f>$Y$17</f>
        <v> </v>
      </c>
      <c r="KV67" s="396" t="str">
        <f>$Y$18</f>
        <v> </v>
      </c>
      <c r="KW67" s="396" t="str">
        <f>$Y$19</f>
        <v> </v>
      </c>
      <c r="KX67" s="396" t="str">
        <f>$Y$20</f>
        <v> </v>
      </c>
      <c r="KY67" s="396" t="str">
        <f>$Y$21</f>
        <v> </v>
      </c>
      <c r="KZ67" s="396" t="str">
        <f>$Z$2</f>
        <v> </v>
      </c>
      <c r="LA67" s="396" t="str">
        <f>$Z$3</f>
        <v> </v>
      </c>
      <c r="LB67" s="396" t="str">
        <f>$Z$4</f>
        <v> </v>
      </c>
      <c r="LC67" s="396" t="str">
        <f>$Z$5</f>
        <v> </v>
      </c>
      <c r="LD67" s="396" t="str">
        <f>$Z$6</f>
        <v> </v>
      </c>
      <c r="LE67" s="396" t="str">
        <f>$Z$7</f>
        <v> </v>
      </c>
      <c r="LF67" s="396" t="str">
        <f>$Z$8</f>
        <v> </v>
      </c>
      <c r="LG67" s="396" t="str">
        <f>$Z$9</f>
        <v> </v>
      </c>
      <c r="LH67" s="396" t="str">
        <f>$Z$10</f>
        <v> </v>
      </c>
      <c r="LI67" s="396" t="str">
        <f>$Z$11</f>
        <v> </v>
      </c>
      <c r="LJ67" s="396" t="str">
        <f>$Z$12</f>
        <v> </v>
      </c>
      <c r="LK67" s="396" t="str">
        <f>$Z$13</f>
        <v> </v>
      </c>
      <c r="LL67" s="396" t="str">
        <f>$Z$14</f>
        <v> </v>
      </c>
      <c r="LM67" s="396" t="str">
        <f>$Z$15</f>
        <v> </v>
      </c>
      <c r="LN67" s="396" t="str">
        <f>$Z$16</f>
        <v> </v>
      </c>
      <c r="LO67" s="396" t="str">
        <f>$Z$17</f>
        <v> </v>
      </c>
      <c r="LP67" s="396" t="str">
        <f>$Z$18</f>
        <v> </v>
      </c>
      <c r="LQ67" s="396" t="str">
        <f>$Z$19</f>
        <v> </v>
      </c>
      <c r="LR67" s="396" t="str">
        <f>$Z$20</f>
        <v> </v>
      </c>
      <c r="LS67" s="396" t="str">
        <f>$Z$21</f>
        <v> </v>
      </c>
      <c r="LT67" s="396" t="str">
        <f>$AA$2</f>
        <v> </v>
      </c>
      <c r="LU67" s="396" t="str">
        <f>$AA$3</f>
        <v> </v>
      </c>
      <c r="LV67" s="396" t="str">
        <f>$AA$4</f>
        <v> </v>
      </c>
      <c r="LW67" s="396" t="str">
        <f>$AA$5</f>
        <v> </v>
      </c>
      <c r="LX67" s="396" t="str">
        <f>$AA$6</f>
        <v> </v>
      </c>
      <c r="LY67" s="396" t="str">
        <f>$AA$7</f>
        <v> </v>
      </c>
      <c r="LZ67" s="396" t="str">
        <f>$AA$8</f>
        <v> </v>
      </c>
      <c r="MA67" s="396" t="str">
        <f>$AA$9</f>
        <v> </v>
      </c>
      <c r="MB67" s="396" t="str">
        <f>$AA$10</f>
        <v> </v>
      </c>
      <c r="MC67" s="396" t="str">
        <f>$AA$11</f>
        <v> </v>
      </c>
      <c r="MD67" s="396">
        <f>'Barrier Grid'!L13</f>
        <v>0</v>
      </c>
      <c r="ME67" s="396">
        <f>'Barrier Grid'!V13</f>
        <v>0</v>
      </c>
      <c r="MF67" s="396">
        <f>'Barrier Grid'!AF13</f>
        <v>0</v>
      </c>
      <c r="MG67" s="396">
        <f>'Barrier Grid'!AP13</f>
        <v>0</v>
      </c>
      <c r="MH67" s="396">
        <f>'Barrier Grid'!AZ13</f>
        <v>0</v>
      </c>
      <c r="MI67" s="396">
        <f>'Barrier Grid'!BJ13</f>
        <v>0</v>
      </c>
      <c r="MJ67" s="396">
        <f>'Barrier Grid'!L28</f>
        <v>0</v>
      </c>
      <c r="MK67" s="396">
        <f>'Barrier Grid'!V28</f>
        <v>0</v>
      </c>
      <c r="ML67" s="396">
        <f>'Barrier Grid'!AF28</f>
        <v>0</v>
      </c>
      <c r="MM67" s="396">
        <f>'Barrier Grid'!AP28</f>
        <v>0</v>
      </c>
      <c r="MN67" s="396">
        <f>'Barrier Grid'!AZ28</f>
        <v>0</v>
      </c>
      <c r="MO67" s="396">
        <f>'Barrier Grid'!BJ28</f>
        <v>0</v>
      </c>
      <c r="MP67" s="396">
        <f>'Barrier Grid'!L43</f>
        <v>0</v>
      </c>
      <c r="MQ67" s="396">
        <f>'Barrier Grid'!V43</f>
        <v>0</v>
      </c>
      <c r="MR67" s="396">
        <f>'Barrier Grid'!AF43</f>
        <v>0</v>
      </c>
      <c r="MS67" s="396">
        <f>'Barrier Grid'!AP43</f>
        <v>0</v>
      </c>
      <c r="MT67" s="396">
        <f>'Barrier Grid'!AZ43</f>
        <v>0</v>
      </c>
      <c r="MU67" s="396">
        <f>'Barrier Grid'!BJ43</f>
        <v>0</v>
      </c>
      <c r="MV67" s="396">
        <f>'Barrier Grid'!L58</f>
        <v>0</v>
      </c>
      <c r="MW67" s="396">
        <f>'Barrier Grid'!V58</f>
        <v>0</v>
      </c>
      <c r="MX67" s="396">
        <f>'Barrier Grid'!AF58</f>
        <v>0</v>
      </c>
      <c r="MY67" s="396">
        <f>'Barrier Grid'!AP58</f>
        <v>0</v>
      </c>
      <c r="MZ67" s="396">
        <f>'Barrier Grid'!AZ58</f>
        <v>0</v>
      </c>
      <c r="NA67" s="396">
        <f>'Barrier Grid'!BJ58</f>
        <v>0</v>
      </c>
      <c r="NB67" s="396">
        <f>'Transition Grid'!L13</f>
        <v>0</v>
      </c>
      <c r="NC67" s="396">
        <f>'Transition Grid'!V13</f>
        <v>5</v>
      </c>
      <c r="ND67" s="396">
        <f>'Transition Grid'!AF13</f>
        <v>5</v>
      </c>
      <c r="NE67" s="396">
        <f>'Transition Grid'!AP13</f>
        <v>0</v>
      </c>
      <c r="NF67" s="396">
        <f>'Transition Grid'!AZ13</f>
        <v>1</v>
      </c>
      <c r="NG67" s="396">
        <f>'Transition Grid'!BJ13</f>
        <v>0</v>
      </c>
      <c r="NH67" s="396">
        <f>'Transition Grid'!L29</f>
        <v>0</v>
      </c>
      <c r="NI67" s="396">
        <f>'Transition Grid'!V29</f>
        <v>0</v>
      </c>
      <c r="NJ67" s="396">
        <f>'Transition Grid'!AF29</f>
        <v>0</v>
      </c>
      <c r="NK67" s="396">
        <f>'Transition Grid'!AP29</f>
        <v>0</v>
      </c>
      <c r="NL67" s="396">
        <f>'Transition Grid'!AZ29</f>
        <v>0</v>
      </c>
      <c r="NM67" s="396">
        <f>'Transition Grid'!BJ29</f>
        <v>0</v>
      </c>
      <c r="NN67" s="396">
        <f>'Transition Grid'!L45</f>
        <v>0</v>
      </c>
      <c r="NO67" s="396">
        <f>'Transition Grid'!V45</f>
        <v>0</v>
      </c>
      <c r="NP67" s="396">
        <f>'Transition Grid'!AF45</f>
        <v>0</v>
      </c>
      <c r="NQ67" s="396">
        <f>'Transition Grid'!AP45</f>
        <v>0</v>
      </c>
      <c r="NR67" s="396">
        <f>'Transition Grid'!AZ45</f>
        <v>0</v>
      </c>
      <c r="NS67" s="396">
        <f>'Transition Grid'!BJ45</f>
        <v>0</v>
      </c>
      <c r="NT67" s="396" t="str">
        <f t="shared" ref="NT67:OA67" si="52">J64</f>
        <v/>
      </c>
      <c r="NU67" s="396" t="str">
        <f t="shared" si="52"/>
        <v/>
      </c>
      <c r="NV67" s="396" t="str">
        <f t="shared" si="52"/>
        <v/>
      </c>
      <c r="NW67" s="396" t="str">
        <f t="shared" si="52"/>
        <v/>
      </c>
      <c r="NX67" s="396" t="str">
        <f t="shared" si="52"/>
        <v/>
      </c>
      <c r="NY67" s="396" t="str">
        <f t="shared" si="52"/>
        <v/>
      </c>
      <c r="NZ67" s="396" t="str">
        <f t="shared" si="52"/>
        <v/>
      </c>
      <c r="OA67" s="396" t="str">
        <f t="shared" si="52"/>
        <v/>
      </c>
    </row>
    <row r="68" ht="15.75" customHeight="1"/>
    <row r="69" ht="15.75" customHeight="1">
      <c r="B69" s="6"/>
    </row>
    <row r="70" ht="15.75" customHeight="1">
      <c r="B70" s="6"/>
    </row>
    <row r="71" ht="15.75" customHeight="1">
      <c r="B71" s="6"/>
    </row>
    <row r="72" ht="15.75" customHeight="1">
      <c r="B72" s="6"/>
    </row>
    <row r="73" ht="15.75" customHeight="1">
      <c r="B73" s="6"/>
    </row>
    <row r="74" ht="15.75" customHeight="1">
      <c r="B74" s="6"/>
    </row>
    <row r="75" ht="15.75" customHeight="1">
      <c r="B75" s="6"/>
    </row>
    <row r="76" ht="15.75" customHeight="1">
      <c r="B76" s="6"/>
    </row>
    <row r="77" ht="15.75" customHeight="1">
      <c r="B77" s="6"/>
    </row>
    <row r="78" ht="15.75" customHeight="1">
      <c r="B78" s="6"/>
    </row>
    <row r="79" ht="15.75" customHeight="1">
      <c r="B79" s="6"/>
    </row>
    <row r="80" ht="15.75" customHeight="1">
      <c r="B80" s="6"/>
    </row>
    <row r="81" ht="15.75" customHeight="1">
      <c r="B81" s="6"/>
    </row>
    <row r="82" ht="15.75" customHeight="1">
      <c r="B82" s="6"/>
    </row>
    <row r="83" ht="15.75" customHeight="1">
      <c r="B83" s="6"/>
    </row>
    <row r="84" ht="15.75" customHeight="1">
      <c r="B84" s="6"/>
    </row>
    <row r="85" ht="15.75" customHeight="1">
      <c r="B85" s="6"/>
    </row>
    <row r="86" ht="15.75" customHeight="1">
      <c r="B86" s="6"/>
    </row>
    <row r="87" ht="15.75" customHeight="1">
      <c r="B87" s="6"/>
    </row>
    <row r="88" ht="15.75" customHeight="1">
      <c r="B88" s="6"/>
    </row>
    <row r="89" ht="15.75" customHeight="1">
      <c r="B89" s="6"/>
    </row>
    <row r="90" ht="15.75" customHeight="1">
      <c r="B90" s="6"/>
    </row>
    <row r="91" ht="15.75" customHeight="1">
      <c r="B91" s="6"/>
    </row>
    <row r="92" ht="15.75" customHeight="1">
      <c r="B92" s="6"/>
    </row>
    <row r="93" ht="15.75" customHeight="1">
      <c r="B93" s="6"/>
    </row>
    <row r="94" ht="15.75" customHeight="1">
      <c r="B94" s="6"/>
    </row>
    <row r="95" ht="15.75" customHeight="1">
      <c r="B95" s="6"/>
    </row>
    <row r="96" ht="15.75" customHeight="1">
      <c r="B96" s="6"/>
    </row>
    <row r="97" ht="15.75" customHeight="1">
      <c r="B97" s="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2010-01-20T23:40:53Z</dcterms:created>
  <dc:creator>Steven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0x01010034558C920A190743A90D2E21DCB441C2</vt:lpwstr>
  </property>
</Properties>
</file>